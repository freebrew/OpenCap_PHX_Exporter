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Desktop\Vibe_Projects\PHX_FieldCap\"/>
    </mc:Choice>
  </mc:AlternateContent>
  <xr:revisionPtr revIDLastSave="0" documentId="13_ncr:1_{105A9AF2-D32D-464F-B544-1F58F5C656D6}" xr6:coauthVersionLast="47" xr6:coauthVersionMax="47" xr10:uidLastSave="{00000000-0000-0000-0000-000000000000}"/>
  <bookViews>
    <workbookView xWindow="-110" yWindow="-110" windowWidth="25820" windowHeight="15500" activeTab="2" xr2:uid="{3EDB88DC-93CE-4E82-AEA4-817FAB34EBBC}"/>
  </bookViews>
  <sheets>
    <sheet name="Setup" sheetId="2" r:id="rId1"/>
    <sheet name="BMH_Slidesheet" sheetId="10" r:id="rId2"/>
    <sheet name="RSS_Slidesheet" sheetId="11" r:id="rId3"/>
    <sheet name="_OC_Job" sheetId="3" state="veryHidden" r:id="rId4"/>
    <sheet name="_OC_Crew" sheetId="4" state="veryHidden" r:id="rId5"/>
    <sheet name="_OC_BHA" sheetId="5" state="veryHidden" r:id="rId6"/>
    <sheet name="_OC_Slide" sheetId="6" state="veryHidden" r:id="rId7"/>
    <sheet name="_OC_Inventory" sheetId="7" state="veryHidden" r:id="rId8"/>
    <sheet name="_OC_Survey" sheetId="8" state="veryHidden" r:id="rId9"/>
    <sheet name="_OC_AC" sheetId="9" state="veryHidden" r:id="rId10"/>
  </sheets>
  <externalReferences>
    <externalReference r:id="rId11"/>
  </externalReferences>
  <definedNames>
    <definedName name="_xlpm.a" hidden="1" xlm="1">#NAME?</definedName>
    <definedName name="_xlpm.AZt" hidden="1" xlm="1">#NAME?</definedName>
    <definedName name="_xlpm.b" hidden="1" xlm="1">#NAME?</definedName>
    <definedName name="_xlpm.dAZ" hidden="1" xlm="1">#NAME?</definedName>
    <definedName name="_xlpm.dE" hidden="1" xlm="1">#NAME?</definedName>
    <definedName name="_xlpm.DL" hidden="1" xlm="1">#NAME?</definedName>
    <definedName name="_xlpm.dN" hidden="1" xlm="1">#NAME?</definedName>
    <definedName name="MD_range" localSheetId="1">BMH_Slidesheet!#REF!</definedName>
    <definedName name="MD_range_Tracking">BMH_Slidesheet!#REF!</definedName>
    <definedName name="OC_CrewBot" localSheetId="0">Setup!$J$11</definedName>
    <definedName name="OC_CrewTop" localSheetId="0">Setup!$J$5</definedName>
    <definedName name="OC_ImpAcRow" localSheetId="0">Setup!$J$29</definedName>
    <definedName name="OC_ImpPlanRow" localSheetId="0">Setup!$J$28</definedName>
    <definedName name="TVD_range" localSheetId="1">BMH_Slidesheet!#REF!</definedName>
    <definedName name="TVD_range_Tracking">BMH_Slidesheet!#REF!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T44" i="11" l="1"/>
  <c r="S44" i="11"/>
  <c r="R44" i="11"/>
  <c r="Q44" i="11"/>
  <c r="P44" i="11"/>
  <c r="O44" i="11"/>
  <c r="J44" i="11"/>
  <c r="I44" i="11"/>
  <c r="F44" i="11"/>
  <c r="C44" i="11"/>
  <c r="T43" i="11"/>
  <c r="S43" i="11"/>
  <c r="R43" i="11"/>
  <c r="Q43" i="11"/>
  <c r="P43" i="11"/>
  <c r="O43" i="11"/>
  <c r="J43" i="11"/>
  <c r="I43" i="11"/>
  <c r="F43" i="11"/>
  <c r="C43" i="11"/>
  <c r="T42" i="11"/>
  <c r="S42" i="11"/>
  <c r="R42" i="11"/>
  <c r="Q42" i="11"/>
  <c r="P42" i="11"/>
  <c r="O42" i="11"/>
  <c r="J42" i="11"/>
  <c r="I42" i="11"/>
  <c r="F42" i="11"/>
  <c r="C42" i="11"/>
  <c r="T41" i="11"/>
  <c r="S41" i="11"/>
  <c r="R41" i="11"/>
  <c r="Q41" i="11"/>
  <c r="P41" i="11"/>
  <c r="O41" i="11"/>
  <c r="J41" i="11"/>
  <c r="I41" i="11"/>
  <c r="F41" i="11"/>
  <c r="C41" i="11"/>
  <c r="T40" i="11"/>
  <c r="S40" i="11"/>
  <c r="R40" i="11"/>
  <c r="Q40" i="11"/>
  <c r="P40" i="11"/>
  <c r="O40" i="11"/>
  <c r="J40" i="11"/>
  <c r="I40" i="11"/>
  <c r="F40" i="11"/>
  <c r="C40" i="11"/>
  <c r="T39" i="11"/>
  <c r="S39" i="11"/>
  <c r="R39" i="11"/>
  <c r="Q39" i="11"/>
  <c r="P39" i="11"/>
  <c r="O39" i="11"/>
  <c r="J39" i="11"/>
  <c r="I39" i="11"/>
  <c r="F39" i="11"/>
  <c r="C39" i="11"/>
  <c r="T38" i="11"/>
  <c r="S38" i="11"/>
  <c r="R38" i="11"/>
  <c r="Q38" i="11"/>
  <c r="P38" i="11"/>
  <c r="O38" i="11"/>
  <c r="J38" i="11"/>
  <c r="I38" i="11"/>
  <c r="F38" i="11"/>
  <c r="C38" i="11"/>
  <c r="T37" i="11"/>
  <c r="S37" i="11"/>
  <c r="R37" i="11"/>
  <c r="Q37" i="11"/>
  <c r="P37" i="11"/>
  <c r="O37" i="11"/>
  <c r="J37" i="11"/>
  <c r="I37" i="11"/>
  <c r="F37" i="11"/>
  <c r="C37" i="11"/>
  <c r="T36" i="11"/>
  <c r="S36" i="11"/>
  <c r="R36" i="11"/>
  <c r="Q36" i="11"/>
  <c r="P36" i="11"/>
  <c r="O36" i="11"/>
  <c r="J36" i="11"/>
  <c r="I36" i="11"/>
  <c r="F36" i="11"/>
  <c r="C36" i="11"/>
  <c r="T35" i="11"/>
  <c r="S35" i="11"/>
  <c r="R35" i="11"/>
  <c r="Q35" i="11"/>
  <c r="P35" i="11"/>
  <c r="O35" i="11"/>
  <c r="J35" i="11"/>
  <c r="I35" i="11"/>
  <c r="F35" i="11"/>
  <c r="C35" i="11"/>
  <c r="T34" i="11"/>
  <c r="S34" i="11"/>
  <c r="R34" i="11"/>
  <c r="Q34" i="11"/>
  <c r="P34" i="11"/>
  <c r="O34" i="11"/>
  <c r="J34" i="11"/>
  <c r="I34" i="11"/>
  <c r="F34" i="11"/>
  <c r="C34" i="11"/>
  <c r="T33" i="11"/>
  <c r="S33" i="11"/>
  <c r="R33" i="11"/>
  <c r="Q33" i="11"/>
  <c r="P33" i="11"/>
  <c r="O33" i="11"/>
  <c r="J33" i="11"/>
  <c r="I33" i="11"/>
  <c r="F33" i="11"/>
  <c r="C33" i="11"/>
  <c r="T32" i="11"/>
  <c r="S32" i="11"/>
  <c r="R32" i="11"/>
  <c r="Q32" i="11"/>
  <c r="P32" i="11"/>
  <c r="O32" i="11"/>
  <c r="J32" i="11"/>
  <c r="I32" i="11"/>
  <c r="F32" i="11"/>
  <c r="C32" i="11"/>
  <c r="T31" i="11"/>
  <c r="S31" i="11"/>
  <c r="R31" i="11"/>
  <c r="Q31" i="11"/>
  <c r="P31" i="11"/>
  <c r="O31" i="11"/>
  <c r="J31" i="11"/>
  <c r="I31" i="11"/>
  <c r="F31" i="11"/>
  <c r="C31" i="11"/>
  <c r="T30" i="11"/>
  <c r="S30" i="11"/>
  <c r="R30" i="11"/>
  <c r="Q30" i="11"/>
  <c r="P30" i="11"/>
  <c r="O30" i="11"/>
  <c r="J30" i="11"/>
  <c r="I30" i="11"/>
  <c r="F30" i="11"/>
  <c r="C30" i="11"/>
  <c r="T29" i="11"/>
  <c r="S29" i="11"/>
  <c r="R29" i="11"/>
  <c r="Q29" i="11"/>
  <c r="P29" i="11"/>
  <c r="O29" i="11"/>
  <c r="J29" i="11"/>
  <c r="I29" i="11"/>
  <c r="F29" i="11"/>
  <c r="C29" i="11"/>
  <c r="T28" i="11"/>
  <c r="S28" i="11"/>
  <c r="R28" i="11"/>
  <c r="Q28" i="11"/>
  <c r="P28" i="11"/>
  <c r="O28" i="11"/>
  <c r="J28" i="11"/>
  <c r="I28" i="11"/>
  <c r="F28" i="11"/>
  <c r="C28" i="11"/>
  <c r="T27" i="11"/>
  <c r="S27" i="11"/>
  <c r="R27" i="11"/>
  <c r="Q27" i="11"/>
  <c r="P27" i="11"/>
  <c r="O27" i="11"/>
  <c r="J27" i="11"/>
  <c r="I27" i="11"/>
  <c r="F27" i="11"/>
  <c r="C27" i="11"/>
  <c r="T26" i="11"/>
  <c r="S26" i="11"/>
  <c r="R26" i="11"/>
  <c r="Q26" i="11"/>
  <c r="P26" i="11"/>
  <c r="O26" i="11"/>
  <c r="J26" i="11"/>
  <c r="I26" i="11"/>
  <c r="F26" i="11"/>
  <c r="C26" i="11"/>
  <c r="T25" i="11"/>
  <c r="S25" i="11"/>
  <c r="R25" i="11"/>
  <c r="Q25" i="11"/>
  <c r="P25" i="11"/>
  <c r="O25" i="11"/>
  <c r="J25" i="11"/>
  <c r="I25" i="11"/>
  <c r="F25" i="11"/>
  <c r="C25" i="11"/>
  <c r="T24" i="11"/>
  <c r="S24" i="11"/>
  <c r="R24" i="11"/>
  <c r="Q24" i="11"/>
  <c r="P24" i="11"/>
  <c r="O24" i="11"/>
  <c r="J24" i="11"/>
  <c r="I24" i="11"/>
  <c r="F24" i="11"/>
  <c r="C24" i="11"/>
  <c r="T23" i="11"/>
  <c r="S23" i="11"/>
  <c r="R23" i="11"/>
  <c r="Q23" i="11"/>
  <c r="P23" i="11"/>
  <c r="O23" i="11"/>
  <c r="J23" i="11"/>
  <c r="I23" i="11"/>
  <c r="F23" i="11"/>
  <c r="C23" i="11"/>
  <c r="T22" i="11"/>
  <c r="S22" i="11"/>
  <c r="R22" i="11"/>
  <c r="Q22" i="11"/>
  <c r="P22" i="11"/>
  <c r="O22" i="11"/>
  <c r="J22" i="11"/>
  <c r="I22" i="11"/>
  <c r="F22" i="11"/>
  <c r="C22" i="11"/>
  <c r="T21" i="11"/>
  <c r="S21" i="11"/>
  <c r="R21" i="11"/>
  <c r="Q21" i="11"/>
  <c r="P21" i="11"/>
  <c r="O21" i="11"/>
  <c r="J21" i="11"/>
  <c r="I21" i="11"/>
  <c r="F21" i="11"/>
  <c r="C21" i="11"/>
  <c r="T20" i="11"/>
  <c r="S20" i="11"/>
  <c r="R20" i="11"/>
  <c r="Q20" i="11"/>
  <c r="P20" i="11"/>
  <c r="O20" i="11"/>
  <c r="J20" i="11"/>
  <c r="I20" i="11"/>
  <c r="F20" i="11"/>
  <c r="C20" i="11"/>
  <c r="T19" i="11"/>
  <c r="S19" i="11"/>
  <c r="R19" i="11"/>
  <c r="Q19" i="11"/>
  <c r="P19" i="11"/>
  <c r="O19" i="11"/>
  <c r="J19" i="11"/>
  <c r="I19" i="11"/>
  <c r="F19" i="11"/>
  <c r="C19" i="11"/>
  <c r="T18" i="11"/>
  <c r="S18" i="11"/>
  <c r="R18" i="11"/>
  <c r="Q18" i="11"/>
  <c r="P18" i="11"/>
  <c r="O18" i="11"/>
  <c r="J18" i="11"/>
  <c r="I18" i="11"/>
  <c r="F18" i="11"/>
  <c r="C18" i="11"/>
  <c r="Q17" i="11"/>
  <c r="P17" i="11"/>
  <c r="J17" i="11"/>
  <c r="I17" i="11"/>
  <c r="F17" i="11"/>
  <c r="C17" i="11"/>
  <c r="Q16" i="11"/>
  <c r="F16" i="11"/>
  <c r="C16" i="11"/>
  <c r="Q15" i="11"/>
  <c r="F15" i="11"/>
  <c r="C15" i="11"/>
  <c r="Q14" i="11"/>
  <c r="F14" i="11"/>
  <c r="C14" i="11"/>
  <c r="Q13" i="11"/>
  <c r="F13" i="11"/>
  <c r="C13" i="11"/>
  <c r="Q12" i="11"/>
  <c r="F12" i="11"/>
  <c r="C12" i="11"/>
  <c r="Q11" i="11"/>
  <c r="F11" i="11"/>
  <c r="C11" i="11"/>
  <c r="Q10" i="11"/>
  <c r="I10" i="11"/>
  <c r="F10" i="11"/>
  <c r="C10" i="11"/>
  <c r="Q9" i="11"/>
  <c r="F9" i="11"/>
  <c r="C9" i="11"/>
  <c r="R8" i="11"/>
  <c r="Q8" i="11"/>
  <c r="F8" i="11"/>
  <c r="C8" i="11"/>
  <c r="X6" i="11" a="1"/>
  <c r="W6" i="11" a="1"/>
  <c r="V6" i="11" a="1"/>
  <c r="X5" i="11" a="1"/>
  <c r="W5" i="11" a="1"/>
  <c r="V5" i="11" a="1"/>
  <c r="U3" i="11" a="1"/>
  <c r="C3" i="11"/>
  <c r="U2" i="11" a="1"/>
  <c r="U1" i="11" a="1"/>
  <c r="T9" i="10"/>
  <c r="I295" i="10"/>
  <c r="P295" i="10"/>
  <c r="W294" i="10"/>
  <c r="X294" i="10"/>
  <c r="W295" i="10"/>
  <c r="X295" i="10"/>
  <c r="I340" i="10"/>
  <c r="I341" i="10"/>
  <c r="I342" i="10"/>
  <c r="I343" i="10"/>
  <c r="I344" i="10"/>
  <c r="I345" i="10"/>
  <c r="I346" i="10"/>
  <c r="I347" i="10"/>
  <c r="P340" i="10"/>
  <c r="P341" i="10"/>
  <c r="P342" i="10"/>
  <c r="P343" i="10"/>
  <c r="P344" i="10"/>
  <c r="P345" i="10"/>
  <c r="X338" i="10"/>
  <c r="X339" i="10"/>
  <c r="X340" i="10"/>
  <c r="X341" i="10"/>
  <c r="X342" i="10"/>
  <c r="X343" i="10"/>
  <c r="X344" i="10"/>
  <c r="X345" i="10"/>
  <c r="X346" i="10"/>
  <c r="X347" i="10"/>
  <c r="X348" i="10"/>
  <c r="W338" i="10"/>
  <c r="W339" i="10"/>
  <c r="W340" i="10"/>
  <c r="W341" i="10"/>
  <c r="W342" i="10"/>
  <c r="W343" i="10"/>
  <c r="W344" i="10"/>
  <c r="W345" i="10"/>
  <c r="W346" i="10"/>
  <c r="T7" i="10"/>
  <c r="AH503" i="10"/>
  <c r="AF503" i="10"/>
  <c r="AE503" i="10"/>
  <c r="AD503" i="10"/>
  <c r="AB503" i="10"/>
  <c r="AA503" i="10"/>
  <c r="Z503" i="10"/>
  <c r="Y503" i="10"/>
  <c r="X503" i="10"/>
  <c r="W503" i="10"/>
  <c r="V503" i="10"/>
  <c r="U503" i="10"/>
  <c r="T503" i="10"/>
  <c r="S503" i="10"/>
  <c r="AG503" i="10" s="1"/>
  <c r="R503" i="10"/>
  <c r="Q503" i="10"/>
  <c r="P503" i="10"/>
  <c r="O503" i="10"/>
  <c r="K503" i="10"/>
  <c r="J503" i="10"/>
  <c r="I503" i="10"/>
  <c r="H503" i="10"/>
  <c r="E503" i="10"/>
  <c r="AK503" i="10" s="1" a="1"/>
  <c r="AK503" i="10" s="1"/>
  <c r="C503" i="10"/>
  <c r="AH502" i="10"/>
  <c r="AF502" i="10"/>
  <c r="AE502" i="10"/>
  <c r="AD502" i="10"/>
  <c r="AB502" i="10"/>
  <c r="Z502" i="10"/>
  <c r="AA502" i="10" s="1"/>
  <c r="W502" i="10"/>
  <c r="Y502" i="10" s="1"/>
  <c r="V502" i="10"/>
  <c r="K502" i="10"/>
  <c r="J502" i="10"/>
  <c r="I502" i="10"/>
  <c r="H502" i="10"/>
  <c r="E502" i="10"/>
  <c r="C502" i="10"/>
  <c r="AK501" i="10" a="1"/>
  <c r="AK501" i="10" s="1"/>
  <c r="AH501" i="10"/>
  <c r="AF501" i="10"/>
  <c r="AE501" i="10"/>
  <c r="AD501" i="10"/>
  <c r="AB501" i="10"/>
  <c r="W501" i="10"/>
  <c r="Y501" i="10" s="1"/>
  <c r="V501" i="10"/>
  <c r="Z501" i="10" s="1"/>
  <c r="AA501" i="10" s="1"/>
  <c r="U501" i="10"/>
  <c r="T501" i="10"/>
  <c r="S501" i="10"/>
  <c r="AG501" i="10" s="1"/>
  <c r="R501" i="10"/>
  <c r="P501" i="10"/>
  <c r="Q501" i="10" s="1"/>
  <c r="K501" i="10"/>
  <c r="J501" i="10"/>
  <c r="N503" i="10" s="1"/>
  <c r="I501" i="10"/>
  <c r="H501" i="10"/>
  <c r="E501" i="10"/>
  <c r="C501" i="10"/>
  <c r="AK500" i="10" a="1"/>
  <c r="AK500" i="10" s="1"/>
  <c r="AH500" i="10"/>
  <c r="AF500" i="10"/>
  <c r="AE500" i="10"/>
  <c r="AD500" i="10"/>
  <c r="AB500" i="10"/>
  <c r="Z500" i="10"/>
  <c r="AA500" i="10" s="1"/>
  <c r="Y500" i="10"/>
  <c r="X500" i="10"/>
  <c r="W500" i="10"/>
  <c r="V500" i="10"/>
  <c r="U500" i="10"/>
  <c r="T500" i="10"/>
  <c r="S500" i="10"/>
  <c r="AG500" i="10" s="1"/>
  <c r="R500" i="10"/>
  <c r="Q500" i="10"/>
  <c r="P500" i="10"/>
  <c r="K500" i="10"/>
  <c r="J500" i="10"/>
  <c r="I500" i="10"/>
  <c r="H500" i="10"/>
  <c r="E500" i="10"/>
  <c r="AJ500" i="10" s="1"/>
  <c r="C500" i="10"/>
  <c r="AH499" i="10"/>
  <c r="AF499" i="10"/>
  <c r="AE499" i="10"/>
  <c r="AD499" i="10"/>
  <c r="AB499" i="10"/>
  <c r="Y499" i="10"/>
  <c r="W499" i="10"/>
  <c r="V499" i="10"/>
  <c r="K499" i="10"/>
  <c r="J499" i="10"/>
  <c r="I499" i="10"/>
  <c r="H499" i="10"/>
  <c r="E499" i="10"/>
  <c r="C499" i="10"/>
  <c r="AJ498" i="10"/>
  <c r="AI498" i="10"/>
  <c r="AH498" i="10"/>
  <c r="AF498" i="10"/>
  <c r="AE498" i="10"/>
  <c r="AD498" i="10"/>
  <c r="AB498" i="10"/>
  <c r="W498" i="10"/>
  <c r="Y498" i="10" s="1"/>
  <c r="V498" i="10"/>
  <c r="Z498" i="10" s="1"/>
  <c r="AA498" i="10" s="1"/>
  <c r="U498" i="10"/>
  <c r="T498" i="10"/>
  <c r="S498" i="10"/>
  <c r="AG498" i="10" s="1"/>
  <c r="R498" i="10"/>
  <c r="K498" i="10"/>
  <c r="J498" i="10"/>
  <c r="I498" i="10"/>
  <c r="P498" i="10" s="1"/>
  <c r="Q498" i="10" s="1"/>
  <c r="H498" i="10"/>
  <c r="E498" i="10"/>
  <c r="C498" i="10"/>
  <c r="AK497" i="10" a="1"/>
  <c r="AK497" i="10" s="1"/>
  <c r="AH497" i="10"/>
  <c r="AF497" i="10"/>
  <c r="AE497" i="10"/>
  <c r="AD497" i="10"/>
  <c r="AB497" i="10"/>
  <c r="Z497" i="10"/>
  <c r="AA497" i="10" s="1"/>
  <c r="Y497" i="10"/>
  <c r="X497" i="10"/>
  <c r="W497" i="10"/>
  <c r="V497" i="10"/>
  <c r="U497" i="10"/>
  <c r="T497" i="10"/>
  <c r="S497" i="10"/>
  <c r="AG497" i="10" s="1"/>
  <c r="R497" i="10"/>
  <c r="Q497" i="10"/>
  <c r="P497" i="10"/>
  <c r="O497" i="10"/>
  <c r="K497" i="10"/>
  <c r="J497" i="10"/>
  <c r="I497" i="10"/>
  <c r="H497" i="10"/>
  <c r="E497" i="10"/>
  <c r="AJ497" i="10" s="1"/>
  <c r="C497" i="10"/>
  <c r="AH496" i="10"/>
  <c r="AF496" i="10"/>
  <c r="AE496" i="10"/>
  <c r="AD496" i="10"/>
  <c r="AB496" i="10"/>
  <c r="W496" i="10"/>
  <c r="Y496" i="10" s="1"/>
  <c r="V496" i="10"/>
  <c r="K496" i="10"/>
  <c r="J496" i="10"/>
  <c r="I496" i="10"/>
  <c r="H496" i="10"/>
  <c r="E496" i="10"/>
  <c r="C496" i="10"/>
  <c r="AJ495" i="10"/>
  <c r="AI495" i="10"/>
  <c r="AH495" i="10"/>
  <c r="AF495" i="10"/>
  <c r="AE495" i="10"/>
  <c r="AD495" i="10"/>
  <c r="AB495" i="10"/>
  <c r="W495" i="10"/>
  <c r="Y495" i="10" s="1"/>
  <c r="V495" i="10"/>
  <c r="Z495" i="10" s="1"/>
  <c r="AA495" i="10" s="1"/>
  <c r="U495" i="10"/>
  <c r="T495" i="10"/>
  <c r="S495" i="10"/>
  <c r="AG495" i="10" s="1"/>
  <c r="R495" i="10"/>
  <c r="P495" i="10"/>
  <c r="Q495" i="10" s="1"/>
  <c r="K495" i="10"/>
  <c r="J495" i="10"/>
  <c r="I495" i="10"/>
  <c r="H495" i="10"/>
  <c r="E495" i="10"/>
  <c r="C495" i="10"/>
  <c r="AK494" i="10" a="1"/>
  <c r="AK494" i="10" s="1"/>
  <c r="AH494" i="10"/>
  <c r="AF494" i="10"/>
  <c r="AE494" i="10"/>
  <c r="AD494" i="10"/>
  <c r="AB494" i="10"/>
  <c r="Z494" i="10"/>
  <c r="AA494" i="10" s="1"/>
  <c r="Y494" i="10"/>
  <c r="X494" i="10"/>
  <c r="W494" i="10"/>
  <c r="V494" i="10"/>
  <c r="U494" i="10"/>
  <c r="T494" i="10"/>
  <c r="S494" i="10"/>
  <c r="AG494" i="10" s="1"/>
  <c r="R494" i="10"/>
  <c r="P494" i="10"/>
  <c r="Q494" i="10" s="1"/>
  <c r="K494" i="10"/>
  <c r="J494" i="10"/>
  <c r="I494" i="10"/>
  <c r="H494" i="10"/>
  <c r="E494" i="10"/>
  <c r="AJ494" i="10" s="1"/>
  <c r="C494" i="10"/>
  <c r="AH493" i="10"/>
  <c r="AF493" i="10"/>
  <c r="AE493" i="10"/>
  <c r="AD493" i="10"/>
  <c r="AB493" i="10"/>
  <c r="AA493" i="10"/>
  <c r="Z493" i="10"/>
  <c r="X493" i="10"/>
  <c r="W493" i="10"/>
  <c r="Y493" i="10" s="1"/>
  <c r="V493" i="10"/>
  <c r="K493" i="10"/>
  <c r="J493" i="10"/>
  <c r="I493" i="10"/>
  <c r="H493" i="10"/>
  <c r="E493" i="10"/>
  <c r="C493" i="10"/>
  <c r="P493" i="10" s="1"/>
  <c r="Q493" i="10" s="1"/>
  <c r="AK492" i="10" a="1"/>
  <c r="AK492" i="10" s="1"/>
  <c r="AJ492" i="10"/>
  <c r="AH492" i="10"/>
  <c r="AF492" i="10"/>
  <c r="AE492" i="10"/>
  <c r="AD492" i="10"/>
  <c r="AB492" i="10"/>
  <c r="W492" i="10"/>
  <c r="Y492" i="10" s="1"/>
  <c r="V492" i="10"/>
  <c r="Z492" i="10" s="1"/>
  <c r="AA492" i="10" s="1"/>
  <c r="U492" i="10"/>
  <c r="T492" i="10"/>
  <c r="S492" i="10"/>
  <c r="AG492" i="10" s="1"/>
  <c r="R492" i="10"/>
  <c r="K492" i="10"/>
  <c r="J492" i="10"/>
  <c r="I492" i="10"/>
  <c r="H492" i="10"/>
  <c r="E492" i="10"/>
  <c r="C492" i="10"/>
  <c r="P492" i="10" s="1"/>
  <c r="Q492" i="10" s="1"/>
  <c r="AK491" i="10" a="1"/>
  <c r="AK491" i="10" s="1"/>
  <c r="AH491" i="10"/>
  <c r="AF491" i="10"/>
  <c r="AE491" i="10"/>
  <c r="AD491" i="10"/>
  <c r="AB491" i="10"/>
  <c r="AA491" i="10"/>
  <c r="Z491" i="10"/>
  <c r="Y491" i="10"/>
  <c r="X491" i="10"/>
  <c r="W491" i="10"/>
  <c r="V491" i="10"/>
  <c r="U491" i="10"/>
  <c r="T491" i="10"/>
  <c r="S491" i="10"/>
  <c r="AG491" i="10" s="1"/>
  <c r="R491" i="10"/>
  <c r="Q491" i="10"/>
  <c r="P491" i="10"/>
  <c r="K491" i="10"/>
  <c r="J491" i="10"/>
  <c r="I491" i="10"/>
  <c r="H491" i="10"/>
  <c r="E491" i="10"/>
  <c r="AJ491" i="10" s="1"/>
  <c r="C491" i="10"/>
  <c r="AH490" i="10"/>
  <c r="AF490" i="10"/>
  <c r="AE490" i="10"/>
  <c r="AD490" i="10"/>
  <c r="AB490" i="10"/>
  <c r="Y490" i="10"/>
  <c r="W490" i="10"/>
  <c r="V490" i="10"/>
  <c r="K490" i="10"/>
  <c r="J490" i="10"/>
  <c r="N494" i="10" s="1"/>
  <c r="I490" i="10"/>
  <c r="H490" i="10"/>
  <c r="E490" i="10"/>
  <c r="C490" i="10"/>
  <c r="AH489" i="10"/>
  <c r="AF489" i="10"/>
  <c r="AE489" i="10"/>
  <c r="AD489" i="10"/>
  <c r="AB489" i="10"/>
  <c r="W489" i="10"/>
  <c r="Y489" i="10" s="1"/>
  <c r="V489" i="10"/>
  <c r="Z489" i="10" s="1"/>
  <c r="AA489" i="10" s="1"/>
  <c r="U489" i="10"/>
  <c r="T489" i="10"/>
  <c r="S489" i="10"/>
  <c r="AG489" i="10" s="1"/>
  <c r="R489" i="10"/>
  <c r="K489" i="10"/>
  <c r="J489" i="10"/>
  <c r="I489" i="10"/>
  <c r="P489" i="10" s="1"/>
  <c r="Q489" i="10" s="1"/>
  <c r="H489" i="10"/>
  <c r="E489" i="10"/>
  <c r="C489" i="10"/>
  <c r="AK488" i="10" a="1"/>
  <c r="AK488" i="10" s="1"/>
  <c r="AH488" i="10"/>
  <c r="AF488" i="10"/>
  <c r="AE488" i="10"/>
  <c r="AD488" i="10"/>
  <c r="AB488" i="10"/>
  <c r="Z488" i="10"/>
  <c r="AA488" i="10" s="1"/>
  <c r="Y488" i="10"/>
  <c r="X488" i="10"/>
  <c r="W488" i="10"/>
  <c r="V488" i="10"/>
  <c r="U488" i="10"/>
  <c r="T488" i="10"/>
  <c r="S488" i="10"/>
  <c r="AG488" i="10" s="1"/>
  <c r="R488" i="10"/>
  <c r="P488" i="10"/>
  <c r="Q488" i="10" s="1"/>
  <c r="K488" i="10"/>
  <c r="J488" i="10"/>
  <c r="I488" i="10"/>
  <c r="H488" i="10"/>
  <c r="E488" i="10"/>
  <c r="AJ488" i="10" s="1"/>
  <c r="C488" i="10"/>
  <c r="AH487" i="10"/>
  <c r="AF487" i="10"/>
  <c r="AE487" i="10"/>
  <c r="AD487" i="10"/>
  <c r="AB487" i="10"/>
  <c r="W487" i="10"/>
  <c r="Y487" i="10" s="1"/>
  <c r="V487" i="10"/>
  <c r="K487" i="10"/>
  <c r="J487" i="10"/>
  <c r="O488" i="10" s="1"/>
  <c r="I487" i="10"/>
  <c r="H487" i="10"/>
  <c r="E487" i="10"/>
  <c r="C487" i="10"/>
  <c r="P487" i="10" s="1"/>
  <c r="Q487" i="10" s="1"/>
  <c r="AH486" i="10"/>
  <c r="AF486" i="10"/>
  <c r="AE486" i="10"/>
  <c r="AD486" i="10"/>
  <c r="AB486" i="10"/>
  <c r="W486" i="10"/>
  <c r="Y486" i="10" s="1"/>
  <c r="V486" i="10"/>
  <c r="Z486" i="10" s="1"/>
  <c r="AA486" i="10" s="1"/>
  <c r="U486" i="10"/>
  <c r="T486" i="10"/>
  <c r="S486" i="10"/>
  <c r="AG486" i="10" s="1"/>
  <c r="R486" i="10"/>
  <c r="K486" i="10"/>
  <c r="J486" i="10"/>
  <c r="I486" i="10"/>
  <c r="H486" i="10"/>
  <c r="E486" i="10"/>
  <c r="C486" i="10"/>
  <c r="P486" i="10" s="1"/>
  <c r="Q486" i="10" s="1"/>
  <c r="AK485" i="10" a="1"/>
  <c r="AK485" i="10" s="1"/>
  <c r="AH485" i="10"/>
  <c r="AF485" i="10"/>
  <c r="AE485" i="10"/>
  <c r="AD485" i="10"/>
  <c r="AB485" i="10"/>
  <c r="Z485" i="10"/>
  <c r="AA485" i="10" s="1"/>
  <c r="Y485" i="10"/>
  <c r="X485" i="10"/>
  <c r="W485" i="10"/>
  <c r="V485" i="10"/>
  <c r="U485" i="10"/>
  <c r="T485" i="10"/>
  <c r="S485" i="10"/>
  <c r="AG485" i="10" s="1"/>
  <c r="R485" i="10"/>
  <c r="P485" i="10"/>
  <c r="Q485" i="10" s="1"/>
  <c r="K485" i="10"/>
  <c r="J485" i="10"/>
  <c r="I485" i="10"/>
  <c r="H485" i="10"/>
  <c r="E485" i="10"/>
  <c r="AJ485" i="10" s="1"/>
  <c r="C485" i="10"/>
  <c r="AH484" i="10"/>
  <c r="AF484" i="10"/>
  <c r="AE484" i="10"/>
  <c r="AD484" i="10"/>
  <c r="AB484" i="10"/>
  <c r="X484" i="10"/>
  <c r="W484" i="10"/>
  <c r="Y484" i="10" s="1"/>
  <c r="V484" i="10"/>
  <c r="K484" i="10"/>
  <c r="O487" i="10" s="1"/>
  <c r="J484" i="10"/>
  <c r="I484" i="10"/>
  <c r="H484" i="10"/>
  <c r="E484" i="10"/>
  <c r="C484" i="10"/>
  <c r="P484" i="10" s="1"/>
  <c r="Q484" i="10" s="1"/>
  <c r="AH483" i="10"/>
  <c r="AF483" i="10"/>
  <c r="AE483" i="10"/>
  <c r="AD483" i="10"/>
  <c r="AB483" i="10"/>
  <c r="W483" i="10"/>
  <c r="Y483" i="10" s="1"/>
  <c r="V483" i="10"/>
  <c r="Z483" i="10" s="1"/>
  <c r="AA483" i="10" s="1"/>
  <c r="U483" i="10"/>
  <c r="T483" i="10"/>
  <c r="S483" i="10"/>
  <c r="AG483" i="10" s="1"/>
  <c r="R483" i="10"/>
  <c r="P483" i="10"/>
  <c r="Q483" i="10" s="1"/>
  <c r="K483" i="10"/>
  <c r="J483" i="10"/>
  <c r="I483" i="10"/>
  <c r="H483" i="10"/>
  <c r="E483" i="10"/>
  <c r="C483" i="10"/>
  <c r="AK482" i="10" a="1"/>
  <c r="AK482" i="10" s="1"/>
  <c r="AH482" i="10"/>
  <c r="AF482" i="10"/>
  <c r="AE482" i="10"/>
  <c r="AD482" i="10"/>
  <c r="AB482" i="10"/>
  <c r="Z482" i="10"/>
  <c r="AA482" i="10" s="1"/>
  <c r="Y482" i="10"/>
  <c r="X482" i="10"/>
  <c r="W482" i="10"/>
  <c r="V482" i="10"/>
  <c r="U482" i="10"/>
  <c r="T482" i="10"/>
  <c r="S482" i="10"/>
  <c r="AG482" i="10" s="1"/>
  <c r="R482" i="10"/>
  <c r="Q482" i="10"/>
  <c r="P482" i="10"/>
  <c r="K482" i="10"/>
  <c r="J482" i="10"/>
  <c r="I482" i="10"/>
  <c r="H482" i="10"/>
  <c r="E482" i="10"/>
  <c r="AJ482" i="10" s="1"/>
  <c r="C482" i="10"/>
  <c r="AI481" i="10"/>
  <c r="AH481" i="10"/>
  <c r="AF481" i="10"/>
  <c r="AE481" i="10"/>
  <c r="AD481" i="10"/>
  <c r="AB481" i="10"/>
  <c r="Z481" i="10"/>
  <c r="AA481" i="10" s="1"/>
  <c r="Y481" i="10"/>
  <c r="X481" i="10"/>
  <c r="W481" i="10"/>
  <c r="V481" i="10"/>
  <c r="K481" i="10"/>
  <c r="J481" i="10"/>
  <c r="I481" i="10"/>
  <c r="H481" i="10"/>
  <c r="AK481" i="10" s="1" a="1"/>
  <c r="AK481" i="10" s="1"/>
  <c r="E481" i="10"/>
  <c r="AJ481" i="10" s="1"/>
  <c r="C481" i="10"/>
  <c r="AJ480" i="10"/>
  <c r="AI480" i="10"/>
  <c r="AH480" i="10"/>
  <c r="AF480" i="10"/>
  <c r="AE480" i="10"/>
  <c r="AD480" i="10"/>
  <c r="AB480" i="10"/>
  <c r="W480" i="10"/>
  <c r="Y480" i="10" s="1"/>
  <c r="V480" i="10"/>
  <c r="Z480" i="10" s="1"/>
  <c r="AA480" i="10" s="1"/>
  <c r="U480" i="10"/>
  <c r="T480" i="10"/>
  <c r="S480" i="10"/>
  <c r="AG480" i="10" s="1"/>
  <c r="R480" i="10"/>
  <c r="K480" i="10"/>
  <c r="J480" i="10"/>
  <c r="I480" i="10"/>
  <c r="P480" i="10" s="1"/>
  <c r="Q480" i="10" s="1"/>
  <c r="H480" i="10"/>
  <c r="E480" i="10"/>
  <c r="AK480" i="10" s="1" a="1"/>
  <c r="AK480" i="10" s="1"/>
  <c r="C480" i="10"/>
  <c r="AK479" i="10" a="1"/>
  <c r="AK479" i="10" s="1"/>
  <c r="AH479" i="10"/>
  <c r="AF479" i="10"/>
  <c r="AE479" i="10"/>
  <c r="AD479" i="10"/>
  <c r="AB479" i="10"/>
  <c r="AA479" i="10"/>
  <c r="Z479" i="10"/>
  <c r="Y479" i="10"/>
  <c r="X479" i="10"/>
  <c r="W479" i="10"/>
  <c r="V479" i="10"/>
  <c r="U479" i="10"/>
  <c r="T479" i="10"/>
  <c r="S479" i="10"/>
  <c r="AG479" i="10" s="1"/>
  <c r="R479" i="10"/>
  <c r="Q479" i="10"/>
  <c r="P479" i="10"/>
  <c r="O479" i="10"/>
  <c r="N479" i="10"/>
  <c r="K479" i="10"/>
  <c r="J479" i="10"/>
  <c r="I479" i="10"/>
  <c r="H479" i="10"/>
  <c r="E479" i="10"/>
  <c r="AJ479" i="10" s="1"/>
  <c r="C479" i="10"/>
  <c r="AK478" i="10" a="1"/>
  <c r="AK478" i="10" s="1"/>
  <c r="AJ478" i="10"/>
  <c r="AI478" i="10"/>
  <c r="AH478" i="10"/>
  <c r="AF478" i="10"/>
  <c r="AE478" i="10"/>
  <c r="AD478" i="10"/>
  <c r="AB478" i="10"/>
  <c r="Z478" i="10"/>
  <c r="AA478" i="10" s="1"/>
  <c r="W478" i="10"/>
  <c r="Y478" i="10" s="1"/>
  <c r="V478" i="10"/>
  <c r="K478" i="10"/>
  <c r="J478" i="10"/>
  <c r="I478" i="10"/>
  <c r="H478" i="10"/>
  <c r="E478" i="10"/>
  <c r="C478" i="10"/>
  <c r="AK477" i="10" a="1"/>
  <c r="AK477" i="10" s="1"/>
  <c r="AJ477" i="10"/>
  <c r="AI477" i="10"/>
  <c r="AH477" i="10"/>
  <c r="AG477" i="10"/>
  <c r="AF477" i="10"/>
  <c r="AE477" i="10"/>
  <c r="AD477" i="10"/>
  <c r="AB477" i="10"/>
  <c r="W477" i="10"/>
  <c r="Y477" i="10" s="1"/>
  <c r="V477" i="10"/>
  <c r="Z477" i="10" s="1"/>
  <c r="AA477" i="10" s="1"/>
  <c r="U477" i="10"/>
  <c r="T477" i="10"/>
  <c r="S477" i="10"/>
  <c r="R477" i="10"/>
  <c r="Q477" i="10"/>
  <c r="P477" i="10"/>
  <c r="K477" i="10"/>
  <c r="J477" i="10"/>
  <c r="I477" i="10"/>
  <c r="H477" i="10"/>
  <c r="E477" i="10"/>
  <c r="C477" i="10"/>
  <c r="AK476" i="10" a="1"/>
  <c r="AK476" i="10" s="1"/>
  <c r="AH476" i="10"/>
  <c r="AF476" i="10"/>
  <c r="AE476" i="10"/>
  <c r="AD476" i="10"/>
  <c r="AB476" i="10"/>
  <c r="AA476" i="10"/>
  <c r="Z476" i="10"/>
  <c r="Y476" i="10"/>
  <c r="X476" i="10"/>
  <c r="W476" i="10"/>
  <c r="V476" i="10"/>
  <c r="U476" i="10"/>
  <c r="T476" i="10"/>
  <c r="S476" i="10"/>
  <c r="AG476" i="10" s="1"/>
  <c r="R476" i="10"/>
  <c r="P476" i="10"/>
  <c r="Q476" i="10" s="1"/>
  <c r="K476" i="10"/>
  <c r="J476" i="10"/>
  <c r="I476" i="10"/>
  <c r="H476" i="10"/>
  <c r="E476" i="10"/>
  <c r="AJ476" i="10" s="1"/>
  <c r="C476" i="10"/>
  <c r="AK475" i="10" a="1"/>
  <c r="AK475" i="10" s="1"/>
  <c r="AJ475" i="10"/>
  <c r="AI475" i="10"/>
  <c r="AH475" i="10"/>
  <c r="AF475" i="10"/>
  <c r="AE475" i="10"/>
  <c r="AD475" i="10"/>
  <c r="AB475" i="10"/>
  <c r="W475" i="10"/>
  <c r="Y475" i="10" s="1"/>
  <c r="V475" i="10"/>
  <c r="K475" i="10"/>
  <c r="J475" i="10"/>
  <c r="I475" i="10"/>
  <c r="H475" i="10"/>
  <c r="E475" i="10"/>
  <c r="C475" i="10"/>
  <c r="P475" i="10" s="1"/>
  <c r="Q475" i="10" s="1"/>
  <c r="AK474" i="10" a="1"/>
  <c r="AK474" i="10" s="1"/>
  <c r="AJ474" i="10"/>
  <c r="AI474" i="10"/>
  <c r="AH474" i="10"/>
  <c r="AF474" i="10"/>
  <c r="AE474" i="10"/>
  <c r="AD474" i="10"/>
  <c r="AB474" i="10"/>
  <c r="W474" i="10"/>
  <c r="Y474" i="10" s="1"/>
  <c r="V474" i="10"/>
  <c r="Z474" i="10" s="1"/>
  <c r="AA474" i="10" s="1"/>
  <c r="U474" i="10"/>
  <c r="T474" i="10"/>
  <c r="S474" i="10"/>
  <c r="AG474" i="10" s="1"/>
  <c r="R474" i="10"/>
  <c r="Q474" i="10"/>
  <c r="P474" i="10"/>
  <c r="K474" i="10"/>
  <c r="O477" i="10" s="1"/>
  <c r="J474" i="10"/>
  <c r="I474" i="10"/>
  <c r="H474" i="10"/>
  <c r="E474" i="10"/>
  <c r="C474" i="10"/>
  <c r="AK473" i="10" a="1"/>
  <c r="AK473" i="10" s="1"/>
  <c r="AH473" i="10"/>
  <c r="AF473" i="10"/>
  <c r="AE473" i="10"/>
  <c r="AD473" i="10"/>
  <c r="AB473" i="10"/>
  <c r="Z473" i="10"/>
  <c r="AA473" i="10" s="1"/>
  <c r="Y473" i="10"/>
  <c r="X473" i="10"/>
  <c r="W473" i="10"/>
  <c r="V473" i="10"/>
  <c r="U473" i="10"/>
  <c r="T473" i="10"/>
  <c r="S473" i="10"/>
  <c r="AG473" i="10" s="1"/>
  <c r="R473" i="10"/>
  <c r="Q473" i="10"/>
  <c r="P473" i="10"/>
  <c r="K473" i="10"/>
  <c r="J473" i="10"/>
  <c r="I473" i="10"/>
  <c r="H473" i="10"/>
  <c r="E473" i="10"/>
  <c r="AJ473" i="10" s="1"/>
  <c r="C473" i="10"/>
  <c r="AK472" i="10" a="1"/>
  <c r="AK472" i="10" s="1"/>
  <c r="AJ472" i="10"/>
  <c r="AI472" i="10"/>
  <c r="AH472" i="10"/>
  <c r="AF472" i="10"/>
  <c r="AE472" i="10"/>
  <c r="AD472" i="10"/>
  <c r="AB472" i="10"/>
  <c r="AA472" i="10"/>
  <c r="Z472" i="10"/>
  <c r="Y472" i="10"/>
  <c r="X472" i="10"/>
  <c r="W472" i="10"/>
  <c r="V472" i="10"/>
  <c r="K472" i="10"/>
  <c r="J472" i="10"/>
  <c r="I472" i="10"/>
  <c r="H472" i="10"/>
  <c r="E472" i="10"/>
  <c r="C472" i="10"/>
  <c r="P472" i="10" s="1"/>
  <c r="Q472" i="10" s="1"/>
  <c r="AK471" i="10" a="1"/>
  <c r="AK471" i="10" s="1"/>
  <c r="AJ471" i="10"/>
  <c r="AI471" i="10"/>
  <c r="AH471" i="10"/>
  <c r="AF471" i="10"/>
  <c r="AE471" i="10"/>
  <c r="AD471" i="10"/>
  <c r="AB471" i="10"/>
  <c r="W471" i="10"/>
  <c r="Y471" i="10" s="1"/>
  <c r="V471" i="10"/>
  <c r="Z471" i="10" s="1"/>
  <c r="AA471" i="10" s="1"/>
  <c r="U471" i="10"/>
  <c r="T471" i="10"/>
  <c r="S471" i="10"/>
  <c r="AG471" i="10" s="1"/>
  <c r="R471" i="10"/>
  <c r="K471" i="10"/>
  <c r="O474" i="10" s="1"/>
  <c r="J471" i="10"/>
  <c r="I471" i="10"/>
  <c r="H471" i="10"/>
  <c r="E471" i="10"/>
  <c r="C471" i="10"/>
  <c r="P471" i="10" s="1"/>
  <c r="Q471" i="10" s="1"/>
  <c r="AK470" i="10" a="1"/>
  <c r="AK470" i="10" s="1"/>
  <c r="AH470" i="10"/>
  <c r="AF470" i="10"/>
  <c r="AE470" i="10"/>
  <c r="AD470" i="10"/>
  <c r="AB470" i="10"/>
  <c r="AA470" i="10"/>
  <c r="Z470" i="10"/>
  <c r="Y470" i="10"/>
  <c r="X470" i="10"/>
  <c r="W470" i="10"/>
  <c r="V470" i="10"/>
  <c r="U470" i="10"/>
  <c r="T470" i="10"/>
  <c r="S470" i="10"/>
  <c r="AG470" i="10" s="1"/>
  <c r="R470" i="10"/>
  <c r="Q470" i="10"/>
  <c r="P470" i="10"/>
  <c r="K470" i="10"/>
  <c r="J470" i="10"/>
  <c r="I470" i="10"/>
  <c r="H470" i="10"/>
  <c r="E470" i="10"/>
  <c r="AJ470" i="10" s="1"/>
  <c r="C470" i="10"/>
  <c r="AK469" i="10"/>
  <c r="AK469" i="10" a="1"/>
  <c r="AI469" i="10"/>
  <c r="AH469" i="10"/>
  <c r="AF469" i="10"/>
  <c r="AE469" i="10"/>
  <c r="AD469" i="10"/>
  <c r="AB469" i="10"/>
  <c r="AA469" i="10"/>
  <c r="Z469" i="10"/>
  <c r="Y469" i="10"/>
  <c r="X469" i="10"/>
  <c r="W469" i="10"/>
  <c r="V469" i="10"/>
  <c r="K469" i="10"/>
  <c r="J469" i="10"/>
  <c r="I469" i="10"/>
  <c r="H469" i="10"/>
  <c r="E469" i="10"/>
  <c r="AJ469" i="10" s="1"/>
  <c r="C469" i="10"/>
  <c r="P469" i="10" s="1"/>
  <c r="Q469" i="10" s="1"/>
  <c r="AK468" i="10" a="1"/>
  <c r="AK468" i="10" s="1"/>
  <c r="AJ468" i="10"/>
  <c r="AI468" i="10"/>
  <c r="AH468" i="10"/>
  <c r="AG468" i="10"/>
  <c r="AF468" i="10"/>
  <c r="AE468" i="10"/>
  <c r="AD468" i="10"/>
  <c r="AB468" i="10"/>
  <c r="W468" i="10"/>
  <c r="Y468" i="10" s="1"/>
  <c r="V468" i="10"/>
  <c r="Z468" i="10" s="1"/>
  <c r="AA468" i="10" s="1"/>
  <c r="U468" i="10"/>
  <c r="T468" i="10"/>
  <c r="S468" i="10"/>
  <c r="R468" i="10"/>
  <c r="K468" i="10"/>
  <c r="J468" i="10"/>
  <c r="I468" i="10"/>
  <c r="H468" i="10"/>
  <c r="E468" i="10"/>
  <c r="C468" i="10"/>
  <c r="P468" i="10" s="1"/>
  <c r="Q468" i="10" s="1"/>
  <c r="AK467" i="10" a="1"/>
  <c r="AK467" i="10" s="1"/>
  <c r="AH467" i="10"/>
  <c r="AF467" i="10"/>
  <c r="AE467" i="10"/>
  <c r="AD467" i="10"/>
  <c r="AB467" i="10"/>
  <c r="AA467" i="10"/>
  <c r="Z467" i="10"/>
  <c r="X467" i="10"/>
  <c r="W467" i="10"/>
  <c r="Y467" i="10" s="1"/>
  <c r="V467" i="10"/>
  <c r="U467" i="10"/>
  <c r="T467" i="10"/>
  <c r="S467" i="10"/>
  <c r="AG467" i="10" s="1"/>
  <c r="R467" i="10"/>
  <c r="P467" i="10"/>
  <c r="Q467" i="10" s="1"/>
  <c r="K467" i="10"/>
  <c r="J467" i="10"/>
  <c r="I467" i="10"/>
  <c r="H467" i="10"/>
  <c r="E467" i="10"/>
  <c r="AJ467" i="10" s="1"/>
  <c r="C467" i="10"/>
  <c r="AI466" i="10"/>
  <c r="AH466" i="10"/>
  <c r="AF466" i="10"/>
  <c r="AE466" i="10"/>
  <c r="AD466" i="10"/>
  <c r="AB466" i="10"/>
  <c r="Y466" i="10"/>
  <c r="W466" i="10"/>
  <c r="V466" i="10"/>
  <c r="K466" i="10"/>
  <c r="J466" i="10"/>
  <c r="I466" i="10"/>
  <c r="H466" i="10"/>
  <c r="E466" i="10"/>
  <c r="C466" i="10"/>
  <c r="P466" i="10" s="1"/>
  <c r="Q466" i="10" s="1"/>
  <c r="AH465" i="10"/>
  <c r="AG465" i="10"/>
  <c r="AF465" i="10"/>
  <c r="AE465" i="10"/>
  <c r="AD465" i="10"/>
  <c r="AB465" i="10"/>
  <c r="W465" i="10"/>
  <c r="Y465" i="10" s="1"/>
  <c r="V465" i="10"/>
  <c r="Z465" i="10" s="1"/>
  <c r="AA465" i="10" s="1"/>
  <c r="U465" i="10"/>
  <c r="T465" i="10"/>
  <c r="S465" i="10"/>
  <c r="R465" i="10"/>
  <c r="K465" i="10"/>
  <c r="J465" i="10"/>
  <c r="I465" i="10"/>
  <c r="H465" i="10"/>
  <c r="E465" i="10"/>
  <c r="C465" i="10"/>
  <c r="P465" i="10" s="1"/>
  <c r="Q465" i="10" s="1"/>
  <c r="AK464" i="10" a="1"/>
  <c r="AK464" i="10" s="1"/>
  <c r="AH464" i="10"/>
  <c r="AF464" i="10"/>
  <c r="AE464" i="10"/>
  <c r="AD464" i="10"/>
  <c r="AB464" i="10"/>
  <c r="Z464" i="10"/>
  <c r="AA464" i="10" s="1"/>
  <c r="Y464" i="10"/>
  <c r="X464" i="10"/>
  <c r="W464" i="10"/>
  <c r="V464" i="10"/>
  <c r="U464" i="10"/>
  <c r="T464" i="10"/>
  <c r="S464" i="10"/>
  <c r="AG464" i="10" s="1"/>
  <c r="R464" i="10"/>
  <c r="P464" i="10"/>
  <c r="Q464" i="10" s="1"/>
  <c r="O464" i="10"/>
  <c r="K464" i="10"/>
  <c r="J464" i="10"/>
  <c r="O467" i="10" s="1"/>
  <c r="I464" i="10"/>
  <c r="H464" i="10"/>
  <c r="E464" i="10"/>
  <c r="AJ464" i="10" s="1"/>
  <c r="C464" i="10"/>
  <c r="AJ463" i="10"/>
  <c r="AH463" i="10"/>
  <c r="AF463" i="10"/>
  <c r="AE463" i="10"/>
  <c r="AD463" i="10"/>
  <c r="AB463" i="10"/>
  <c r="W463" i="10"/>
  <c r="Y463" i="10" s="1"/>
  <c r="V463" i="10"/>
  <c r="T463" i="10" s="1"/>
  <c r="K463" i="10"/>
  <c r="J463" i="10"/>
  <c r="I463" i="10"/>
  <c r="H463" i="10"/>
  <c r="E463" i="10"/>
  <c r="C463" i="10"/>
  <c r="P463" i="10" s="1"/>
  <c r="Q463" i="10" s="1"/>
  <c r="AJ462" i="10"/>
  <c r="AH462" i="10"/>
  <c r="AG462" i="10"/>
  <c r="AF462" i="10"/>
  <c r="AE462" i="10"/>
  <c r="AD462" i="10"/>
  <c r="AB462" i="10"/>
  <c r="W462" i="10"/>
  <c r="Y462" i="10" s="1"/>
  <c r="V462" i="10"/>
  <c r="Z462" i="10" s="1"/>
  <c r="AA462" i="10" s="1"/>
  <c r="U462" i="10"/>
  <c r="T462" i="10"/>
  <c r="S462" i="10"/>
  <c r="R462" i="10"/>
  <c r="Q462" i="10"/>
  <c r="P462" i="10"/>
  <c r="K462" i="10"/>
  <c r="J462" i="10"/>
  <c r="I462" i="10"/>
  <c r="H462" i="10"/>
  <c r="E462" i="10"/>
  <c r="C462" i="10"/>
  <c r="AK461" i="10" a="1"/>
  <c r="AK461" i="10" s="1"/>
  <c r="AH461" i="10"/>
  <c r="AF461" i="10"/>
  <c r="AE461" i="10"/>
  <c r="AD461" i="10"/>
  <c r="AB461" i="10"/>
  <c r="Z461" i="10"/>
  <c r="AA461" i="10" s="1"/>
  <c r="Y461" i="10"/>
  <c r="X461" i="10"/>
  <c r="W461" i="10"/>
  <c r="V461" i="10"/>
  <c r="U461" i="10"/>
  <c r="T461" i="10"/>
  <c r="S461" i="10"/>
  <c r="AG461" i="10" s="1"/>
  <c r="R461" i="10"/>
  <c r="Q461" i="10"/>
  <c r="P461" i="10"/>
  <c r="K461" i="10"/>
  <c r="J461" i="10"/>
  <c r="I461" i="10"/>
  <c r="H461" i="10"/>
  <c r="E461" i="10"/>
  <c r="AJ461" i="10" s="1"/>
  <c r="C461" i="10"/>
  <c r="AH460" i="10"/>
  <c r="AF460" i="10"/>
  <c r="AE460" i="10"/>
  <c r="AD460" i="10"/>
  <c r="AB460" i="10"/>
  <c r="Z460" i="10"/>
  <c r="AA460" i="10" s="1"/>
  <c r="Y460" i="10"/>
  <c r="X460" i="10"/>
  <c r="W460" i="10"/>
  <c r="V460" i="10"/>
  <c r="T460" i="10"/>
  <c r="K460" i="10"/>
  <c r="J460" i="10"/>
  <c r="I460" i="10"/>
  <c r="H460" i="10"/>
  <c r="E460" i="10"/>
  <c r="C460" i="10"/>
  <c r="AH459" i="10"/>
  <c r="AF459" i="10"/>
  <c r="AE459" i="10"/>
  <c r="AD459" i="10"/>
  <c r="AB459" i="10"/>
  <c r="W459" i="10"/>
  <c r="Y459" i="10" s="1"/>
  <c r="V459" i="10"/>
  <c r="Z459" i="10" s="1"/>
  <c r="AA459" i="10" s="1"/>
  <c r="U459" i="10"/>
  <c r="T459" i="10"/>
  <c r="S459" i="10"/>
  <c r="AG459" i="10" s="1"/>
  <c r="R459" i="10"/>
  <c r="P459" i="10"/>
  <c r="Q459" i="10" s="1"/>
  <c r="K459" i="10"/>
  <c r="O462" i="10" s="1"/>
  <c r="J459" i="10"/>
  <c r="I459" i="10"/>
  <c r="H459" i="10"/>
  <c r="E459" i="10"/>
  <c r="C459" i="10"/>
  <c r="AK458" i="10" a="1"/>
  <c r="AK458" i="10" s="1"/>
  <c r="AH458" i="10"/>
  <c r="AF458" i="10"/>
  <c r="AE458" i="10"/>
  <c r="AD458" i="10"/>
  <c r="AB458" i="10"/>
  <c r="Z458" i="10"/>
  <c r="AA458" i="10" s="1"/>
  <c r="Y458" i="10"/>
  <c r="X458" i="10"/>
  <c r="W458" i="10"/>
  <c r="V458" i="10"/>
  <c r="U458" i="10"/>
  <c r="T458" i="10"/>
  <c r="S458" i="10"/>
  <c r="AG458" i="10" s="1"/>
  <c r="R458" i="10"/>
  <c r="Q458" i="10"/>
  <c r="P458" i="10"/>
  <c r="K458" i="10"/>
  <c r="J458" i="10"/>
  <c r="O461" i="10" s="1"/>
  <c r="I458" i="10"/>
  <c r="H458" i="10"/>
  <c r="E458" i="10"/>
  <c r="AJ458" i="10" s="1"/>
  <c r="C458" i="10"/>
  <c r="AK457" i="10" a="1"/>
  <c r="AK457" i="10" s="1"/>
  <c r="AJ457" i="10"/>
  <c r="AI457" i="10"/>
  <c r="AH457" i="10"/>
  <c r="AF457" i="10"/>
  <c r="AE457" i="10"/>
  <c r="AD457" i="10"/>
  <c r="AB457" i="10"/>
  <c r="Z457" i="10"/>
  <c r="AA457" i="10" s="1"/>
  <c r="X457" i="10"/>
  <c r="W457" i="10"/>
  <c r="Y457" i="10" s="1"/>
  <c r="V457" i="10"/>
  <c r="T457" i="10"/>
  <c r="K457" i="10"/>
  <c r="J457" i="10"/>
  <c r="I457" i="10"/>
  <c r="H457" i="10"/>
  <c r="E457" i="10"/>
  <c r="C457" i="10"/>
  <c r="AK456" i="10" a="1"/>
  <c r="AK456" i="10" s="1"/>
  <c r="AJ456" i="10"/>
  <c r="AI456" i="10"/>
  <c r="AH456" i="10"/>
  <c r="AF456" i="10"/>
  <c r="AE456" i="10"/>
  <c r="AD456" i="10"/>
  <c r="AB456" i="10"/>
  <c r="W456" i="10"/>
  <c r="Y456" i="10" s="1"/>
  <c r="V456" i="10"/>
  <c r="Z456" i="10" s="1"/>
  <c r="AA456" i="10" s="1"/>
  <c r="U456" i="10"/>
  <c r="T456" i="10"/>
  <c r="S456" i="10"/>
  <c r="AG456" i="10" s="1"/>
  <c r="R456" i="10"/>
  <c r="Q456" i="10"/>
  <c r="P456" i="10"/>
  <c r="O456" i="10"/>
  <c r="K456" i="10"/>
  <c r="J456" i="10"/>
  <c r="I456" i="10"/>
  <c r="H456" i="10"/>
  <c r="E456" i="10"/>
  <c r="C456" i="10"/>
  <c r="AK455" i="10" a="1"/>
  <c r="AK455" i="10" s="1"/>
  <c r="AH455" i="10"/>
  <c r="AF455" i="10"/>
  <c r="AE455" i="10"/>
  <c r="AD455" i="10"/>
  <c r="AB455" i="10"/>
  <c r="AA455" i="10"/>
  <c r="Z455" i="10"/>
  <c r="X455" i="10"/>
  <c r="W455" i="10"/>
  <c r="Y455" i="10" s="1"/>
  <c r="V455" i="10"/>
  <c r="U455" i="10"/>
  <c r="T455" i="10"/>
  <c r="S455" i="10"/>
  <c r="AG455" i="10" s="1"/>
  <c r="R455" i="10"/>
  <c r="Q455" i="10"/>
  <c r="P455" i="10"/>
  <c r="K455" i="10"/>
  <c r="J455" i="10"/>
  <c r="I455" i="10"/>
  <c r="H455" i="10"/>
  <c r="E455" i="10"/>
  <c r="AJ455" i="10" s="1"/>
  <c r="C455" i="10"/>
  <c r="AK454" i="10" a="1"/>
  <c r="AK454" i="10" s="1"/>
  <c r="AJ454" i="10"/>
  <c r="AI454" i="10"/>
  <c r="AH454" i="10"/>
  <c r="AF454" i="10"/>
  <c r="AE454" i="10"/>
  <c r="AD454" i="10"/>
  <c r="AB454" i="10"/>
  <c r="Z454" i="10"/>
  <c r="AA454" i="10" s="1"/>
  <c r="X454" i="10"/>
  <c r="W454" i="10"/>
  <c r="Y454" i="10" s="1"/>
  <c r="V454" i="10"/>
  <c r="T454" i="10" s="1"/>
  <c r="K454" i="10"/>
  <c r="J454" i="10"/>
  <c r="I454" i="10"/>
  <c r="H454" i="10"/>
  <c r="E454" i="10"/>
  <c r="C454" i="10"/>
  <c r="P454" i="10" s="1"/>
  <c r="Q454" i="10" s="1"/>
  <c r="AK453" i="10"/>
  <c r="AK453" i="10" a="1"/>
  <c r="AJ453" i="10"/>
  <c r="AI453" i="10"/>
  <c r="AH453" i="10"/>
  <c r="AF453" i="10"/>
  <c r="AE453" i="10"/>
  <c r="AD453" i="10"/>
  <c r="AB453" i="10"/>
  <c r="W453" i="10"/>
  <c r="Y453" i="10" s="1"/>
  <c r="V453" i="10"/>
  <c r="Z453" i="10" s="1"/>
  <c r="AA453" i="10" s="1"/>
  <c r="U453" i="10"/>
  <c r="T453" i="10"/>
  <c r="S453" i="10"/>
  <c r="AG453" i="10" s="1"/>
  <c r="R453" i="10"/>
  <c r="K453" i="10"/>
  <c r="J453" i="10"/>
  <c r="I453" i="10"/>
  <c r="H453" i="10"/>
  <c r="E453" i="10"/>
  <c r="C453" i="10"/>
  <c r="P453" i="10" s="1"/>
  <c r="Q453" i="10" s="1"/>
  <c r="AK452" i="10" a="1"/>
  <c r="AK452" i="10" s="1"/>
  <c r="AH452" i="10"/>
  <c r="AF452" i="10"/>
  <c r="AE452" i="10"/>
  <c r="AD452" i="10"/>
  <c r="AB452" i="10"/>
  <c r="AA452" i="10"/>
  <c r="Z452" i="10"/>
  <c r="X452" i="10"/>
  <c r="W452" i="10"/>
  <c r="Y452" i="10" s="1"/>
  <c r="V452" i="10"/>
  <c r="U452" i="10"/>
  <c r="T452" i="10"/>
  <c r="S452" i="10"/>
  <c r="AG452" i="10" s="1"/>
  <c r="R452" i="10"/>
  <c r="P452" i="10"/>
  <c r="Q452" i="10" s="1"/>
  <c r="K452" i="10"/>
  <c r="J452" i="10"/>
  <c r="O455" i="10" s="1"/>
  <c r="I452" i="10"/>
  <c r="H452" i="10"/>
  <c r="E452" i="10"/>
  <c r="AJ452" i="10" s="1"/>
  <c r="C452" i="10"/>
  <c r="AK451" i="10" a="1"/>
  <c r="AK451" i="10" s="1"/>
  <c r="AJ451" i="10"/>
  <c r="AI451" i="10"/>
  <c r="AH451" i="10"/>
  <c r="AF451" i="10"/>
  <c r="AE451" i="10"/>
  <c r="AD451" i="10"/>
  <c r="AB451" i="10"/>
  <c r="Y451" i="10"/>
  <c r="W451" i="10"/>
  <c r="V451" i="10"/>
  <c r="T451" i="10" s="1"/>
  <c r="K451" i="10"/>
  <c r="J451" i="10"/>
  <c r="I451" i="10"/>
  <c r="H451" i="10"/>
  <c r="E451" i="10"/>
  <c r="C451" i="10"/>
  <c r="P451" i="10" s="1"/>
  <c r="Q451" i="10" s="1"/>
  <c r="AK450" i="10" a="1"/>
  <c r="AK450" i="10" s="1"/>
  <c r="AJ450" i="10"/>
  <c r="AI450" i="10"/>
  <c r="AH450" i="10"/>
  <c r="AG450" i="10"/>
  <c r="AF450" i="10"/>
  <c r="AE450" i="10"/>
  <c r="AD450" i="10"/>
  <c r="AB450" i="10"/>
  <c r="W450" i="10"/>
  <c r="Y450" i="10" s="1"/>
  <c r="V450" i="10"/>
  <c r="Z450" i="10" s="1"/>
  <c r="AA450" i="10" s="1"/>
  <c r="U450" i="10"/>
  <c r="T450" i="10"/>
  <c r="S450" i="10"/>
  <c r="R450" i="10"/>
  <c r="K450" i="10"/>
  <c r="J450" i="10"/>
  <c r="I450" i="10"/>
  <c r="H450" i="10"/>
  <c r="E450" i="10"/>
  <c r="C450" i="10"/>
  <c r="P450" i="10" s="1"/>
  <c r="Q450" i="10" s="1"/>
  <c r="AK449" i="10" a="1"/>
  <c r="AK449" i="10" s="1"/>
  <c r="AH449" i="10"/>
  <c r="AF449" i="10"/>
  <c r="AE449" i="10"/>
  <c r="AD449" i="10"/>
  <c r="AB449" i="10"/>
  <c r="AA449" i="10"/>
  <c r="Z449" i="10"/>
  <c r="Y449" i="10"/>
  <c r="X449" i="10"/>
  <c r="W449" i="10"/>
  <c r="V449" i="10"/>
  <c r="U449" i="10"/>
  <c r="T449" i="10"/>
  <c r="S449" i="10"/>
  <c r="AG449" i="10" s="1"/>
  <c r="R449" i="10"/>
  <c r="Q449" i="10"/>
  <c r="P449" i="10"/>
  <c r="K449" i="10"/>
  <c r="J449" i="10"/>
  <c r="O452" i="10" s="1"/>
  <c r="I449" i="10"/>
  <c r="H449" i="10"/>
  <c r="E449" i="10"/>
  <c r="AJ449" i="10" s="1"/>
  <c r="C449" i="10"/>
  <c r="AK448" i="10" a="1"/>
  <c r="AK448" i="10" s="1"/>
  <c r="AI448" i="10"/>
  <c r="AH448" i="10"/>
  <c r="AF448" i="10"/>
  <c r="AE448" i="10"/>
  <c r="AD448" i="10"/>
  <c r="AB448" i="10"/>
  <c r="W448" i="10"/>
  <c r="Y448" i="10" s="1"/>
  <c r="V448" i="10"/>
  <c r="T448" i="10"/>
  <c r="K448" i="10"/>
  <c r="J448" i="10"/>
  <c r="I448" i="10"/>
  <c r="H448" i="10"/>
  <c r="E448" i="10"/>
  <c r="C448" i="10"/>
  <c r="P448" i="10" s="1"/>
  <c r="Q448" i="10" s="1"/>
  <c r="AH447" i="10"/>
  <c r="AF447" i="10"/>
  <c r="AE447" i="10"/>
  <c r="AD447" i="10"/>
  <c r="AB447" i="10"/>
  <c r="W447" i="10"/>
  <c r="Y447" i="10" s="1"/>
  <c r="V447" i="10"/>
  <c r="Z447" i="10" s="1"/>
  <c r="AA447" i="10" s="1"/>
  <c r="U447" i="10"/>
  <c r="T447" i="10"/>
  <c r="S447" i="10"/>
  <c r="AG447" i="10" s="1"/>
  <c r="R447" i="10"/>
  <c r="Q447" i="10"/>
  <c r="P447" i="10"/>
  <c r="K447" i="10"/>
  <c r="J447" i="10"/>
  <c r="O449" i="10" s="1"/>
  <c r="I447" i="10"/>
  <c r="H447" i="10"/>
  <c r="E447" i="10"/>
  <c r="C447" i="10"/>
  <c r="AK446" i="10" a="1"/>
  <c r="AK446" i="10" s="1"/>
  <c r="AH446" i="10"/>
  <c r="AF446" i="10"/>
  <c r="AE446" i="10"/>
  <c r="AD446" i="10"/>
  <c r="AB446" i="10"/>
  <c r="Z446" i="10"/>
  <c r="AA446" i="10" s="1"/>
  <c r="X446" i="10"/>
  <c r="W446" i="10"/>
  <c r="Y446" i="10" s="1"/>
  <c r="V446" i="10"/>
  <c r="U446" i="10"/>
  <c r="T446" i="10"/>
  <c r="S446" i="10"/>
  <c r="AG446" i="10" s="1"/>
  <c r="R446" i="10"/>
  <c r="P446" i="10"/>
  <c r="Q446" i="10" s="1"/>
  <c r="K446" i="10"/>
  <c r="J446" i="10"/>
  <c r="I446" i="10"/>
  <c r="H446" i="10"/>
  <c r="E446" i="10"/>
  <c r="AJ446" i="10" s="1"/>
  <c r="C446" i="10"/>
  <c r="AH445" i="10"/>
  <c r="AF445" i="10"/>
  <c r="AE445" i="10"/>
  <c r="AD445" i="10"/>
  <c r="AB445" i="10"/>
  <c r="Y445" i="10"/>
  <c r="X445" i="10"/>
  <c r="W445" i="10"/>
  <c r="V445" i="10"/>
  <c r="K445" i="10"/>
  <c r="J445" i="10"/>
  <c r="I445" i="10"/>
  <c r="H445" i="10"/>
  <c r="E445" i="10"/>
  <c r="C445" i="10"/>
  <c r="P445" i="10" s="1"/>
  <c r="Q445" i="10" s="1"/>
  <c r="AH444" i="10"/>
  <c r="AG444" i="10"/>
  <c r="AF444" i="10"/>
  <c r="AE444" i="10"/>
  <c r="AD444" i="10"/>
  <c r="AB444" i="10"/>
  <c r="W444" i="10"/>
  <c r="Y444" i="10" s="1"/>
  <c r="V444" i="10"/>
  <c r="Z444" i="10" s="1"/>
  <c r="AA444" i="10" s="1"/>
  <c r="U444" i="10"/>
  <c r="T444" i="10"/>
  <c r="S444" i="10"/>
  <c r="R444" i="10"/>
  <c r="P444" i="10"/>
  <c r="Q444" i="10" s="1"/>
  <c r="O444" i="10"/>
  <c r="K444" i="10"/>
  <c r="J444" i="10"/>
  <c r="O446" i="10" s="1"/>
  <c r="I444" i="10"/>
  <c r="H444" i="10"/>
  <c r="E444" i="10"/>
  <c r="C444" i="10"/>
  <c r="AK443" i="10" a="1"/>
  <c r="AK443" i="10" s="1"/>
  <c r="AH443" i="10"/>
  <c r="AF443" i="10"/>
  <c r="AE443" i="10"/>
  <c r="AD443" i="10"/>
  <c r="AB443" i="10"/>
  <c r="AA443" i="10"/>
  <c r="Z443" i="10"/>
  <c r="X443" i="10"/>
  <c r="W443" i="10"/>
  <c r="Y443" i="10" s="1"/>
  <c r="V443" i="10"/>
  <c r="U443" i="10"/>
  <c r="T443" i="10"/>
  <c r="S443" i="10"/>
  <c r="AG443" i="10" s="1"/>
  <c r="R443" i="10"/>
  <c r="P443" i="10"/>
  <c r="Q443" i="10" s="1"/>
  <c r="K443" i="10"/>
  <c r="J443" i="10"/>
  <c r="I443" i="10"/>
  <c r="H443" i="10"/>
  <c r="E443" i="10"/>
  <c r="AJ443" i="10" s="1"/>
  <c r="C443" i="10"/>
  <c r="AI442" i="10"/>
  <c r="AH442" i="10"/>
  <c r="AF442" i="10"/>
  <c r="AE442" i="10"/>
  <c r="AD442" i="10"/>
  <c r="AB442" i="10"/>
  <c r="Y442" i="10"/>
  <c r="W442" i="10"/>
  <c r="V442" i="10"/>
  <c r="T442" i="10" s="1"/>
  <c r="K442" i="10"/>
  <c r="J442" i="10"/>
  <c r="I442" i="10"/>
  <c r="H442" i="10"/>
  <c r="E442" i="10"/>
  <c r="AK442" i="10" s="1" a="1"/>
  <c r="AK442" i="10" s="1"/>
  <c r="C442" i="10"/>
  <c r="AJ441" i="10"/>
  <c r="AI441" i="10"/>
  <c r="AH441" i="10"/>
  <c r="AG441" i="10"/>
  <c r="AF441" i="10"/>
  <c r="AE441" i="10"/>
  <c r="AD441" i="10"/>
  <c r="AB441" i="10"/>
  <c r="W441" i="10"/>
  <c r="Y441" i="10" s="1"/>
  <c r="V441" i="10"/>
  <c r="Z441" i="10" s="1"/>
  <c r="AA441" i="10" s="1"/>
  <c r="U441" i="10"/>
  <c r="T441" i="10"/>
  <c r="S441" i="10"/>
  <c r="R441" i="10"/>
  <c r="P441" i="10"/>
  <c r="Q441" i="10" s="1"/>
  <c r="K441" i="10"/>
  <c r="J441" i="10"/>
  <c r="I441" i="10"/>
  <c r="H441" i="10"/>
  <c r="AK441" i="10" s="1" a="1"/>
  <c r="AK441" i="10" s="1"/>
  <c r="E441" i="10"/>
  <c r="C441" i="10"/>
  <c r="AK440" i="10" a="1"/>
  <c r="AK440" i="10" s="1"/>
  <c r="AH440" i="10"/>
  <c r="AF440" i="10"/>
  <c r="AE440" i="10"/>
  <c r="AD440" i="10"/>
  <c r="AB440" i="10"/>
  <c r="Z440" i="10"/>
  <c r="AA440" i="10" s="1"/>
  <c r="W440" i="10"/>
  <c r="Y440" i="10" s="1"/>
  <c r="V440" i="10"/>
  <c r="U440" i="10" s="1"/>
  <c r="Q440" i="10"/>
  <c r="P440" i="10"/>
  <c r="K440" i="10"/>
  <c r="J440" i="10"/>
  <c r="I440" i="10"/>
  <c r="H440" i="10"/>
  <c r="E440" i="10"/>
  <c r="AJ440" i="10" s="1"/>
  <c r="C440" i="10"/>
  <c r="AK439" i="10" a="1"/>
  <c r="AK439" i="10" s="1"/>
  <c r="AJ439" i="10"/>
  <c r="AI439" i="10"/>
  <c r="AH439" i="10"/>
  <c r="AF439" i="10"/>
  <c r="AE439" i="10"/>
  <c r="AD439" i="10"/>
  <c r="AB439" i="10"/>
  <c r="Y439" i="10"/>
  <c r="W439" i="10"/>
  <c r="V439" i="10"/>
  <c r="T439" i="10" s="1"/>
  <c r="N439" i="10"/>
  <c r="K439" i="10"/>
  <c r="J439" i="10"/>
  <c r="I439" i="10"/>
  <c r="H439" i="10"/>
  <c r="E439" i="10"/>
  <c r="C439" i="10"/>
  <c r="AK438" i="10" a="1"/>
  <c r="AK438" i="10" s="1"/>
  <c r="AI438" i="10"/>
  <c r="AH438" i="10"/>
  <c r="AG438" i="10"/>
  <c r="AF438" i="10"/>
  <c r="AE438" i="10"/>
  <c r="AD438" i="10"/>
  <c r="AB438" i="10"/>
  <c r="W438" i="10"/>
  <c r="Y438" i="10" s="1"/>
  <c r="V438" i="10"/>
  <c r="T438" i="10" s="1"/>
  <c r="U438" i="10"/>
  <c r="S438" i="10"/>
  <c r="R438" i="10"/>
  <c r="Q438" i="10"/>
  <c r="P438" i="10"/>
  <c r="K438" i="10"/>
  <c r="J438" i="10"/>
  <c r="I438" i="10"/>
  <c r="H438" i="10"/>
  <c r="E438" i="10"/>
  <c r="AJ438" i="10" s="1"/>
  <c r="C438" i="10"/>
  <c r="AK437" i="10" a="1"/>
  <c r="AK437" i="10" s="1"/>
  <c r="AH437" i="10"/>
  <c r="AF437" i="10"/>
  <c r="AE437" i="10"/>
  <c r="AD437" i="10"/>
  <c r="AB437" i="10"/>
  <c r="Y437" i="10"/>
  <c r="W437" i="10"/>
  <c r="V437" i="10"/>
  <c r="U437" i="10"/>
  <c r="S437" i="10"/>
  <c r="AG437" i="10" s="1"/>
  <c r="R437" i="10"/>
  <c r="Q437" i="10"/>
  <c r="P437" i="10"/>
  <c r="K437" i="10"/>
  <c r="J437" i="10"/>
  <c r="I437" i="10"/>
  <c r="H437" i="10"/>
  <c r="E437" i="10"/>
  <c r="AJ437" i="10" s="1"/>
  <c r="C437" i="10"/>
  <c r="AH436" i="10"/>
  <c r="AF436" i="10"/>
  <c r="AE436" i="10"/>
  <c r="AD436" i="10"/>
  <c r="AB436" i="10"/>
  <c r="W436" i="10"/>
  <c r="Y436" i="10" s="1"/>
  <c r="V436" i="10"/>
  <c r="O436" i="10"/>
  <c r="K436" i="10"/>
  <c r="J436" i="10"/>
  <c r="I436" i="10"/>
  <c r="H436" i="10"/>
  <c r="E436" i="10"/>
  <c r="C436" i="10"/>
  <c r="AK435" i="10" a="1"/>
  <c r="AK435" i="10" s="1"/>
  <c r="AI435" i="10"/>
  <c r="AH435" i="10"/>
  <c r="AF435" i="10"/>
  <c r="AE435" i="10"/>
  <c r="AD435" i="10"/>
  <c r="AB435" i="10"/>
  <c r="W435" i="10"/>
  <c r="Y435" i="10" s="1"/>
  <c r="V435" i="10"/>
  <c r="P435" i="10"/>
  <c r="Q435" i="10" s="1"/>
  <c r="O435" i="10"/>
  <c r="K435" i="10"/>
  <c r="J435" i="10"/>
  <c r="I435" i="10"/>
  <c r="H435" i="10"/>
  <c r="E435" i="10"/>
  <c r="AJ435" i="10" s="1"/>
  <c r="C435" i="10"/>
  <c r="AK434" i="10" a="1"/>
  <c r="AK434" i="10" s="1"/>
  <c r="AH434" i="10"/>
  <c r="AF434" i="10"/>
  <c r="AE434" i="10"/>
  <c r="AD434" i="10"/>
  <c r="AB434" i="10"/>
  <c r="Z434" i="10"/>
  <c r="AA434" i="10" s="1"/>
  <c r="X434" i="10"/>
  <c r="W434" i="10"/>
  <c r="Y434" i="10" s="1"/>
  <c r="V434" i="10"/>
  <c r="U434" i="10"/>
  <c r="T434" i="10"/>
  <c r="S434" i="10"/>
  <c r="AG434" i="10" s="1"/>
  <c r="R434" i="10"/>
  <c r="Q434" i="10"/>
  <c r="P434" i="10"/>
  <c r="K434" i="10"/>
  <c r="J434" i="10"/>
  <c r="I434" i="10"/>
  <c r="H434" i="10"/>
  <c r="E434" i="10"/>
  <c r="AJ434" i="10" s="1"/>
  <c r="C434" i="10"/>
  <c r="AH433" i="10"/>
  <c r="AF433" i="10"/>
  <c r="AE433" i="10"/>
  <c r="AD433" i="10"/>
  <c r="AB433" i="10"/>
  <c r="AA433" i="10"/>
  <c r="Z433" i="10"/>
  <c r="Y433" i="10"/>
  <c r="X433" i="10"/>
  <c r="W433" i="10"/>
  <c r="V433" i="10"/>
  <c r="T433" i="10"/>
  <c r="K433" i="10"/>
  <c r="J433" i="10"/>
  <c r="I433" i="10"/>
  <c r="H433" i="10"/>
  <c r="E433" i="10"/>
  <c r="C433" i="10"/>
  <c r="AH432" i="10"/>
  <c r="AG432" i="10"/>
  <c r="AF432" i="10"/>
  <c r="AE432" i="10"/>
  <c r="AD432" i="10"/>
  <c r="AB432" i="10"/>
  <c r="W432" i="10"/>
  <c r="Y432" i="10" s="1"/>
  <c r="V432" i="10"/>
  <c r="U432" i="10" s="1"/>
  <c r="S432" i="10"/>
  <c r="K432" i="10"/>
  <c r="J432" i="10"/>
  <c r="I432" i="10"/>
  <c r="H432" i="10"/>
  <c r="E432" i="10"/>
  <c r="C432" i="10"/>
  <c r="P432" i="10" s="1"/>
  <c r="Q432" i="10" s="1"/>
  <c r="AK431" i="10" a="1"/>
  <c r="AK431" i="10" s="1"/>
  <c r="AH431" i="10"/>
  <c r="AF431" i="10"/>
  <c r="AE431" i="10"/>
  <c r="AD431" i="10"/>
  <c r="AB431" i="10"/>
  <c r="Z431" i="10"/>
  <c r="AA431" i="10" s="1"/>
  <c r="X431" i="10"/>
  <c r="W431" i="10"/>
  <c r="Y431" i="10" s="1"/>
  <c r="V431" i="10"/>
  <c r="U431" i="10"/>
  <c r="T431" i="10"/>
  <c r="S431" i="10"/>
  <c r="AG431" i="10" s="1"/>
  <c r="R431" i="10"/>
  <c r="P431" i="10"/>
  <c r="Q431" i="10" s="1"/>
  <c r="K431" i="10"/>
  <c r="J431" i="10"/>
  <c r="I431" i="10"/>
  <c r="H431" i="10"/>
  <c r="E431" i="10"/>
  <c r="AJ431" i="10" s="1"/>
  <c r="C431" i="10"/>
  <c r="AH430" i="10"/>
  <c r="AF430" i="10"/>
  <c r="AE430" i="10"/>
  <c r="AD430" i="10"/>
  <c r="AB430" i="10"/>
  <c r="Z430" i="10"/>
  <c r="AA430" i="10" s="1"/>
  <c r="Y430" i="10"/>
  <c r="X430" i="10"/>
  <c r="W430" i="10"/>
  <c r="V430" i="10"/>
  <c r="T430" i="10"/>
  <c r="O430" i="10"/>
  <c r="K430" i="10"/>
  <c r="J430" i="10"/>
  <c r="O431" i="10" s="1"/>
  <c r="I430" i="10"/>
  <c r="P430" i="10" s="1"/>
  <c r="Q430" i="10" s="1"/>
  <c r="H430" i="10"/>
  <c r="E430" i="10"/>
  <c r="C430" i="10"/>
  <c r="AJ429" i="10"/>
  <c r="AH429" i="10"/>
  <c r="AF429" i="10"/>
  <c r="AE429" i="10"/>
  <c r="AD429" i="10"/>
  <c r="AB429" i="10"/>
  <c r="W429" i="10"/>
  <c r="Y429" i="10" s="1"/>
  <c r="V429" i="10"/>
  <c r="T429" i="10" s="1"/>
  <c r="U429" i="10"/>
  <c r="S429" i="10"/>
  <c r="AG429" i="10" s="1"/>
  <c r="R429" i="10"/>
  <c r="P429" i="10"/>
  <c r="Q429" i="10" s="1"/>
  <c r="K429" i="10"/>
  <c r="J429" i="10"/>
  <c r="I429" i="10"/>
  <c r="H429" i="10"/>
  <c r="E429" i="10"/>
  <c r="AK429" i="10" s="1" a="1"/>
  <c r="AK429" i="10" s="1"/>
  <c r="C429" i="10"/>
  <c r="AK428" i="10" a="1"/>
  <c r="AK428" i="10" s="1"/>
  <c r="AH428" i="10"/>
  <c r="AF428" i="10"/>
  <c r="AE428" i="10"/>
  <c r="AD428" i="10"/>
  <c r="AB428" i="10"/>
  <c r="W428" i="10"/>
  <c r="Y428" i="10" s="1"/>
  <c r="V428" i="10"/>
  <c r="K428" i="10"/>
  <c r="J428" i="10"/>
  <c r="I428" i="10"/>
  <c r="H428" i="10"/>
  <c r="E428" i="10"/>
  <c r="AJ428" i="10" s="1"/>
  <c r="C428" i="10"/>
  <c r="P428" i="10" s="1"/>
  <c r="Q428" i="10" s="1"/>
  <c r="AJ427" i="10"/>
  <c r="AI427" i="10"/>
  <c r="AH427" i="10"/>
  <c r="AF427" i="10"/>
  <c r="AE427" i="10"/>
  <c r="AD427" i="10"/>
  <c r="AB427" i="10"/>
  <c r="AA427" i="10"/>
  <c r="Z427" i="10"/>
  <c r="Y427" i="10"/>
  <c r="X427" i="10"/>
  <c r="W427" i="10"/>
  <c r="V427" i="10"/>
  <c r="T427" i="10"/>
  <c r="K427" i="10"/>
  <c r="J427" i="10"/>
  <c r="I427" i="10"/>
  <c r="H427" i="10"/>
  <c r="E427" i="10"/>
  <c r="C427" i="10"/>
  <c r="AJ426" i="10"/>
  <c r="AI426" i="10"/>
  <c r="AH426" i="10"/>
  <c r="AF426" i="10"/>
  <c r="AE426" i="10"/>
  <c r="AD426" i="10"/>
  <c r="AB426" i="10"/>
  <c r="Y426" i="10"/>
  <c r="X426" i="10"/>
  <c r="W426" i="10"/>
  <c r="V426" i="10"/>
  <c r="Z426" i="10" s="1"/>
  <c r="AA426" i="10" s="1"/>
  <c r="U426" i="10"/>
  <c r="T426" i="10"/>
  <c r="S426" i="10"/>
  <c r="AG426" i="10" s="1"/>
  <c r="R426" i="10"/>
  <c r="P426" i="10"/>
  <c r="Q426" i="10" s="1"/>
  <c r="K426" i="10"/>
  <c r="J426" i="10"/>
  <c r="I426" i="10"/>
  <c r="H426" i="10"/>
  <c r="E426" i="10"/>
  <c r="AK426" i="10" s="1" a="1"/>
  <c r="AK426" i="10" s="1"/>
  <c r="C426" i="10"/>
  <c r="AK425" i="10" a="1"/>
  <c r="AK425" i="10" s="1"/>
  <c r="AH425" i="10"/>
  <c r="AF425" i="10"/>
  <c r="AE425" i="10"/>
  <c r="AD425" i="10"/>
  <c r="AB425" i="10"/>
  <c r="Z425" i="10"/>
  <c r="AA425" i="10" s="1"/>
  <c r="W425" i="10"/>
  <c r="Y425" i="10" s="1"/>
  <c r="V425" i="10"/>
  <c r="S425" i="10" s="1"/>
  <c r="AG425" i="10" s="1"/>
  <c r="Q425" i="10"/>
  <c r="P425" i="10"/>
  <c r="K425" i="10"/>
  <c r="J425" i="10"/>
  <c r="I425" i="10"/>
  <c r="H425" i="10"/>
  <c r="E425" i="10"/>
  <c r="C425" i="10"/>
  <c r="AI424" i="10"/>
  <c r="AH424" i="10"/>
  <c r="AF424" i="10"/>
  <c r="AE424" i="10"/>
  <c r="AD424" i="10"/>
  <c r="AB424" i="10"/>
  <c r="Y424" i="10"/>
  <c r="W424" i="10"/>
  <c r="V424" i="10"/>
  <c r="U424" i="10"/>
  <c r="Q424" i="10"/>
  <c r="K424" i="10"/>
  <c r="J424" i="10"/>
  <c r="I424" i="10"/>
  <c r="H424" i="10"/>
  <c r="E424" i="10"/>
  <c r="C424" i="10"/>
  <c r="P424" i="10" s="1"/>
  <c r="AK423" i="10" a="1"/>
  <c r="AK423" i="10" s="1"/>
  <c r="AJ423" i="10"/>
  <c r="AH423" i="10"/>
  <c r="AF423" i="10"/>
  <c r="AE423" i="10"/>
  <c r="AD423" i="10"/>
  <c r="AB423" i="10"/>
  <c r="Y423" i="10"/>
  <c r="X423" i="10"/>
  <c r="W423" i="10"/>
  <c r="V423" i="10"/>
  <c r="Z423" i="10" s="1"/>
  <c r="AA423" i="10" s="1"/>
  <c r="N423" i="10"/>
  <c r="K423" i="10"/>
  <c r="J423" i="10"/>
  <c r="I423" i="10"/>
  <c r="H423" i="10"/>
  <c r="E423" i="10"/>
  <c r="C423" i="10"/>
  <c r="AK422" i="10" a="1"/>
  <c r="AK422" i="10" s="1"/>
  <c r="AH422" i="10"/>
  <c r="AF422" i="10"/>
  <c r="AE422" i="10"/>
  <c r="AD422" i="10"/>
  <c r="AB422" i="10"/>
  <c r="Z422" i="10"/>
  <c r="AA422" i="10" s="1"/>
  <c r="X422" i="10"/>
  <c r="W422" i="10"/>
  <c r="Y422" i="10" s="1"/>
  <c r="V422" i="10"/>
  <c r="U422" i="10"/>
  <c r="T422" i="10"/>
  <c r="S422" i="10"/>
  <c r="AG422" i="10" s="1"/>
  <c r="R422" i="10"/>
  <c r="P422" i="10"/>
  <c r="Q422" i="10" s="1"/>
  <c r="O422" i="10"/>
  <c r="K422" i="10"/>
  <c r="J422" i="10"/>
  <c r="I422" i="10"/>
  <c r="H422" i="10"/>
  <c r="E422" i="10"/>
  <c r="C422" i="10"/>
  <c r="AK421" i="10"/>
  <c r="AI421" i="10"/>
  <c r="AH421" i="10"/>
  <c r="AF421" i="10"/>
  <c r="AE421" i="10"/>
  <c r="AD421" i="10"/>
  <c r="AB421" i="10"/>
  <c r="Z421" i="10"/>
  <c r="AA421" i="10" s="1"/>
  <c r="X421" i="10"/>
  <c r="W421" i="10"/>
  <c r="Y421" i="10" s="1"/>
  <c r="V421" i="10"/>
  <c r="U421" i="10"/>
  <c r="T421" i="10"/>
  <c r="Q421" i="10"/>
  <c r="K421" i="10"/>
  <c r="J421" i="10"/>
  <c r="I421" i="10"/>
  <c r="P421" i="10" s="1"/>
  <c r="H421" i="10"/>
  <c r="AK421" i="10" s="1" a="1"/>
  <c r="E421" i="10"/>
  <c r="AJ421" i="10" s="1"/>
  <c r="C421" i="10"/>
  <c r="AI420" i="10"/>
  <c r="AH420" i="10"/>
  <c r="AF420" i="10"/>
  <c r="AE420" i="10"/>
  <c r="AD420" i="10"/>
  <c r="AB420" i="10"/>
  <c r="W420" i="10"/>
  <c r="Y420" i="10" s="1"/>
  <c r="V420" i="10"/>
  <c r="T420" i="10" s="1"/>
  <c r="U420" i="10"/>
  <c r="S420" i="10"/>
  <c r="AG420" i="10" s="1"/>
  <c r="K420" i="10"/>
  <c r="J420" i="10"/>
  <c r="I420" i="10"/>
  <c r="H420" i="10"/>
  <c r="E420" i="10"/>
  <c r="C420" i="10"/>
  <c r="P420" i="10" s="1"/>
  <c r="Q420" i="10" s="1"/>
  <c r="AK419" i="10" a="1"/>
  <c r="AK419" i="10" s="1"/>
  <c r="AH419" i="10"/>
  <c r="AG419" i="10"/>
  <c r="AF419" i="10"/>
  <c r="AE419" i="10"/>
  <c r="AD419" i="10"/>
  <c r="AB419" i="10"/>
  <c r="AA419" i="10"/>
  <c r="Z419" i="10"/>
  <c r="Y419" i="10"/>
  <c r="X419" i="10"/>
  <c r="W419" i="10"/>
  <c r="V419" i="10"/>
  <c r="U419" i="10" s="1"/>
  <c r="S419" i="10"/>
  <c r="K419" i="10"/>
  <c r="J419" i="10"/>
  <c r="I419" i="10"/>
  <c r="H419" i="10"/>
  <c r="E419" i="10"/>
  <c r="C419" i="10"/>
  <c r="P419" i="10" s="1"/>
  <c r="Q419" i="10" s="1"/>
  <c r="AH418" i="10"/>
  <c r="AF418" i="10"/>
  <c r="AE418" i="10"/>
  <c r="AD418" i="10"/>
  <c r="AB418" i="10"/>
  <c r="X418" i="10"/>
  <c r="W418" i="10"/>
  <c r="Y418" i="10" s="1"/>
  <c r="V418" i="10"/>
  <c r="U418" i="10"/>
  <c r="K418" i="10"/>
  <c r="O421" i="10" s="1"/>
  <c r="J418" i="10"/>
  <c r="I418" i="10"/>
  <c r="P418" i="10" s="1"/>
  <c r="Q418" i="10" s="1"/>
  <c r="H418" i="10"/>
  <c r="E418" i="10"/>
  <c r="C418" i="10"/>
  <c r="AJ417" i="10"/>
  <c r="AH417" i="10"/>
  <c r="AF417" i="10"/>
  <c r="AE417" i="10"/>
  <c r="AD417" i="10"/>
  <c r="AB417" i="10"/>
  <c r="Y417" i="10"/>
  <c r="W417" i="10"/>
  <c r="V417" i="10"/>
  <c r="K417" i="10"/>
  <c r="J417" i="10"/>
  <c r="I417" i="10"/>
  <c r="H417" i="10"/>
  <c r="E417" i="10"/>
  <c r="C417" i="10"/>
  <c r="P417" i="10" s="1"/>
  <c r="Q417" i="10" s="1"/>
  <c r="AH416" i="10"/>
  <c r="AG416" i="10"/>
  <c r="AF416" i="10"/>
  <c r="AE416" i="10"/>
  <c r="AD416" i="10"/>
  <c r="AB416" i="10"/>
  <c r="AA416" i="10"/>
  <c r="Z416" i="10"/>
  <c r="Y416" i="10"/>
  <c r="X416" i="10"/>
  <c r="W416" i="10"/>
  <c r="V416" i="10"/>
  <c r="U416" i="10" s="1"/>
  <c r="S416" i="10"/>
  <c r="K416" i="10"/>
  <c r="J416" i="10"/>
  <c r="I416" i="10"/>
  <c r="H416" i="10"/>
  <c r="E416" i="10"/>
  <c r="C416" i="10"/>
  <c r="AK415" i="10"/>
  <c r="AK415" i="10" a="1"/>
  <c r="AJ415" i="10"/>
  <c r="AI415" i="10"/>
  <c r="AH415" i="10"/>
  <c r="AF415" i="10"/>
  <c r="AE415" i="10"/>
  <c r="AD415" i="10"/>
  <c r="AB415" i="10"/>
  <c r="W415" i="10"/>
  <c r="Y415" i="10" s="1"/>
  <c r="V415" i="10"/>
  <c r="U415" i="10"/>
  <c r="T415" i="10"/>
  <c r="S415" i="10"/>
  <c r="AG415" i="10" s="1"/>
  <c r="O415" i="10"/>
  <c r="N415" i="10"/>
  <c r="K415" i="10"/>
  <c r="J415" i="10"/>
  <c r="I415" i="10"/>
  <c r="P415" i="10" s="1"/>
  <c r="Q415" i="10" s="1"/>
  <c r="H415" i="10"/>
  <c r="E415" i="10"/>
  <c r="C415" i="10"/>
  <c r="AJ414" i="10"/>
  <c r="AH414" i="10"/>
  <c r="AG414" i="10"/>
  <c r="AF414" i="10"/>
  <c r="AE414" i="10"/>
  <c r="AD414" i="10"/>
  <c r="AB414" i="10"/>
  <c r="W414" i="10"/>
  <c r="Y414" i="10" s="1"/>
  <c r="V414" i="10"/>
  <c r="Z414" i="10" s="1"/>
  <c r="AA414" i="10" s="1"/>
  <c r="U414" i="10"/>
  <c r="T414" i="10"/>
  <c r="S414" i="10"/>
  <c r="R414" i="10"/>
  <c r="K414" i="10"/>
  <c r="J414" i="10"/>
  <c r="I414" i="10"/>
  <c r="H414" i="10"/>
  <c r="E414" i="10"/>
  <c r="C414" i="10"/>
  <c r="P414" i="10" s="1"/>
  <c r="Q414" i="10" s="1"/>
  <c r="AK413" i="10"/>
  <c r="AK413" i="10" a="1"/>
  <c r="AJ413" i="10"/>
  <c r="AH413" i="10"/>
  <c r="AF413" i="10"/>
  <c r="AE413" i="10"/>
  <c r="AD413" i="10"/>
  <c r="AB413" i="10"/>
  <c r="Z413" i="10"/>
  <c r="AA413" i="10" s="1"/>
  <c r="Y413" i="10"/>
  <c r="X413" i="10"/>
  <c r="W413" i="10"/>
  <c r="V413" i="10"/>
  <c r="U413" i="10" s="1"/>
  <c r="S413" i="10"/>
  <c r="AG413" i="10" s="1"/>
  <c r="K413" i="10"/>
  <c r="O416" i="10" s="1"/>
  <c r="J413" i="10"/>
  <c r="I413" i="10"/>
  <c r="H413" i="10"/>
  <c r="E413" i="10"/>
  <c r="AI413" i="10" s="1"/>
  <c r="C413" i="10"/>
  <c r="P413" i="10" s="1"/>
  <c r="Q413" i="10" s="1"/>
  <c r="AH412" i="10"/>
  <c r="AF412" i="10"/>
  <c r="AE412" i="10"/>
  <c r="AD412" i="10"/>
  <c r="AB412" i="10"/>
  <c r="X412" i="10"/>
  <c r="W412" i="10"/>
  <c r="Y412" i="10" s="1"/>
  <c r="V412" i="10"/>
  <c r="O412" i="10"/>
  <c r="K412" i="10"/>
  <c r="J412" i="10"/>
  <c r="I412" i="10"/>
  <c r="P412" i="10" s="1"/>
  <c r="Q412" i="10" s="1"/>
  <c r="H412" i="10"/>
  <c r="E412" i="10"/>
  <c r="C412" i="10"/>
  <c r="AJ411" i="10"/>
  <c r="AH411" i="10"/>
  <c r="AF411" i="10"/>
  <c r="AE411" i="10"/>
  <c r="AD411" i="10"/>
  <c r="AB411" i="10"/>
  <c r="Y411" i="10"/>
  <c r="W411" i="10"/>
  <c r="V411" i="10"/>
  <c r="U411" i="10"/>
  <c r="R411" i="10"/>
  <c r="K411" i="10"/>
  <c r="J411" i="10"/>
  <c r="I411" i="10"/>
  <c r="P411" i="10" s="1"/>
  <c r="Q411" i="10" s="1"/>
  <c r="H411" i="10"/>
  <c r="E411" i="10"/>
  <c r="C411" i="10"/>
  <c r="AK410" i="10" a="1"/>
  <c r="AK410" i="10" s="1"/>
  <c r="AJ410" i="10"/>
  <c r="AH410" i="10"/>
  <c r="AF410" i="10"/>
  <c r="AE410" i="10"/>
  <c r="AD410" i="10"/>
  <c r="AB410" i="10"/>
  <c r="AA410" i="10"/>
  <c r="Z410" i="10"/>
  <c r="Y410" i="10"/>
  <c r="X410" i="10"/>
  <c r="W410" i="10"/>
  <c r="V410" i="10"/>
  <c r="U410" i="10" s="1"/>
  <c r="S410" i="10"/>
  <c r="AG410" i="10" s="1"/>
  <c r="P410" i="10"/>
  <c r="Q410" i="10" s="1"/>
  <c r="O410" i="10"/>
  <c r="N410" i="10"/>
  <c r="K410" i="10"/>
  <c r="O413" i="10" s="1"/>
  <c r="J410" i="10"/>
  <c r="N413" i="10" s="1"/>
  <c r="I410" i="10"/>
  <c r="H410" i="10"/>
  <c r="E410" i="10"/>
  <c r="AI410" i="10" s="1"/>
  <c r="C410" i="10"/>
  <c r="AJ409" i="10"/>
  <c r="AI409" i="10"/>
  <c r="AH409" i="10"/>
  <c r="AF409" i="10"/>
  <c r="AE409" i="10"/>
  <c r="AD409" i="10"/>
  <c r="AB409" i="10"/>
  <c r="X409" i="10"/>
  <c r="W409" i="10"/>
  <c r="Y409" i="10" s="1"/>
  <c r="V409" i="10"/>
  <c r="T409" i="10" s="1"/>
  <c r="U409" i="10"/>
  <c r="K409" i="10"/>
  <c r="J409" i="10"/>
  <c r="I409" i="10"/>
  <c r="H409" i="10"/>
  <c r="E409" i="10"/>
  <c r="N409" i="10" s="1"/>
  <c r="C409" i="10"/>
  <c r="P409" i="10" s="1"/>
  <c r="Q409" i="10" s="1"/>
  <c r="AJ408" i="10"/>
  <c r="AH408" i="10"/>
  <c r="AF408" i="10"/>
  <c r="AE408" i="10"/>
  <c r="AD408" i="10"/>
  <c r="AB408" i="10"/>
  <c r="W408" i="10"/>
  <c r="Y408" i="10" s="1"/>
  <c r="V408" i="10"/>
  <c r="K408" i="10"/>
  <c r="J408" i="10"/>
  <c r="I408" i="10"/>
  <c r="H408" i="10"/>
  <c r="E408" i="10"/>
  <c r="C408" i="10"/>
  <c r="P408" i="10" s="1"/>
  <c r="Q408" i="10" s="1"/>
  <c r="AK407" i="10" a="1"/>
  <c r="AK407" i="10" s="1"/>
  <c r="AJ407" i="10"/>
  <c r="AH407" i="10"/>
  <c r="AG407" i="10"/>
  <c r="AF407" i="10"/>
  <c r="AE407" i="10"/>
  <c r="AD407" i="10"/>
  <c r="AB407" i="10"/>
  <c r="AA407" i="10"/>
  <c r="Z407" i="10"/>
  <c r="Y407" i="10"/>
  <c r="X407" i="10"/>
  <c r="W407" i="10"/>
  <c r="V407" i="10"/>
  <c r="U407" i="10" s="1"/>
  <c r="S407" i="10"/>
  <c r="K407" i="10"/>
  <c r="J407" i="10"/>
  <c r="I407" i="10"/>
  <c r="H407" i="10"/>
  <c r="E407" i="10"/>
  <c r="C407" i="10"/>
  <c r="P407" i="10" s="1"/>
  <c r="Q407" i="10" s="1"/>
  <c r="AJ406" i="10"/>
  <c r="AI406" i="10"/>
  <c r="AH406" i="10"/>
  <c r="AG406" i="10"/>
  <c r="AF406" i="10"/>
  <c r="AE406" i="10"/>
  <c r="AD406" i="10"/>
  <c r="AB406" i="10"/>
  <c r="W406" i="10"/>
  <c r="Y406" i="10" s="1"/>
  <c r="V406" i="10"/>
  <c r="U406" i="10"/>
  <c r="T406" i="10"/>
  <c r="S406" i="10"/>
  <c r="K406" i="10"/>
  <c r="O409" i="10" s="1"/>
  <c r="J406" i="10"/>
  <c r="I406" i="10"/>
  <c r="H406" i="10"/>
  <c r="E406" i="10"/>
  <c r="AK406" i="10" s="1" a="1"/>
  <c r="AK406" i="10" s="1"/>
  <c r="C406" i="10"/>
  <c r="P406" i="10" s="1"/>
  <c r="Q406" i="10" s="1"/>
  <c r="AJ405" i="10"/>
  <c r="AH405" i="10"/>
  <c r="AG405" i="10"/>
  <c r="AF405" i="10"/>
  <c r="AE405" i="10"/>
  <c r="AD405" i="10"/>
  <c r="AB405" i="10"/>
  <c r="W405" i="10"/>
  <c r="Y405" i="10" s="1"/>
  <c r="V405" i="10"/>
  <c r="Z405" i="10" s="1"/>
  <c r="AA405" i="10" s="1"/>
  <c r="U405" i="10"/>
  <c r="T405" i="10"/>
  <c r="S405" i="10"/>
  <c r="R405" i="10"/>
  <c r="Q405" i="10"/>
  <c r="P405" i="10"/>
  <c r="K405" i="10"/>
  <c r="J405" i="10"/>
  <c r="I405" i="10"/>
  <c r="H405" i="10"/>
  <c r="E405" i="10"/>
  <c r="C405" i="10"/>
  <c r="AK404" i="10" a="1"/>
  <c r="AK404" i="10" s="1"/>
  <c r="AJ404" i="10"/>
  <c r="AH404" i="10"/>
  <c r="AF404" i="10"/>
  <c r="AE404" i="10"/>
  <c r="AD404" i="10"/>
  <c r="AB404" i="10"/>
  <c r="Z404" i="10"/>
  <c r="AA404" i="10" s="1"/>
  <c r="Y404" i="10"/>
  <c r="X404" i="10"/>
  <c r="W404" i="10"/>
  <c r="V404" i="10"/>
  <c r="U404" i="10" s="1"/>
  <c r="S404" i="10"/>
  <c r="AG404" i="10" s="1"/>
  <c r="P404" i="10"/>
  <c r="Q404" i="10" s="1"/>
  <c r="O404" i="10"/>
  <c r="K404" i="10"/>
  <c r="J404" i="10"/>
  <c r="I404" i="10"/>
  <c r="H404" i="10"/>
  <c r="E404" i="10"/>
  <c r="AI404" i="10" s="1"/>
  <c r="C404" i="10"/>
  <c r="AK403" i="10" a="1"/>
  <c r="AK403" i="10" s="1"/>
  <c r="AH403" i="10"/>
  <c r="AF403" i="10"/>
  <c r="AE403" i="10"/>
  <c r="AD403" i="10"/>
  <c r="AB403" i="10"/>
  <c r="X403" i="10"/>
  <c r="W403" i="10"/>
  <c r="Y403" i="10" s="1"/>
  <c r="V403" i="10"/>
  <c r="U403" i="10"/>
  <c r="T403" i="10"/>
  <c r="P403" i="10"/>
  <c r="Q403" i="10" s="1"/>
  <c r="O403" i="10"/>
  <c r="K403" i="10"/>
  <c r="O406" i="10" s="1"/>
  <c r="J403" i="10"/>
  <c r="N406" i="10" s="1"/>
  <c r="I403" i="10"/>
  <c r="H403" i="10"/>
  <c r="E403" i="10"/>
  <c r="C403" i="10"/>
  <c r="AJ402" i="10"/>
  <c r="AH402" i="10"/>
  <c r="AF402" i="10"/>
  <c r="AE402" i="10"/>
  <c r="AD402" i="10"/>
  <c r="AB402" i="10"/>
  <c r="W402" i="10"/>
  <c r="Y402" i="10" s="1"/>
  <c r="V402" i="10"/>
  <c r="U402" i="10"/>
  <c r="Q402" i="10"/>
  <c r="P402" i="10"/>
  <c r="K402" i="10"/>
  <c r="O405" i="10" s="1"/>
  <c r="J402" i="10"/>
  <c r="I402" i="10"/>
  <c r="H402" i="10"/>
  <c r="E402" i="10"/>
  <c r="C402" i="10"/>
  <c r="AK401" i="10" a="1"/>
  <c r="AK401" i="10" s="1"/>
  <c r="AJ401" i="10"/>
  <c r="AH401" i="10"/>
  <c r="AF401" i="10"/>
  <c r="AE401" i="10"/>
  <c r="AD401" i="10"/>
  <c r="AB401" i="10"/>
  <c r="Z401" i="10"/>
  <c r="AA401" i="10" s="1"/>
  <c r="Y401" i="10"/>
  <c r="X401" i="10"/>
  <c r="W401" i="10"/>
  <c r="V401" i="10"/>
  <c r="U401" i="10" s="1"/>
  <c r="S401" i="10"/>
  <c r="AG401" i="10" s="1"/>
  <c r="P401" i="10"/>
  <c r="Q401" i="10" s="1"/>
  <c r="O401" i="10"/>
  <c r="K401" i="10"/>
  <c r="N404" i="10" s="1"/>
  <c r="J401" i="10"/>
  <c r="I401" i="10"/>
  <c r="H401" i="10"/>
  <c r="E401" i="10"/>
  <c r="AI401" i="10" s="1"/>
  <c r="C401" i="10"/>
  <c r="AJ400" i="10"/>
  <c r="AI400" i="10"/>
  <c r="AH400" i="10"/>
  <c r="AF400" i="10"/>
  <c r="AE400" i="10"/>
  <c r="AD400" i="10"/>
  <c r="AB400" i="10"/>
  <c r="W400" i="10"/>
  <c r="Y400" i="10" s="1"/>
  <c r="V400" i="10"/>
  <c r="Q400" i="10"/>
  <c r="K400" i="10"/>
  <c r="J400" i="10"/>
  <c r="I400" i="10"/>
  <c r="H400" i="10"/>
  <c r="E400" i="10"/>
  <c r="C400" i="10"/>
  <c r="P400" i="10" s="1"/>
  <c r="AJ399" i="10"/>
  <c r="AH399" i="10"/>
  <c r="AF399" i="10"/>
  <c r="AE399" i="10"/>
  <c r="AD399" i="10"/>
  <c r="AB399" i="10"/>
  <c r="Y399" i="10"/>
  <c r="X399" i="10"/>
  <c r="W399" i="10"/>
  <c r="V399" i="10"/>
  <c r="U399" i="10"/>
  <c r="T399" i="10"/>
  <c r="K399" i="10"/>
  <c r="J399" i="10"/>
  <c r="I399" i="10"/>
  <c r="H399" i="10"/>
  <c r="E399" i="10"/>
  <c r="C399" i="10"/>
  <c r="P399" i="10" s="1"/>
  <c r="Q399" i="10" s="1"/>
  <c r="AH398" i="10"/>
  <c r="AG398" i="10"/>
  <c r="AF398" i="10"/>
  <c r="AE398" i="10"/>
  <c r="AD398" i="10"/>
  <c r="AB398" i="10"/>
  <c r="Z398" i="10"/>
  <c r="AA398" i="10" s="1"/>
  <c r="Y398" i="10"/>
  <c r="X398" i="10"/>
  <c r="W398" i="10"/>
  <c r="V398" i="10"/>
  <c r="U398" i="10" s="1"/>
  <c r="S398" i="10"/>
  <c r="K398" i="10"/>
  <c r="J398" i="10"/>
  <c r="I398" i="10"/>
  <c r="H398" i="10"/>
  <c r="E398" i="10"/>
  <c r="C398" i="10"/>
  <c r="AJ397" i="10"/>
  <c r="AI397" i="10"/>
  <c r="AH397" i="10"/>
  <c r="AG397" i="10"/>
  <c r="AF397" i="10"/>
  <c r="AE397" i="10"/>
  <c r="AD397" i="10"/>
  <c r="AB397" i="10"/>
  <c r="W397" i="10"/>
  <c r="Y397" i="10" s="1"/>
  <c r="V397" i="10"/>
  <c r="U397" i="10"/>
  <c r="T397" i="10"/>
  <c r="S397" i="10"/>
  <c r="P397" i="10"/>
  <c r="Q397" i="10" s="1"/>
  <c r="O397" i="10"/>
  <c r="K397" i="10"/>
  <c r="J397" i="10"/>
  <c r="I397" i="10"/>
  <c r="H397" i="10"/>
  <c r="E397" i="10"/>
  <c r="AK397" i="10" s="1" a="1"/>
  <c r="AK397" i="10" s="1"/>
  <c r="C397" i="10"/>
  <c r="AJ396" i="10"/>
  <c r="AH396" i="10"/>
  <c r="AG396" i="10"/>
  <c r="AF396" i="10"/>
  <c r="AE396" i="10"/>
  <c r="AD396" i="10"/>
  <c r="AB396" i="10"/>
  <c r="W396" i="10"/>
  <c r="Y396" i="10" s="1"/>
  <c r="V396" i="10"/>
  <c r="Z396" i="10" s="1"/>
  <c r="AA396" i="10" s="1"/>
  <c r="U396" i="10"/>
  <c r="T396" i="10"/>
  <c r="S396" i="10"/>
  <c r="R396" i="10"/>
  <c r="P396" i="10"/>
  <c r="Q396" i="10" s="1"/>
  <c r="K396" i="10"/>
  <c r="O399" i="10" s="1"/>
  <c r="J396" i="10"/>
  <c r="I396" i="10"/>
  <c r="H396" i="10"/>
  <c r="E396" i="10"/>
  <c r="C396" i="10"/>
  <c r="AK395" i="10" a="1"/>
  <c r="AK395" i="10" s="1"/>
  <c r="AJ395" i="10"/>
  <c r="AH395" i="10"/>
  <c r="AF395" i="10"/>
  <c r="AE395" i="10"/>
  <c r="AD395" i="10"/>
  <c r="AB395" i="10"/>
  <c r="Z395" i="10"/>
  <c r="AA395" i="10" s="1"/>
  <c r="Y395" i="10"/>
  <c r="X395" i="10"/>
  <c r="W395" i="10"/>
  <c r="V395" i="10"/>
  <c r="U395" i="10" s="1"/>
  <c r="S395" i="10"/>
  <c r="AG395" i="10" s="1"/>
  <c r="N395" i="10"/>
  <c r="K395" i="10"/>
  <c r="J395" i="10"/>
  <c r="I395" i="10"/>
  <c r="P395" i="10" s="1"/>
  <c r="Q395" i="10" s="1"/>
  <c r="H395" i="10"/>
  <c r="E395" i="10"/>
  <c r="AI395" i="10" s="1"/>
  <c r="C395" i="10"/>
  <c r="AH394" i="10"/>
  <c r="AF394" i="10"/>
  <c r="AE394" i="10"/>
  <c r="AD394" i="10"/>
  <c r="AB394" i="10"/>
  <c r="Y394" i="10"/>
  <c r="W394" i="10"/>
  <c r="V394" i="10"/>
  <c r="O394" i="10"/>
  <c r="N394" i="10"/>
  <c r="K394" i="10"/>
  <c r="N397" i="10" s="1"/>
  <c r="J394" i="10"/>
  <c r="I394" i="10"/>
  <c r="P394" i="10" s="1"/>
  <c r="Q394" i="10" s="1"/>
  <c r="H394" i="10"/>
  <c r="AK394" i="10" s="1" a="1"/>
  <c r="AK394" i="10" s="1"/>
  <c r="E394" i="10"/>
  <c r="AJ394" i="10" s="1"/>
  <c r="C394" i="10"/>
  <c r="AJ393" i="10"/>
  <c r="AH393" i="10"/>
  <c r="AF393" i="10"/>
  <c r="AE393" i="10"/>
  <c r="AD393" i="10"/>
  <c r="AB393" i="10"/>
  <c r="W393" i="10"/>
  <c r="Y393" i="10" s="1"/>
  <c r="V393" i="10"/>
  <c r="R393" i="10"/>
  <c r="P393" i="10"/>
  <c r="Q393" i="10" s="1"/>
  <c r="K393" i="10"/>
  <c r="O396" i="10" s="1"/>
  <c r="J393" i="10"/>
  <c r="I393" i="10"/>
  <c r="H393" i="10"/>
  <c r="E393" i="10"/>
  <c r="C393" i="10"/>
  <c r="AK392" i="10" a="1"/>
  <c r="AK392" i="10" s="1"/>
  <c r="AJ392" i="10"/>
  <c r="AH392" i="10"/>
  <c r="AG392" i="10"/>
  <c r="AF392" i="10"/>
  <c r="AE392" i="10"/>
  <c r="AD392" i="10"/>
  <c r="AB392" i="10"/>
  <c r="AA392" i="10"/>
  <c r="Z392" i="10"/>
  <c r="Y392" i="10"/>
  <c r="X392" i="10"/>
  <c r="W392" i="10"/>
  <c r="V392" i="10"/>
  <c r="U392" i="10" s="1"/>
  <c r="S392" i="10"/>
  <c r="Q392" i="10"/>
  <c r="P392" i="10"/>
  <c r="O392" i="10"/>
  <c r="K392" i="10"/>
  <c r="J392" i="10"/>
  <c r="I392" i="10"/>
  <c r="H392" i="10"/>
  <c r="E392" i="10"/>
  <c r="AI392" i="10" s="1"/>
  <c r="C392" i="10"/>
  <c r="AH391" i="10"/>
  <c r="AF391" i="10"/>
  <c r="AE391" i="10"/>
  <c r="AD391" i="10"/>
  <c r="AB391" i="10"/>
  <c r="Y391" i="10"/>
  <c r="W391" i="10"/>
  <c r="V391" i="10"/>
  <c r="K391" i="10"/>
  <c r="J391" i="10"/>
  <c r="I391" i="10"/>
  <c r="H391" i="10"/>
  <c r="E391" i="10"/>
  <c r="C391" i="10"/>
  <c r="P391" i="10" s="1"/>
  <c r="Q391" i="10" s="1"/>
  <c r="AJ390" i="10"/>
  <c r="AH390" i="10"/>
  <c r="AF390" i="10"/>
  <c r="AE390" i="10"/>
  <c r="AD390" i="10"/>
  <c r="AB390" i="10"/>
  <c r="X390" i="10"/>
  <c r="W390" i="10"/>
  <c r="Y390" i="10" s="1"/>
  <c r="V390" i="10"/>
  <c r="K390" i="10"/>
  <c r="O393" i="10" s="1"/>
  <c r="J390" i="10"/>
  <c r="I390" i="10"/>
  <c r="H390" i="10"/>
  <c r="E390" i="10"/>
  <c r="C390" i="10"/>
  <c r="P390" i="10" s="1"/>
  <c r="Q390" i="10" s="1"/>
  <c r="AK389" i="10" a="1"/>
  <c r="AK389" i="10" s="1"/>
  <c r="AJ389" i="10"/>
  <c r="AH389" i="10"/>
  <c r="AG389" i="10"/>
  <c r="AF389" i="10"/>
  <c r="AE389" i="10"/>
  <c r="AD389" i="10"/>
  <c r="AB389" i="10"/>
  <c r="AA389" i="10"/>
  <c r="Z389" i="10"/>
  <c r="Y389" i="10"/>
  <c r="X389" i="10"/>
  <c r="W389" i="10"/>
  <c r="V389" i="10"/>
  <c r="U389" i="10" s="1"/>
  <c r="S389" i="10"/>
  <c r="K389" i="10"/>
  <c r="J389" i="10"/>
  <c r="I389" i="10"/>
  <c r="H389" i="10"/>
  <c r="E389" i="10"/>
  <c r="AI389" i="10" s="1"/>
  <c r="C389" i="10"/>
  <c r="P389" i="10" s="1"/>
  <c r="Q389" i="10" s="1"/>
  <c r="AK388" i="10" a="1"/>
  <c r="AK388" i="10" s="1"/>
  <c r="AJ388" i="10"/>
  <c r="AI388" i="10"/>
  <c r="AH388" i="10"/>
  <c r="AF388" i="10"/>
  <c r="AE388" i="10"/>
  <c r="AD388" i="10"/>
  <c r="AB388" i="10"/>
  <c r="Y388" i="10"/>
  <c r="X388" i="10"/>
  <c r="W388" i="10"/>
  <c r="V388" i="10"/>
  <c r="U388" i="10"/>
  <c r="T388" i="10"/>
  <c r="S388" i="10"/>
  <c r="AG388" i="10" s="1"/>
  <c r="Q388" i="10"/>
  <c r="K388" i="10"/>
  <c r="J388" i="10"/>
  <c r="I388" i="10"/>
  <c r="P388" i="10" s="1"/>
  <c r="H388" i="10"/>
  <c r="E388" i="10"/>
  <c r="C388" i="10"/>
  <c r="AJ387" i="10"/>
  <c r="AH387" i="10"/>
  <c r="AF387" i="10"/>
  <c r="AE387" i="10"/>
  <c r="AD387" i="10"/>
  <c r="AB387" i="10"/>
  <c r="W387" i="10"/>
  <c r="Y387" i="10" s="1"/>
  <c r="V387" i="10"/>
  <c r="U387" i="10" s="1"/>
  <c r="S387" i="10"/>
  <c r="AG387" i="10" s="1"/>
  <c r="K387" i="10"/>
  <c r="J387" i="10"/>
  <c r="I387" i="10"/>
  <c r="H387" i="10"/>
  <c r="E387" i="10"/>
  <c r="C387" i="10"/>
  <c r="P387" i="10" s="1"/>
  <c r="Q387" i="10" s="1"/>
  <c r="AJ386" i="10"/>
  <c r="AH386" i="10"/>
  <c r="AF386" i="10"/>
  <c r="AE386" i="10"/>
  <c r="AD386" i="10"/>
  <c r="AB386" i="10"/>
  <c r="Z386" i="10"/>
  <c r="AA386" i="10" s="1"/>
  <c r="Y386" i="10"/>
  <c r="X386" i="10"/>
  <c r="W386" i="10"/>
  <c r="V386" i="10"/>
  <c r="U386" i="10" s="1"/>
  <c r="S386" i="10"/>
  <c r="AG386" i="10" s="1"/>
  <c r="O386" i="10"/>
  <c r="K386" i="10"/>
  <c r="J386" i="10"/>
  <c r="I386" i="10"/>
  <c r="P386" i="10" s="1"/>
  <c r="Q386" i="10" s="1"/>
  <c r="H386" i="10"/>
  <c r="E386" i="10"/>
  <c r="AI386" i="10" s="1"/>
  <c r="C386" i="10"/>
  <c r="AH385" i="10"/>
  <c r="AF385" i="10"/>
  <c r="AE385" i="10"/>
  <c r="AD385" i="10"/>
  <c r="AB385" i="10"/>
  <c r="W385" i="10"/>
  <c r="Y385" i="10" s="1"/>
  <c r="V385" i="10"/>
  <c r="U385" i="10"/>
  <c r="T385" i="10"/>
  <c r="P385" i="10"/>
  <c r="Q385" i="10" s="1"/>
  <c r="K385" i="10"/>
  <c r="J385" i="10"/>
  <c r="I385" i="10"/>
  <c r="H385" i="10"/>
  <c r="E385" i="10"/>
  <c r="C385" i="10"/>
  <c r="AJ384" i="10"/>
  <c r="AH384" i="10"/>
  <c r="AF384" i="10"/>
  <c r="AE384" i="10"/>
  <c r="AD384" i="10"/>
  <c r="AB384" i="10"/>
  <c r="X384" i="10"/>
  <c r="W384" i="10"/>
  <c r="Y384" i="10" s="1"/>
  <c r="V384" i="10"/>
  <c r="Z384" i="10" s="1"/>
  <c r="AA384" i="10" s="1"/>
  <c r="U384" i="10"/>
  <c r="T384" i="10"/>
  <c r="S384" i="10"/>
  <c r="AG384" i="10" s="1"/>
  <c r="R384" i="10"/>
  <c r="K384" i="10"/>
  <c r="J384" i="10"/>
  <c r="I384" i="10"/>
  <c r="H384" i="10"/>
  <c r="E384" i="10"/>
  <c r="C384" i="10"/>
  <c r="P384" i="10" s="1"/>
  <c r="Q384" i="10" s="1"/>
  <c r="AK383" i="10"/>
  <c r="AK383" i="10" a="1"/>
  <c r="AJ383" i="10"/>
  <c r="AH383" i="10"/>
  <c r="AG383" i="10"/>
  <c r="AF383" i="10"/>
  <c r="AE383" i="10"/>
  <c r="AD383" i="10"/>
  <c r="AB383" i="10"/>
  <c r="Z383" i="10"/>
  <c r="AA383" i="10" s="1"/>
  <c r="Y383" i="10"/>
  <c r="X383" i="10"/>
  <c r="W383" i="10"/>
  <c r="V383" i="10"/>
  <c r="U383" i="10" s="1"/>
  <c r="S383" i="10"/>
  <c r="K383" i="10"/>
  <c r="J383" i="10"/>
  <c r="I383" i="10"/>
  <c r="H383" i="10"/>
  <c r="E383" i="10"/>
  <c r="AI383" i="10" s="1"/>
  <c r="C383" i="10"/>
  <c r="P383" i="10" s="1"/>
  <c r="Q383" i="10" s="1"/>
  <c r="AJ382" i="10"/>
  <c r="AI382" i="10"/>
  <c r="AH382" i="10"/>
  <c r="AG382" i="10"/>
  <c r="AF382" i="10"/>
  <c r="AE382" i="10"/>
  <c r="AD382" i="10"/>
  <c r="AB382" i="10"/>
  <c r="W382" i="10"/>
  <c r="Y382" i="10" s="1"/>
  <c r="V382" i="10"/>
  <c r="U382" i="10"/>
  <c r="T382" i="10"/>
  <c r="S382" i="10"/>
  <c r="P382" i="10"/>
  <c r="Q382" i="10" s="1"/>
  <c r="K382" i="10"/>
  <c r="J382" i="10"/>
  <c r="I382" i="10"/>
  <c r="H382" i="10"/>
  <c r="E382" i="10"/>
  <c r="AK382" i="10" s="1" a="1"/>
  <c r="AK382" i="10" s="1"/>
  <c r="C382" i="10"/>
  <c r="AJ381" i="10"/>
  <c r="AH381" i="10"/>
  <c r="AF381" i="10"/>
  <c r="AE381" i="10"/>
  <c r="AD381" i="10"/>
  <c r="AB381" i="10"/>
  <c r="W381" i="10"/>
  <c r="Y381" i="10" s="1"/>
  <c r="V381" i="10"/>
  <c r="U381" i="10"/>
  <c r="S381" i="10"/>
  <c r="AG381" i="10" s="1"/>
  <c r="Q381" i="10"/>
  <c r="P381" i="10"/>
  <c r="K381" i="10"/>
  <c r="J381" i="10"/>
  <c r="I381" i="10"/>
  <c r="H381" i="10"/>
  <c r="E381" i="10"/>
  <c r="C381" i="10"/>
  <c r="AK380" i="10" a="1"/>
  <c r="AK380" i="10" s="1"/>
  <c r="AJ380" i="10"/>
  <c r="AI380" i="10"/>
  <c r="AH380" i="10"/>
  <c r="AF380" i="10"/>
  <c r="AE380" i="10"/>
  <c r="AD380" i="10"/>
  <c r="AB380" i="10"/>
  <c r="AA380" i="10"/>
  <c r="Z380" i="10"/>
  <c r="Y380" i="10"/>
  <c r="X380" i="10"/>
  <c r="W380" i="10"/>
  <c r="V380" i="10"/>
  <c r="U380" i="10" s="1"/>
  <c r="S380" i="10"/>
  <c r="AG380" i="10" s="1"/>
  <c r="Q380" i="10"/>
  <c r="O380" i="10"/>
  <c r="K380" i="10"/>
  <c r="J380" i="10"/>
  <c r="I380" i="10"/>
  <c r="H380" i="10"/>
  <c r="E380" i="10"/>
  <c r="C380" i="10"/>
  <c r="P380" i="10" s="1"/>
  <c r="AH379" i="10"/>
  <c r="AF379" i="10"/>
  <c r="AE379" i="10"/>
  <c r="AD379" i="10"/>
  <c r="AB379" i="10"/>
  <c r="Y379" i="10"/>
  <c r="W379" i="10"/>
  <c r="V379" i="10"/>
  <c r="Q379" i="10"/>
  <c r="K379" i="10"/>
  <c r="J379" i="10"/>
  <c r="I379" i="10"/>
  <c r="H379" i="10"/>
  <c r="E379" i="10"/>
  <c r="AK379" i="10" s="1" a="1"/>
  <c r="AK379" i="10" s="1"/>
  <c r="C379" i="10"/>
  <c r="P379" i="10" s="1"/>
  <c r="AJ378" i="10"/>
  <c r="AH378" i="10"/>
  <c r="AF378" i="10"/>
  <c r="AE378" i="10"/>
  <c r="AD378" i="10"/>
  <c r="AB378" i="10"/>
  <c r="AA378" i="10"/>
  <c r="Y378" i="10"/>
  <c r="X378" i="10"/>
  <c r="W378" i="10"/>
  <c r="V378" i="10"/>
  <c r="Z378" i="10" s="1"/>
  <c r="T378" i="10"/>
  <c r="S378" i="10"/>
  <c r="AG378" i="10" s="1"/>
  <c r="K378" i="10"/>
  <c r="J378" i="10"/>
  <c r="I378" i="10"/>
  <c r="H378" i="10"/>
  <c r="E378" i="10"/>
  <c r="C378" i="10"/>
  <c r="P378" i="10" s="1"/>
  <c r="Q378" i="10" s="1"/>
  <c r="AK377" i="10" a="1"/>
  <c r="AK377" i="10" s="1"/>
  <c r="AI377" i="10"/>
  <c r="AH377" i="10"/>
  <c r="AG377" i="10"/>
  <c r="AF377" i="10"/>
  <c r="AE377" i="10"/>
  <c r="AD377" i="10"/>
  <c r="AB377" i="10"/>
  <c r="Z377" i="10"/>
  <c r="AA377" i="10" s="1"/>
  <c r="Y377" i="10"/>
  <c r="X377" i="10"/>
  <c r="W377" i="10"/>
  <c r="V377" i="10"/>
  <c r="U377" i="10" s="1"/>
  <c r="S377" i="10"/>
  <c r="K377" i="10"/>
  <c r="J377" i="10"/>
  <c r="I377" i="10"/>
  <c r="H377" i="10"/>
  <c r="E377" i="10"/>
  <c r="C377" i="10"/>
  <c r="P377" i="10" s="1"/>
  <c r="Q377" i="10" s="1"/>
  <c r="AJ376" i="10"/>
  <c r="AH376" i="10"/>
  <c r="AG376" i="10"/>
  <c r="AF376" i="10"/>
  <c r="AE376" i="10"/>
  <c r="AD376" i="10"/>
  <c r="AB376" i="10"/>
  <c r="W376" i="10"/>
  <c r="Y376" i="10" s="1"/>
  <c r="V376" i="10"/>
  <c r="Z376" i="10" s="1"/>
  <c r="AA376" i="10" s="1"/>
  <c r="U376" i="10"/>
  <c r="T376" i="10"/>
  <c r="S376" i="10"/>
  <c r="R376" i="10"/>
  <c r="K376" i="10"/>
  <c r="N380" i="10" s="1"/>
  <c r="J376" i="10"/>
  <c r="I376" i="10"/>
  <c r="H376" i="10"/>
  <c r="E376" i="10"/>
  <c r="C376" i="10"/>
  <c r="P376" i="10" s="1"/>
  <c r="Q376" i="10" s="1"/>
  <c r="AJ375" i="10"/>
  <c r="AH375" i="10"/>
  <c r="AF375" i="10"/>
  <c r="AE375" i="10"/>
  <c r="AD375" i="10"/>
  <c r="AB375" i="10"/>
  <c r="Y375" i="10"/>
  <c r="W375" i="10"/>
  <c r="V375" i="10"/>
  <c r="K375" i="10"/>
  <c r="O378" i="10" s="1"/>
  <c r="J375" i="10"/>
  <c r="I375" i="10"/>
  <c r="H375" i="10"/>
  <c r="E375" i="10"/>
  <c r="C375" i="10"/>
  <c r="AJ374" i="10"/>
  <c r="AI374" i="10"/>
  <c r="AH374" i="10"/>
  <c r="AF374" i="10"/>
  <c r="AE374" i="10"/>
  <c r="AD374" i="10"/>
  <c r="AB374" i="10"/>
  <c r="AA374" i="10"/>
  <c r="Z374" i="10"/>
  <c r="Y374" i="10"/>
  <c r="W374" i="10"/>
  <c r="V374" i="10"/>
  <c r="S374" i="10" s="1"/>
  <c r="AG374" i="10" s="1"/>
  <c r="P374" i="10"/>
  <c r="Q374" i="10" s="1"/>
  <c r="K374" i="10"/>
  <c r="J374" i="10"/>
  <c r="I374" i="10"/>
  <c r="H374" i="10"/>
  <c r="E374" i="10"/>
  <c r="AK374" i="10" s="1" a="1"/>
  <c r="AK374" i="10" s="1"/>
  <c r="C374" i="10"/>
  <c r="AH373" i="10"/>
  <c r="AF373" i="10"/>
  <c r="AE373" i="10"/>
  <c r="AD373" i="10"/>
  <c r="AB373" i="10"/>
  <c r="X373" i="10"/>
  <c r="W373" i="10"/>
  <c r="Y373" i="10" s="1"/>
  <c r="V373" i="10"/>
  <c r="Z373" i="10" s="1"/>
  <c r="AA373" i="10" s="1"/>
  <c r="U373" i="10"/>
  <c r="T373" i="10"/>
  <c r="S373" i="10"/>
  <c r="AG373" i="10" s="1"/>
  <c r="R373" i="10"/>
  <c r="K373" i="10"/>
  <c r="J373" i="10"/>
  <c r="I373" i="10"/>
  <c r="H373" i="10"/>
  <c r="E373" i="10"/>
  <c r="C373" i="10"/>
  <c r="AJ372" i="10"/>
  <c r="AH372" i="10"/>
  <c r="AF372" i="10"/>
  <c r="AE372" i="10"/>
  <c r="AD372" i="10"/>
  <c r="AB372" i="10"/>
  <c r="X372" i="10"/>
  <c r="W372" i="10"/>
  <c r="Y372" i="10" s="1"/>
  <c r="V372" i="10"/>
  <c r="K372" i="10"/>
  <c r="J372" i="10"/>
  <c r="I372" i="10"/>
  <c r="H372" i="10"/>
  <c r="E372" i="10"/>
  <c r="C372" i="10"/>
  <c r="AH371" i="10"/>
  <c r="AF371" i="10"/>
  <c r="AE371" i="10"/>
  <c r="AD371" i="10"/>
  <c r="AB371" i="10"/>
  <c r="Y371" i="10"/>
  <c r="W371" i="10"/>
  <c r="V371" i="10"/>
  <c r="S371" i="10" s="1"/>
  <c r="AG371" i="10" s="1"/>
  <c r="N371" i="10"/>
  <c r="K371" i="10"/>
  <c r="O374" i="10" s="1"/>
  <c r="J371" i="10"/>
  <c r="I371" i="10"/>
  <c r="P371" i="10" s="1"/>
  <c r="Q371" i="10" s="1"/>
  <c r="H371" i="10"/>
  <c r="E371" i="10"/>
  <c r="C371" i="10"/>
  <c r="AH370" i="10"/>
  <c r="AF370" i="10"/>
  <c r="AE370" i="10"/>
  <c r="AD370" i="10"/>
  <c r="AB370" i="10"/>
  <c r="W370" i="10"/>
  <c r="Y370" i="10" s="1"/>
  <c r="V370" i="10"/>
  <c r="U370" i="10" s="1"/>
  <c r="T370" i="10"/>
  <c r="O370" i="10"/>
  <c r="K370" i="10"/>
  <c r="J370" i="10"/>
  <c r="I370" i="10"/>
  <c r="P370" i="10" s="1"/>
  <c r="Q370" i="10" s="1"/>
  <c r="H370" i="10"/>
  <c r="E370" i="10"/>
  <c r="N370" i="10" s="1"/>
  <c r="C370" i="10"/>
  <c r="AJ369" i="10"/>
  <c r="AH369" i="10"/>
  <c r="AF369" i="10"/>
  <c r="AE369" i="10"/>
  <c r="AD369" i="10"/>
  <c r="AB369" i="10"/>
  <c r="Y369" i="10"/>
  <c r="X369" i="10"/>
  <c r="W369" i="10"/>
  <c r="V369" i="10"/>
  <c r="S369" i="10" s="1"/>
  <c r="AG369" i="10" s="1"/>
  <c r="T369" i="10"/>
  <c r="P369" i="10"/>
  <c r="Q369" i="10" s="1"/>
  <c r="K369" i="10"/>
  <c r="J369" i="10"/>
  <c r="I369" i="10"/>
  <c r="H369" i="10"/>
  <c r="E369" i="10"/>
  <c r="C369" i="10"/>
  <c r="AH368" i="10"/>
  <c r="AF368" i="10"/>
  <c r="AE368" i="10"/>
  <c r="AD368" i="10"/>
  <c r="AB368" i="10"/>
  <c r="Y368" i="10"/>
  <c r="W368" i="10"/>
  <c r="V368" i="10"/>
  <c r="K368" i="10"/>
  <c r="J368" i="10"/>
  <c r="I368" i="10"/>
  <c r="H368" i="10"/>
  <c r="E368" i="10"/>
  <c r="C368" i="10"/>
  <c r="AI367" i="10"/>
  <c r="AH367" i="10"/>
  <c r="AF367" i="10"/>
  <c r="AE367" i="10"/>
  <c r="AD367" i="10"/>
  <c r="AB367" i="10"/>
  <c r="AA367" i="10"/>
  <c r="W367" i="10"/>
  <c r="Y367" i="10" s="1"/>
  <c r="V367" i="10"/>
  <c r="Z367" i="10" s="1"/>
  <c r="U367" i="10"/>
  <c r="T367" i="10"/>
  <c r="S367" i="10"/>
  <c r="AG367" i="10" s="1"/>
  <c r="R367" i="10"/>
  <c r="Q367" i="10"/>
  <c r="P367" i="10"/>
  <c r="O367" i="10"/>
  <c r="K367" i="10"/>
  <c r="J367" i="10"/>
  <c r="I367" i="10"/>
  <c r="H367" i="10"/>
  <c r="E367" i="10"/>
  <c r="AK367" i="10" s="1" a="1"/>
  <c r="AK367" i="10" s="1"/>
  <c r="C367" i="10"/>
  <c r="AH366" i="10"/>
  <c r="AF366" i="10"/>
  <c r="AE366" i="10"/>
  <c r="AD366" i="10"/>
  <c r="AB366" i="10"/>
  <c r="Y366" i="10"/>
  <c r="X366" i="10"/>
  <c r="W366" i="10"/>
  <c r="V366" i="10"/>
  <c r="Z366" i="10" s="1"/>
  <c r="AA366" i="10" s="1"/>
  <c r="S366" i="10"/>
  <c r="AG366" i="10" s="1"/>
  <c r="R366" i="10"/>
  <c r="K366" i="10"/>
  <c r="J366" i="10"/>
  <c r="I366" i="10"/>
  <c r="H366" i="10"/>
  <c r="E366" i="10"/>
  <c r="AJ366" i="10" s="1"/>
  <c r="C366" i="10"/>
  <c r="P366" i="10" s="1"/>
  <c r="Q366" i="10" s="1"/>
  <c r="AI365" i="10"/>
  <c r="AH365" i="10"/>
  <c r="AF365" i="10"/>
  <c r="AE365" i="10"/>
  <c r="AD365" i="10"/>
  <c r="AB365" i="10"/>
  <c r="Y365" i="10"/>
  <c r="W365" i="10"/>
  <c r="V365" i="10"/>
  <c r="S365" i="10" s="1"/>
  <c r="AG365" i="10" s="1"/>
  <c r="P365" i="10"/>
  <c r="Q365" i="10" s="1"/>
  <c r="K365" i="10"/>
  <c r="J365" i="10"/>
  <c r="I365" i="10"/>
  <c r="H365" i="10"/>
  <c r="AK365" i="10" s="1" a="1"/>
  <c r="AK365" i="10" s="1"/>
  <c r="E365" i="10"/>
  <c r="AJ365" i="10" s="1"/>
  <c r="C365" i="10"/>
  <c r="AK364" i="10" a="1"/>
  <c r="AK364" i="10" s="1"/>
  <c r="AH364" i="10"/>
  <c r="AF364" i="10"/>
  <c r="AE364" i="10"/>
  <c r="AD364" i="10"/>
  <c r="AB364" i="10"/>
  <c r="AA364" i="10"/>
  <c r="Z364" i="10"/>
  <c r="W364" i="10"/>
  <c r="Y364" i="10" s="1"/>
  <c r="V364" i="10"/>
  <c r="U364" i="10" s="1"/>
  <c r="K364" i="10"/>
  <c r="J364" i="10"/>
  <c r="I364" i="10"/>
  <c r="H364" i="10"/>
  <c r="E364" i="10"/>
  <c r="C364" i="10"/>
  <c r="P364" i="10" s="1"/>
  <c r="Q364" i="10" s="1"/>
  <c r="AH363" i="10"/>
  <c r="AG363" i="10"/>
  <c r="AF363" i="10"/>
  <c r="AE363" i="10"/>
  <c r="AD363" i="10"/>
  <c r="AB363" i="10"/>
  <c r="AA363" i="10"/>
  <c r="Z363" i="10"/>
  <c r="W363" i="10"/>
  <c r="Y363" i="10" s="1"/>
  <c r="V363" i="10"/>
  <c r="X363" i="10" s="1"/>
  <c r="U363" i="10"/>
  <c r="T363" i="10"/>
  <c r="S363" i="10"/>
  <c r="R363" i="10"/>
  <c r="K363" i="10"/>
  <c r="O366" i="10" s="1"/>
  <c r="J363" i="10"/>
  <c r="I363" i="10"/>
  <c r="P363" i="10" s="1"/>
  <c r="Q363" i="10" s="1"/>
  <c r="H363" i="10"/>
  <c r="E363" i="10"/>
  <c r="AI363" i="10" s="1"/>
  <c r="C363" i="10"/>
  <c r="AH362" i="10"/>
  <c r="AF362" i="10"/>
  <c r="AE362" i="10"/>
  <c r="AD362" i="10"/>
  <c r="AB362" i="10"/>
  <c r="Y362" i="10"/>
  <c r="W362" i="10"/>
  <c r="V362" i="10"/>
  <c r="S362" i="10"/>
  <c r="AG362" i="10" s="1"/>
  <c r="R362" i="10"/>
  <c r="P362" i="10"/>
  <c r="Q362" i="10" s="1"/>
  <c r="O362" i="10"/>
  <c r="N362" i="10"/>
  <c r="K362" i="10"/>
  <c r="J362" i="10"/>
  <c r="I362" i="10"/>
  <c r="H362" i="10"/>
  <c r="E362" i="10"/>
  <c r="AK362" i="10" s="1" a="1"/>
  <c r="AK362" i="10" s="1"/>
  <c r="C362" i="10"/>
  <c r="AH361" i="10"/>
  <c r="AG361" i="10"/>
  <c r="AF361" i="10"/>
  <c r="AE361" i="10"/>
  <c r="AD361" i="10"/>
  <c r="AB361" i="10"/>
  <c r="X361" i="10"/>
  <c r="W361" i="10"/>
  <c r="Y361" i="10" s="1"/>
  <c r="V361" i="10"/>
  <c r="S361" i="10" s="1"/>
  <c r="U361" i="10"/>
  <c r="O361" i="10"/>
  <c r="K361" i="10"/>
  <c r="J361" i="10"/>
  <c r="I361" i="10"/>
  <c r="H361" i="10"/>
  <c r="E361" i="10"/>
  <c r="C361" i="10"/>
  <c r="P361" i="10" s="1"/>
  <c r="Q361" i="10" s="1"/>
  <c r="AH360" i="10"/>
  <c r="AF360" i="10"/>
  <c r="AE360" i="10"/>
  <c r="AD360" i="10"/>
  <c r="AB360" i="10"/>
  <c r="W360" i="10"/>
  <c r="Y360" i="10" s="1"/>
  <c r="V360" i="10"/>
  <c r="K360" i="10"/>
  <c r="J360" i="10"/>
  <c r="I360" i="10"/>
  <c r="H360" i="10"/>
  <c r="E360" i="10"/>
  <c r="C360" i="10"/>
  <c r="AI359" i="10"/>
  <c r="AH359" i="10"/>
  <c r="AF359" i="10"/>
  <c r="AE359" i="10"/>
  <c r="AD359" i="10"/>
  <c r="AB359" i="10"/>
  <c r="Y359" i="10"/>
  <c r="W359" i="10"/>
  <c r="V359" i="10"/>
  <c r="S359" i="10"/>
  <c r="AG359" i="10" s="1"/>
  <c r="R359" i="10"/>
  <c r="K359" i="10"/>
  <c r="J359" i="10"/>
  <c r="I359" i="10"/>
  <c r="P359" i="10" s="1"/>
  <c r="Q359" i="10" s="1"/>
  <c r="H359" i="10"/>
  <c r="E359" i="10"/>
  <c r="AK359" i="10" s="1" a="1"/>
  <c r="AK359" i="10" s="1"/>
  <c r="C359" i="10"/>
  <c r="AI358" i="10"/>
  <c r="AH358" i="10"/>
  <c r="AF358" i="10"/>
  <c r="AE358" i="10"/>
  <c r="AD358" i="10"/>
  <c r="AB358" i="10"/>
  <c r="W358" i="10"/>
  <c r="Y358" i="10" s="1"/>
  <c r="V358" i="10"/>
  <c r="Q358" i="10"/>
  <c r="P358" i="10"/>
  <c r="K358" i="10"/>
  <c r="J358" i="10"/>
  <c r="I358" i="10"/>
  <c r="H358" i="10"/>
  <c r="E358" i="10"/>
  <c r="C358" i="10"/>
  <c r="AJ357" i="10"/>
  <c r="AH357" i="10"/>
  <c r="AF357" i="10"/>
  <c r="AE357" i="10"/>
  <c r="AD357" i="10"/>
  <c r="AB357" i="10"/>
  <c r="Z357" i="10"/>
  <c r="AA357" i="10" s="1"/>
  <c r="Y357" i="10"/>
  <c r="W357" i="10"/>
  <c r="V357" i="10"/>
  <c r="S357" i="10" s="1"/>
  <c r="AG357" i="10" s="1"/>
  <c r="U357" i="10"/>
  <c r="T357" i="10"/>
  <c r="P357" i="10"/>
  <c r="Q357" i="10" s="1"/>
  <c r="K357" i="10"/>
  <c r="J357" i="10"/>
  <c r="I357" i="10"/>
  <c r="H357" i="10"/>
  <c r="E357" i="10"/>
  <c r="C357" i="10"/>
  <c r="AH356" i="10"/>
  <c r="AF356" i="10"/>
  <c r="AE356" i="10"/>
  <c r="AD356" i="10"/>
  <c r="AB356" i="10"/>
  <c r="AA356" i="10"/>
  <c r="Z356" i="10"/>
  <c r="Y356" i="10"/>
  <c r="W356" i="10"/>
  <c r="V356" i="10"/>
  <c r="S356" i="10" s="1"/>
  <c r="AG356" i="10" s="1"/>
  <c r="K356" i="10"/>
  <c r="J356" i="10"/>
  <c r="O359" i="10" s="1"/>
  <c r="I356" i="10"/>
  <c r="H356" i="10"/>
  <c r="E356" i="10"/>
  <c r="C356" i="10"/>
  <c r="AJ355" i="10"/>
  <c r="AI355" i="10"/>
  <c r="AH355" i="10"/>
  <c r="AG355" i="10"/>
  <c r="AF355" i="10"/>
  <c r="AE355" i="10"/>
  <c r="AD355" i="10"/>
  <c r="AB355" i="10"/>
  <c r="AA355" i="10"/>
  <c r="W355" i="10"/>
  <c r="Y355" i="10" s="1"/>
  <c r="V355" i="10"/>
  <c r="Z355" i="10" s="1"/>
  <c r="U355" i="10"/>
  <c r="T355" i="10"/>
  <c r="S355" i="10"/>
  <c r="R355" i="10"/>
  <c r="P355" i="10"/>
  <c r="Q355" i="10" s="1"/>
  <c r="N355" i="10"/>
  <c r="K355" i="10"/>
  <c r="O358" i="10" s="1"/>
  <c r="J355" i="10"/>
  <c r="I355" i="10"/>
  <c r="H355" i="10"/>
  <c r="E355" i="10"/>
  <c r="C355" i="10"/>
  <c r="AK354" i="10" a="1"/>
  <c r="AK354" i="10" s="1"/>
  <c r="AJ354" i="10"/>
  <c r="AI354" i="10"/>
  <c r="AH354" i="10"/>
  <c r="AF354" i="10"/>
  <c r="AE354" i="10"/>
  <c r="AD354" i="10"/>
  <c r="AB354" i="10"/>
  <c r="W354" i="10"/>
  <c r="Y354" i="10" s="1"/>
  <c r="V354" i="10"/>
  <c r="U354" i="10"/>
  <c r="Q354" i="10"/>
  <c r="O354" i="10"/>
  <c r="N354" i="10"/>
  <c r="K354" i="10"/>
  <c r="J354" i="10"/>
  <c r="O355" i="10" s="1"/>
  <c r="I354" i="10"/>
  <c r="P354" i="10" s="1"/>
  <c r="H354" i="10"/>
  <c r="E354" i="10"/>
  <c r="C354" i="10"/>
  <c r="AH353" i="10"/>
  <c r="AF353" i="10"/>
  <c r="AE353" i="10"/>
  <c r="AD353" i="10"/>
  <c r="AB353" i="10"/>
  <c r="X353" i="10"/>
  <c r="W353" i="10"/>
  <c r="Y353" i="10" s="1"/>
  <c r="V353" i="10"/>
  <c r="R353" i="10" s="1"/>
  <c r="U353" i="10"/>
  <c r="T353" i="10"/>
  <c r="S353" i="10"/>
  <c r="AG353" i="10" s="1"/>
  <c r="K353" i="10"/>
  <c r="J353" i="10"/>
  <c r="I353" i="10"/>
  <c r="H353" i="10"/>
  <c r="E353" i="10"/>
  <c r="C353" i="10"/>
  <c r="AI352" i="10"/>
  <c r="AH352" i="10"/>
  <c r="AF352" i="10"/>
  <c r="AE352" i="10"/>
  <c r="AD352" i="10"/>
  <c r="AB352" i="10"/>
  <c r="W352" i="10"/>
  <c r="Y352" i="10" s="1"/>
  <c r="V352" i="10"/>
  <c r="U352" i="10"/>
  <c r="T352" i="10"/>
  <c r="S352" i="10"/>
  <c r="AG352" i="10" s="1"/>
  <c r="R352" i="10"/>
  <c r="P352" i="10"/>
  <c r="Q352" i="10" s="1"/>
  <c r="K352" i="10"/>
  <c r="J352" i="10"/>
  <c r="I352" i="10"/>
  <c r="H352" i="10"/>
  <c r="E352" i="10"/>
  <c r="AK352" i="10" s="1" a="1"/>
  <c r="AK352" i="10" s="1"/>
  <c r="C352" i="10"/>
  <c r="AK351" i="10" a="1"/>
  <c r="AK351" i="10" s="1"/>
  <c r="AJ351" i="10"/>
  <c r="AI351" i="10"/>
  <c r="AH351" i="10"/>
  <c r="AF351" i="10"/>
  <c r="AE351" i="10"/>
  <c r="AD351" i="10"/>
  <c r="AB351" i="10"/>
  <c r="Y351" i="10"/>
  <c r="W351" i="10"/>
  <c r="V351" i="10"/>
  <c r="U351" i="10"/>
  <c r="K351" i="10"/>
  <c r="J351" i="10"/>
  <c r="N352" i="10" s="1"/>
  <c r="I351" i="10"/>
  <c r="P351" i="10" s="1"/>
  <c r="Q351" i="10" s="1"/>
  <c r="H351" i="10"/>
  <c r="E351" i="10"/>
  <c r="C351" i="10"/>
  <c r="AH350" i="10"/>
  <c r="AF350" i="10"/>
  <c r="AE350" i="10"/>
  <c r="AD350" i="10"/>
  <c r="AB350" i="10"/>
  <c r="X350" i="10"/>
  <c r="W350" i="10"/>
  <c r="Y350" i="10" s="1"/>
  <c r="V350" i="10"/>
  <c r="R350" i="10" s="1"/>
  <c r="U350" i="10"/>
  <c r="T350" i="10"/>
  <c r="S350" i="10"/>
  <c r="AG350" i="10" s="1"/>
  <c r="N350" i="10"/>
  <c r="K350" i="10"/>
  <c r="J350" i="10"/>
  <c r="I350" i="10"/>
  <c r="H350" i="10"/>
  <c r="E350" i="10"/>
  <c r="C350" i="10"/>
  <c r="AI349" i="10"/>
  <c r="AH349" i="10"/>
  <c r="AF349" i="10"/>
  <c r="AE349" i="10"/>
  <c r="AD349" i="10"/>
  <c r="AB349" i="10"/>
  <c r="W349" i="10"/>
  <c r="Y349" i="10" s="1"/>
  <c r="V349" i="10"/>
  <c r="U349" i="10"/>
  <c r="T349" i="10"/>
  <c r="S349" i="10"/>
  <c r="AG349" i="10" s="1"/>
  <c r="R349" i="10"/>
  <c r="N349" i="10"/>
  <c r="K349" i="10"/>
  <c r="J349" i="10"/>
  <c r="O352" i="10" s="1"/>
  <c r="I349" i="10"/>
  <c r="H349" i="10"/>
  <c r="E349" i="10"/>
  <c r="C349" i="10"/>
  <c r="P349" i="10" s="1"/>
  <c r="Q349" i="10" s="1"/>
  <c r="AK348" i="10"/>
  <c r="AK348" i="10" a="1"/>
  <c r="AJ348" i="10"/>
  <c r="AI348" i="10"/>
  <c r="AH348" i="10"/>
  <c r="AF348" i="10"/>
  <c r="AE348" i="10"/>
  <c r="AD348" i="10"/>
  <c r="AB348" i="10"/>
  <c r="Z348" i="10"/>
  <c r="AA348" i="10" s="1"/>
  <c r="Y348" i="10"/>
  <c r="W348" i="10"/>
  <c r="V348" i="10"/>
  <c r="U348" i="10"/>
  <c r="T348" i="10"/>
  <c r="S348" i="10"/>
  <c r="AG348" i="10" s="1"/>
  <c r="R348" i="10"/>
  <c r="P348" i="10"/>
  <c r="O348" i="10"/>
  <c r="N348" i="10"/>
  <c r="K348" i="10"/>
  <c r="J348" i="10"/>
  <c r="I348" i="10"/>
  <c r="H348" i="10"/>
  <c r="E348" i="10"/>
  <c r="C348" i="10"/>
  <c r="AK347" i="10" a="1"/>
  <c r="AK347" i="10" s="1"/>
  <c r="AJ347" i="10"/>
  <c r="AI347" i="10"/>
  <c r="AH347" i="10"/>
  <c r="AG347" i="10"/>
  <c r="AF347" i="10"/>
  <c r="AE347" i="10"/>
  <c r="AD347" i="10"/>
  <c r="AB347" i="10"/>
  <c r="W347" i="10"/>
  <c r="Y347" i="10" s="1"/>
  <c r="V347" i="10"/>
  <c r="R347" i="10" s="1"/>
  <c r="T347" i="10"/>
  <c r="S347" i="10"/>
  <c r="K347" i="10"/>
  <c r="J347" i="10"/>
  <c r="H347" i="10"/>
  <c r="E347" i="10"/>
  <c r="C347" i="10"/>
  <c r="AK346" i="10" a="1"/>
  <c r="AK346" i="10" s="1"/>
  <c r="AI346" i="10"/>
  <c r="AH346" i="10"/>
  <c r="AF346" i="10"/>
  <c r="AE346" i="10"/>
  <c r="AD346" i="10"/>
  <c r="AB346" i="10"/>
  <c r="V346" i="10"/>
  <c r="U346" i="10"/>
  <c r="T346" i="10"/>
  <c r="K346" i="10"/>
  <c r="J346" i="10"/>
  <c r="H346" i="10"/>
  <c r="E346" i="10"/>
  <c r="C346" i="10"/>
  <c r="AK345" i="10" a="1"/>
  <c r="AK345" i="10" s="1"/>
  <c r="AJ345" i="10"/>
  <c r="AI345" i="10"/>
  <c r="AH345" i="10"/>
  <c r="AF345" i="10"/>
  <c r="AE345" i="10"/>
  <c r="AD345" i="10"/>
  <c r="AB345" i="10"/>
  <c r="Z345" i="10"/>
  <c r="V345" i="10"/>
  <c r="T345" i="10"/>
  <c r="S345" i="10"/>
  <c r="AG345" i="10" s="1"/>
  <c r="R345" i="10"/>
  <c r="K345" i="10"/>
  <c r="J345" i="10"/>
  <c r="H345" i="10"/>
  <c r="E345" i="10"/>
  <c r="C345" i="10"/>
  <c r="AJ344" i="10"/>
  <c r="AI344" i="10"/>
  <c r="AH344" i="10"/>
  <c r="AF344" i="10"/>
  <c r="AE344" i="10"/>
  <c r="AD344" i="10"/>
  <c r="AB344" i="10"/>
  <c r="Z344" i="10"/>
  <c r="AA344" i="10" s="1"/>
  <c r="Y344" i="10"/>
  <c r="V344" i="10"/>
  <c r="R344" i="10" s="1"/>
  <c r="U344" i="10"/>
  <c r="T344" i="10"/>
  <c r="S344" i="10"/>
  <c r="AG344" i="10" s="1"/>
  <c r="K344" i="10"/>
  <c r="J344" i="10"/>
  <c r="H344" i="10"/>
  <c r="AK344" i="10" s="1" a="1"/>
  <c r="AK344" i="10" s="1"/>
  <c r="E344" i="10"/>
  <c r="C344" i="10"/>
  <c r="AJ343" i="10"/>
  <c r="AI343" i="10"/>
  <c r="AH343" i="10"/>
  <c r="AF343" i="10"/>
  <c r="AE343" i="10"/>
  <c r="AD343" i="10"/>
  <c r="AB343" i="10"/>
  <c r="Y343" i="10"/>
  <c r="V343" i="10"/>
  <c r="S343" i="10" s="1"/>
  <c r="AG343" i="10" s="1"/>
  <c r="U343" i="10"/>
  <c r="R343" i="10"/>
  <c r="K343" i="10"/>
  <c r="J343" i="10"/>
  <c r="H343" i="10"/>
  <c r="E343" i="10"/>
  <c r="AK343" i="10" s="1" a="1"/>
  <c r="AK343" i="10" s="1"/>
  <c r="C343" i="10"/>
  <c r="AK342" i="10" a="1"/>
  <c r="AK342" i="10" s="1"/>
  <c r="AJ342" i="10"/>
  <c r="AI342" i="10"/>
  <c r="AH342" i="10"/>
  <c r="AF342" i="10"/>
  <c r="AE342" i="10"/>
  <c r="AD342" i="10"/>
  <c r="AB342" i="10"/>
  <c r="Z342" i="10"/>
  <c r="Y342" i="10"/>
  <c r="V342" i="10"/>
  <c r="S342" i="10"/>
  <c r="AG342" i="10" s="1"/>
  <c r="K342" i="10"/>
  <c r="J342" i="10"/>
  <c r="H342" i="10"/>
  <c r="E342" i="10"/>
  <c r="C342" i="10"/>
  <c r="AK341" i="10" a="1"/>
  <c r="AK341" i="10" s="1"/>
  <c r="AJ341" i="10"/>
  <c r="AI341" i="10"/>
  <c r="AH341" i="10"/>
  <c r="AG341" i="10"/>
  <c r="AF341" i="10"/>
  <c r="AE341" i="10"/>
  <c r="AD341" i="10"/>
  <c r="AB341" i="10"/>
  <c r="Z341" i="10"/>
  <c r="AA341" i="10" s="1"/>
  <c r="Y341" i="10"/>
  <c r="V341" i="10"/>
  <c r="R341" i="10" s="1"/>
  <c r="U341" i="10"/>
  <c r="T341" i="10"/>
  <c r="S341" i="10"/>
  <c r="K341" i="10"/>
  <c r="O383" i="10" s="1"/>
  <c r="J341" i="10"/>
  <c r="H341" i="10"/>
  <c r="E341" i="10"/>
  <c r="C341" i="10"/>
  <c r="AK340" i="10" a="1"/>
  <c r="AK340" i="10" s="1"/>
  <c r="AJ340" i="10"/>
  <c r="AI340" i="10"/>
  <c r="AH340" i="10"/>
  <c r="AG340" i="10"/>
  <c r="AF340" i="10"/>
  <c r="AE340" i="10"/>
  <c r="AD340" i="10"/>
  <c r="AB340" i="10"/>
  <c r="Y340" i="10"/>
  <c r="V340" i="10"/>
  <c r="U340" i="10" s="1"/>
  <c r="S340" i="10"/>
  <c r="R340" i="10"/>
  <c r="K340" i="10"/>
  <c r="J340" i="10"/>
  <c r="H340" i="10"/>
  <c r="E340" i="10"/>
  <c r="C340" i="10"/>
  <c r="AK339" i="10" a="1"/>
  <c r="AK339" i="10" s="1"/>
  <c r="AJ339" i="10"/>
  <c r="AI339" i="10"/>
  <c r="AH339" i="10"/>
  <c r="AF339" i="10"/>
  <c r="AE339" i="10"/>
  <c r="AD339" i="10"/>
  <c r="AB339" i="10"/>
  <c r="Y339" i="10"/>
  <c r="V339" i="10"/>
  <c r="R339" i="10"/>
  <c r="K339" i="10"/>
  <c r="J339" i="10"/>
  <c r="I339" i="10"/>
  <c r="P339" i="10" s="1"/>
  <c r="Q339" i="10" s="1"/>
  <c r="H339" i="10"/>
  <c r="E339" i="10"/>
  <c r="C339" i="10"/>
  <c r="AK338" i="10" a="1"/>
  <c r="AK338" i="10" s="1"/>
  <c r="AJ338" i="10"/>
  <c r="AI338" i="10"/>
  <c r="AH338" i="10"/>
  <c r="AF338" i="10"/>
  <c r="AE338" i="10"/>
  <c r="AD338" i="10"/>
  <c r="AB338" i="10"/>
  <c r="Z338" i="10"/>
  <c r="AA338" i="10" s="1"/>
  <c r="Y338" i="10"/>
  <c r="V338" i="10"/>
  <c r="R338" i="10" s="1"/>
  <c r="U338" i="10"/>
  <c r="S338" i="10"/>
  <c r="AG338" i="10" s="1"/>
  <c r="N338" i="10"/>
  <c r="K338" i="10"/>
  <c r="J338" i="10"/>
  <c r="I338" i="10"/>
  <c r="H338" i="10"/>
  <c r="E338" i="10"/>
  <c r="C338" i="10"/>
  <c r="P338" i="10" s="1"/>
  <c r="Q338" i="10" s="1"/>
  <c r="AH337" i="10"/>
  <c r="AF337" i="10"/>
  <c r="AE337" i="10"/>
  <c r="AD337" i="10"/>
  <c r="AB337" i="10"/>
  <c r="W337" i="10"/>
  <c r="Y337" i="10" s="1"/>
  <c r="V337" i="10"/>
  <c r="U337" i="10" s="1"/>
  <c r="T337" i="10"/>
  <c r="K337" i="10"/>
  <c r="J337" i="10"/>
  <c r="I337" i="10"/>
  <c r="H337" i="10"/>
  <c r="E337" i="10"/>
  <c r="C337" i="10"/>
  <c r="P337" i="10" s="1"/>
  <c r="Q337" i="10" s="1"/>
  <c r="AK336" i="10"/>
  <c r="AK336" i="10" a="1"/>
  <c r="AJ336" i="10"/>
  <c r="AI336" i="10"/>
  <c r="AH336" i="10"/>
  <c r="AF336" i="10"/>
  <c r="AE336" i="10"/>
  <c r="AD336" i="10"/>
  <c r="AB336" i="10"/>
  <c r="AA336" i="10"/>
  <c r="Z336" i="10"/>
  <c r="Y336" i="10"/>
  <c r="X336" i="10"/>
  <c r="W336" i="10"/>
  <c r="V336" i="10"/>
  <c r="U336" i="10"/>
  <c r="T336" i="10"/>
  <c r="S336" i="10"/>
  <c r="AG336" i="10" s="1"/>
  <c r="R336" i="10"/>
  <c r="O336" i="10"/>
  <c r="K336" i="10"/>
  <c r="J336" i="10"/>
  <c r="I336" i="10"/>
  <c r="P336" i="10" s="1"/>
  <c r="Q336" i="10" s="1"/>
  <c r="H336" i="10"/>
  <c r="E336" i="10"/>
  <c r="C336" i="10"/>
  <c r="AH335" i="10"/>
  <c r="AF335" i="10"/>
  <c r="AE335" i="10"/>
  <c r="AD335" i="10"/>
  <c r="AB335" i="10"/>
  <c r="W335" i="10"/>
  <c r="Y335" i="10" s="1"/>
  <c r="V335" i="10"/>
  <c r="S335" i="10" s="1"/>
  <c r="AG335" i="10" s="1"/>
  <c r="K335" i="10"/>
  <c r="J335" i="10"/>
  <c r="I335" i="10"/>
  <c r="H335" i="10"/>
  <c r="E335" i="10"/>
  <c r="C335" i="10"/>
  <c r="P335" i="10" s="1"/>
  <c r="Q335" i="10" s="1"/>
  <c r="AH334" i="10"/>
  <c r="AF334" i="10"/>
  <c r="AE334" i="10"/>
  <c r="AD334" i="10"/>
  <c r="AB334" i="10"/>
  <c r="W334" i="10"/>
  <c r="Y334" i="10" s="1"/>
  <c r="V334" i="10"/>
  <c r="U334" i="10"/>
  <c r="T334" i="10"/>
  <c r="S334" i="10"/>
  <c r="AG334" i="10" s="1"/>
  <c r="R334" i="10"/>
  <c r="P334" i="10"/>
  <c r="Q334" i="10" s="1"/>
  <c r="K334" i="10"/>
  <c r="J334" i="10"/>
  <c r="I334" i="10"/>
  <c r="H334" i="10"/>
  <c r="E334" i="10"/>
  <c r="C334" i="10"/>
  <c r="AK333" i="10" a="1"/>
  <c r="AK333" i="10" s="1"/>
  <c r="AJ333" i="10"/>
  <c r="AI333" i="10"/>
  <c r="AH333" i="10"/>
  <c r="AF333" i="10"/>
  <c r="AE333" i="10"/>
  <c r="AD333" i="10"/>
  <c r="AB333" i="10"/>
  <c r="Y333" i="10"/>
  <c r="W333" i="10"/>
  <c r="V333" i="10"/>
  <c r="Z333" i="10" s="1"/>
  <c r="AA333" i="10" s="1"/>
  <c r="U333" i="10"/>
  <c r="R333" i="10"/>
  <c r="Q333" i="10"/>
  <c r="P333" i="10"/>
  <c r="K333" i="10"/>
  <c r="J333" i="10"/>
  <c r="I333" i="10"/>
  <c r="H333" i="10"/>
  <c r="E333" i="10"/>
  <c r="C333" i="10"/>
  <c r="AJ332" i="10"/>
  <c r="AH332" i="10"/>
  <c r="AF332" i="10"/>
  <c r="AE332" i="10"/>
  <c r="AD332" i="10"/>
  <c r="AB332" i="10"/>
  <c r="AA332" i="10"/>
  <c r="Z332" i="10"/>
  <c r="X332" i="10"/>
  <c r="W332" i="10"/>
  <c r="Y332" i="10" s="1"/>
  <c r="V332" i="10"/>
  <c r="K332" i="10"/>
  <c r="J332" i="10"/>
  <c r="I332" i="10"/>
  <c r="H332" i="10"/>
  <c r="E332" i="10"/>
  <c r="C332" i="10"/>
  <c r="P332" i="10" s="1"/>
  <c r="Q332" i="10" s="1"/>
  <c r="AJ331" i="10"/>
  <c r="AH331" i="10"/>
  <c r="AG331" i="10"/>
  <c r="AF331" i="10"/>
  <c r="AE331" i="10"/>
  <c r="AD331" i="10"/>
  <c r="AB331" i="10"/>
  <c r="W331" i="10"/>
  <c r="Y331" i="10" s="1"/>
  <c r="V331" i="10"/>
  <c r="U331" i="10" s="1"/>
  <c r="S331" i="10"/>
  <c r="K331" i="10"/>
  <c r="J331" i="10"/>
  <c r="I331" i="10"/>
  <c r="H331" i="10"/>
  <c r="E331" i="10"/>
  <c r="C331" i="10"/>
  <c r="AK330" i="10"/>
  <c r="AK330" i="10" a="1"/>
  <c r="AJ330" i="10"/>
  <c r="AH330" i="10"/>
  <c r="AF330" i="10"/>
  <c r="AE330" i="10"/>
  <c r="AD330" i="10"/>
  <c r="AB330" i="10"/>
  <c r="Y330" i="10"/>
  <c r="W330" i="10"/>
  <c r="V330" i="10"/>
  <c r="Z330" i="10" s="1"/>
  <c r="AA330" i="10" s="1"/>
  <c r="U330" i="10"/>
  <c r="T330" i="10"/>
  <c r="S330" i="10"/>
  <c r="AG330" i="10" s="1"/>
  <c r="R330" i="10"/>
  <c r="Q330" i="10"/>
  <c r="P330" i="10"/>
  <c r="N330" i="10"/>
  <c r="K330" i="10"/>
  <c r="J330" i="10"/>
  <c r="I330" i="10"/>
  <c r="H330" i="10"/>
  <c r="E330" i="10"/>
  <c r="AI330" i="10" s="1"/>
  <c r="C330" i="10"/>
  <c r="AH329" i="10"/>
  <c r="AF329" i="10"/>
  <c r="AE329" i="10"/>
  <c r="AD329" i="10"/>
  <c r="AB329" i="10"/>
  <c r="Z329" i="10"/>
  <c r="AA329" i="10" s="1"/>
  <c r="Y329" i="10"/>
  <c r="X329" i="10"/>
  <c r="W329" i="10"/>
  <c r="V329" i="10"/>
  <c r="R329" i="10" s="1"/>
  <c r="U329" i="10"/>
  <c r="T329" i="10"/>
  <c r="S329" i="10"/>
  <c r="AG329" i="10" s="1"/>
  <c r="K329" i="10"/>
  <c r="J329" i="10"/>
  <c r="I329" i="10"/>
  <c r="H329" i="10"/>
  <c r="E329" i="10"/>
  <c r="C329" i="10"/>
  <c r="AK328" i="10" a="1"/>
  <c r="AK328" i="10" s="1"/>
  <c r="AH328" i="10"/>
  <c r="AF328" i="10"/>
  <c r="AE328" i="10"/>
  <c r="AD328" i="10"/>
  <c r="AB328" i="10"/>
  <c r="W328" i="10"/>
  <c r="Y328" i="10" s="1"/>
  <c r="V328" i="10"/>
  <c r="U328" i="10"/>
  <c r="T328" i="10"/>
  <c r="P328" i="10"/>
  <c r="Q328" i="10" s="1"/>
  <c r="N328" i="10"/>
  <c r="K328" i="10"/>
  <c r="J328" i="10"/>
  <c r="I328" i="10"/>
  <c r="H328" i="10"/>
  <c r="E328" i="10"/>
  <c r="C328" i="10"/>
  <c r="AK327" i="10" a="1"/>
  <c r="AK327" i="10" s="1"/>
  <c r="AJ327" i="10"/>
  <c r="AH327" i="10"/>
  <c r="AF327" i="10"/>
  <c r="AE327" i="10"/>
  <c r="AD327" i="10"/>
  <c r="AB327" i="10"/>
  <c r="Z327" i="10"/>
  <c r="AA327" i="10" s="1"/>
  <c r="Y327" i="10"/>
  <c r="X327" i="10"/>
  <c r="W327" i="10"/>
  <c r="V327" i="10"/>
  <c r="U327" i="10"/>
  <c r="T327" i="10"/>
  <c r="K327" i="10"/>
  <c r="J327" i="10"/>
  <c r="I327" i="10"/>
  <c r="P327" i="10" s="1"/>
  <c r="Q327" i="10" s="1"/>
  <c r="H327" i="10"/>
  <c r="E327" i="10"/>
  <c r="AI327" i="10" s="1"/>
  <c r="C327" i="10"/>
  <c r="AJ326" i="10"/>
  <c r="AI326" i="10"/>
  <c r="AH326" i="10"/>
  <c r="AG326" i="10"/>
  <c r="AF326" i="10"/>
  <c r="AE326" i="10"/>
  <c r="AD326" i="10"/>
  <c r="AB326" i="10"/>
  <c r="AA326" i="10"/>
  <c r="Z326" i="10"/>
  <c r="W326" i="10"/>
  <c r="Y326" i="10" s="1"/>
  <c r="V326" i="10"/>
  <c r="R326" i="10" s="1"/>
  <c r="T326" i="10"/>
  <c r="S326" i="10"/>
  <c r="P326" i="10"/>
  <c r="Q326" i="10" s="1"/>
  <c r="K326" i="10"/>
  <c r="J326" i="10"/>
  <c r="O328" i="10" s="1"/>
  <c r="I326" i="10"/>
  <c r="H326" i="10"/>
  <c r="E326" i="10"/>
  <c r="C326" i="10"/>
  <c r="AI325" i="10"/>
  <c r="AH325" i="10"/>
  <c r="AF325" i="10"/>
  <c r="AE325" i="10"/>
  <c r="AD325" i="10"/>
  <c r="AB325" i="10"/>
  <c r="W325" i="10"/>
  <c r="Y325" i="10" s="1"/>
  <c r="V325" i="10"/>
  <c r="P325" i="10"/>
  <c r="Q325" i="10" s="1"/>
  <c r="K325" i="10"/>
  <c r="J325" i="10"/>
  <c r="I325" i="10"/>
  <c r="H325" i="10"/>
  <c r="E325" i="10"/>
  <c r="AK325" i="10" s="1" a="1"/>
  <c r="AK325" i="10" s="1"/>
  <c r="C325" i="10"/>
  <c r="AK324" i="10"/>
  <c r="AK324" i="10" a="1"/>
  <c r="AJ324" i="10"/>
  <c r="AH324" i="10"/>
  <c r="AF324" i="10"/>
  <c r="AE324" i="10"/>
  <c r="AD324" i="10"/>
  <c r="AB324" i="10"/>
  <c r="Z324" i="10"/>
  <c r="AA324" i="10" s="1"/>
  <c r="Y324" i="10"/>
  <c r="W324" i="10"/>
  <c r="V324" i="10"/>
  <c r="S324" i="10"/>
  <c r="AG324" i="10" s="1"/>
  <c r="Q324" i="10"/>
  <c r="P324" i="10"/>
  <c r="K324" i="10"/>
  <c r="J324" i="10"/>
  <c r="I324" i="10"/>
  <c r="H324" i="10"/>
  <c r="E324" i="10"/>
  <c r="AI324" i="10" s="1"/>
  <c r="C324" i="10"/>
  <c r="AI323" i="10"/>
  <c r="AH323" i="10"/>
  <c r="AF323" i="10"/>
  <c r="AE323" i="10"/>
  <c r="AD323" i="10"/>
  <c r="AB323" i="10"/>
  <c r="AA323" i="10"/>
  <c r="Z323" i="10"/>
  <c r="Y323" i="10"/>
  <c r="X323" i="10"/>
  <c r="W323" i="10"/>
  <c r="V323" i="10"/>
  <c r="U323" i="10"/>
  <c r="T323" i="10"/>
  <c r="K323" i="10"/>
  <c r="N327" i="10" s="1"/>
  <c r="J323" i="10"/>
  <c r="I323" i="10"/>
  <c r="H323" i="10"/>
  <c r="E323" i="10"/>
  <c r="N323" i="10" s="1"/>
  <c r="C323" i="10"/>
  <c r="P323" i="10" s="1"/>
  <c r="Q323" i="10" s="1"/>
  <c r="AK322" i="10" a="1"/>
  <c r="AK322" i="10" s="1"/>
  <c r="AH322" i="10"/>
  <c r="AG322" i="10"/>
  <c r="AF322" i="10"/>
  <c r="AE322" i="10"/>
  <c r="AD322" i="10"/>
  <c r="AB322" i="10"/>
  <c r="Z322" i="10"/>
  <c r="AA322" i="10" s="1"/>
  <c r="X322" i="10"/>
  <c r="W322" i="10"/>
  <c r="Y322" i="10" s="1"/>
  <c r="V322" i="10"/>
  <c r="U322" i="10"/>
  <c r="T322" i="10"/>
  <c r="S322" i="10"/>
  <c r="R322" i="10"/>
  <c r="K322" i="10"/>
  <c r="J322" i="10"/>
  <c r="I322" i="10"/>
  <c r="P322" i="10" s="1"/>
  <c r="Q322" i="10" s="1"/>
  <c r="H322" i="10"/>
  <c r="E322" i="10"/>
  <c r="AJ322" i="10" s="1"/>
  <c r="C322" i="10"/>
  <c r="AJ321" i="10"/>
  <c r="AH321" i="10"/>
  <c r="AF321" i="10"/>
  <c r="AE321" i="10"/>
  <c r="AD321" i="10"/>
  <c r="AB321" i="10"/>
  <c r="Z321" i="10"/>
  <c r="AA321" i="10" s="1"/>
  <c r="Y321" i="10"/>
  <c r="W321" i="10"/>
  <c r="V321" i="10"/>
  <c r="X321" i="10" s="1"/>
  <c r="U321" i="10"/>
  <c r="T321" i="10"/>
  <c r="S321" i="10"/>
  <c r="AG321" i="10" s="1"/>
  <c r="R321" i="10"/>
  <c r="P321" i="10"/>
  <c r="Q321" i="10" s="1"/>
  <c r="K321" i="10"/>
  <c r="J321" i="10"/>
  <c r="O324" i="10" s="1"/>
  <c r="I321" i="10"/>
  <c r="H321" i="10"/>
  <c r="E321" i="10"/>
  <c r="C321" i="10"/>
  <c r="AH320" i="10"/>
  <c r="AF320" i="10"/>
  <c r="AE320" i="10"/>
  <c r="AD320" i="10"/>
  <c r="AB320" i="10"/>
  <c r="AA320" i="10"/>
  <c r="Z320" i="10"/>
  <c r="W320" i="10"/>
  <c r="Y320" i="10" s="1"/>
  <c r="V320" i="10"/>
  <c r="R320" i="10" s="1"/>
  <c r="U320" i="10"/>
  <c r="Q320" i="10"/>
  <c r="K320" i="10"/>
  <c r="N322" i="10" s="1"/>
  <c r="J320" i="10"/>
  <c r="I320" i="10"/>
  <c r="H320" i="10"/>
  <c r="E320" i="10"/>
  <c r="AI320" i="10" s="1"/>
  <c r="C320" i="10"/>
  <c r="P320" i="10" s="1"/>
  <c r="AH319" i="10"/>
  <c r="AG319" i="10"/>
  <c r="AF319" i="10"/>
  <c r="AE319" i="10"/>
  <c r="AD319" i="10"/>
  <c r="AB319" i="10"/>
  <c r="Z319" i="10"/>
  <c r="AA319" i="10" s="1"/>
  <c r="Y319" i="10"/>
  <c r="X319" i="10"/>
  <c r="W319" i="10"/>
  <c r="V319" i="10"/>
  <c r="U319" i="10"/>
  <c r="T319" i="10"/>
  <c r="S319" i="10"/>
  <c r="R319" i="10"/>
  <c r="K319" i="10"/>
  <c r="J319" i="10"/>
  <c r="I319" i="10"/>
  <c r="H319" i="10"/>
  <c r="E319" i="10"/>
  <c r="C319" i="10"/>
  <c r="P319" i="10" s="1"/>
  <c r="Q319" i="10" s="1"/>
  <c r="AK318" i="10" a="1"/>
  <c r="AK318" i="10" s="1"/>
  <c r="AJ318" i="10"/>
  <c r="AH318" i="10"/>
  <c r="AF318" i="10"/>
  <c r="AE318" i="10"/>
  <c r="AD318" i="10"/>
  <c r="AB318" i="10"/>
  <c r="Z318" i="10"/>
  <c r="AA318" i="10" s="1"/>
  <c r="Y318" i="10"/>
  <c r="X318" i="10"/>
  <c r="W318" i="10"/>
  <c r="V318" i="10"/>
  <c r="U318" i="10" s="1"/>
  <c r="T318" i="10"/>
  <c r="S318" i="10"/>
  <c r="AG318" i="10" s="1"/>
  <c r="R318" i="10"/>
  <c r="K318" i="10"/>
  <c r="J318" i="10"/>
  <c r="I318" i="10"/>
  <c r="P318" i="10" s="1"/>
  <c r="Q318" i="10" s="1"/>
  <c r="H318" i="10"/>
  <c r="E318" i="10"/>
  <c r="AI318" i="10" s="1"/>
  <c r="C318" i="10"/>
  <c r="AH317" i="10"/>
  <c r="AF317" i="10"/>
  <c r="AE317" i="10"/>
  <c r="AD317" i="10"/>
  <c r="AB317" i="10"/>
  <c r="W317" i="10"/>
  <c r="Y317" i="10" s="1"/>
  <c r="V317" i="10"/>
  <c r="S317" i="10" s="1"/>
  <c r="AG317" i="10" s="1"/>
  <c r="R317" i="10"/>
  <c r="K317" i="10"/>
  <c r="J317" i="10"/>
  <c r="I317" i="10"/>
  <c r="H317" i="10"/>
  <c r="E317" i="10"/>
  <c r="C317" i="10"/>
  <c r="P317" i="10" s="1"/>
  <c r="Q317" i="10" s="1"/>
  <c r="AK316" i="10" a="1"/>
  <c r="AK316" i="10" s="1"/>
  <c r="AH316" i="10"/>
  <c r="AG316" i="10"/>
  <c r="AF316" i="10"/>
  <c r="AE316" i="10"/>
  <c r="AD316" i="10"/>
  <c r="AB316" i="10"/>
  <c r="AA316" i="10"/>
  <c r="Z316" i="10"/>
  <c r="Y316" i="10"/>
  <c r="X316" i="10"/>
  <c r="W316" i="10"/>
  <c r="V316" i="10"/>
  <c r="U316" i="10"/>
  <c r="T316" i="10"/>
  <c r="S316" i="10"/>
  <c r="R316" i="10"/>
  <c r="P316" i="10"/>
  <c r="Q316" i="10" s="1"/>
  <c r="O316" i="10"/>
  <c r="K316" i="10"/>
  <c r="J316" i="10"/>
  <c r="I316" i="10"/>
  <c r="H316" i="10"/>
  <c r="E316" i="10"/>
  <c r="C316" i="10"/>
  <c r="AH315" i="10"/>
  <c r="AF315" i="10"/>
  <c r="AE315" i="10"/>
  <c r="AD315" i="10"/>
  <c r="AB315" i="10"/>
  <c r="W315" i="10"/>
  <c r="Y315" i="10" s="1"/>
  <c r="V315" i="10"/>
  <c r="O315" i="10"/>
  <c r="K315" i="10"/>
  <c r="J315" i="10"/>
  <c r="I315" i="10"/>
  <c r="P315" i="10" s="1"/>
  <c r="Q315" i="10" s="1"/>
  <c r="H315" i="10"/>
  <c r="E315" i="10"/>
  <c r="C315" i="10"/>
  <c r="AH314" i="10"/>
  <c r="AF314" i="10"/>
  <c r="AE314" i="10"/>
  <c r="AD314" i="10"/>
  <c r="AB314" i="10"/>
  <c r="Z314" i="10"/>
  <c r="AA314" i="10" s="1"/>
  <c r="Y314" i="10"/>
  <c r="W314" i="10"/>
  <c r="V314" i="10"/>
  <c r="S314" i="10"/>
  <c r="AG314" i="10" s="1"/>
  <c r="K314" i="10"/>
  <c r="J314" i="10"/>
  <c r="I314" i="10"/>
  <c r="H314" i="10"/>
  <c r="E314" i="10"/>
  <c r="C314" i="10"/>
  <c r="P314" i="10" s="1"/>
  <c r="Q314" i="10" s="1"/>
  <c r="AK313" i="10" a="1"/>
  <c r="AK313" i="10" s="1"/>
  <c r="AJ313" i="10"/>
  <c r="AI313" i="10"/>
  <c r="AH313" i="10"/>
  <c r="AG313" i="10"/>
  <c r="AF313" i="10"/>
  <c r="AE313" i="10"/>
  <c r="AD313" i="10"/>
  <c r="AB313" i="10"/>
  <c r="AA313" i="10"/>
  <c r="Z313" i="10"/>
  <c r="Y313" i="10"/>
  <c r="X313" i="10"/>
  <c r="W313" i="10"/>
  <c r="V313" i="10"/>
  <c r="U313" i="10"/>
  <c r="T313" i="10"/>
  <c r="S313" i="10"/>
  <c r="R313" i="10"/>
  <c r="Q313" i="10"/>
  <c r="O313" i="10"/>
  <c r="N313" i="10"/>
  <c r="K313" i="10"/>
  <c r="J313" i="10"/>
  <c r="I313" i="10"/>
  <c r="P313" i="10" s="1"/>
  <c r="H313" i="10"/>
  <c r="E313" i="10"/>
  <c r="C313" i="10"/>
  <c r="AJ312" i="10"/>
  <c r="AH312" i="10"/>
  <c r="AF312" i="10"/>
  <c r="AE312" i="10"/>
  <c r="AD312" i="10"/>
  <c r="AB312" i="10"/>
  <c r="Y312" i="10"/>
  <c r="X312" i="10"/>
  <c r="W312" i="10"/>
  <c r="V312" i="10"/>
  <c r="Z312" i="10" s="1"/>
  <c r="AA312" i="10" s="1"/>
  <c r="U312" i="10"/>
  <c r="T312" i="10"/>
  <c r="S312" i="10"/>
  <c r="AG312" i="10" s="1"/>
  <c r="R312" i="10"/>
  <c r="Q312" i="10"/>
  <c r="P312" i="10"/>
  <c r="O312" i="10"/>
  <c r="N312" i="10"/>
  <c r="K312" i="10"/>
  <c r="J312" i="10"/>
  <c r="I312" i="10"/>
  <c r="H312" i="10"/>
  <c r="E312" i="10"/>
  <c r="C312" i="10"/>
  <c r="AI311" i="10"/>
  <c r="AH311" i="10"/>
  <c r="AF311" i="10"/>
  <c r="AE311" i="10"/>
  <c r="AD311" i="10"/>
  <c r="AB311" i="10"/>
  <c r="W311" i="10"/>
  <c r="Y311" i="10" s="1"/>
  <c r="V311" i="10"/>
  <c r="U311" i="10" s="1"/>
  <c r="Q311" i="10"/>
  <c r="K311" i="10"/>
  <c r="O314" i="10" s="1"/>
  <c r="J311" i="10"/>
  <c r="I311" i="10"/>
  <c r="H311" i="10"/>
  <c r="E311" i="10"/>
  <c r="C311" i="10"/>
  <c r="P311" i="10" s="1"/>
  <c r="AH310" i="10"/>
  <c r="AG310" i="10"/>
  <c r="AF310" i="10"/>
  <c r="AE310" i="10"/>
  <c r="AD310" i="10"/>
  <c r="AB310" i="10"/>
  <c r="AA310" i="10"/>
  <c r="Z310" i="10"/>
  <c r="Y310" i="10"/>
  <c r="X310" i="10"/>
  <c r="W310" i="10"/>
  <c r="V310" i="10"/>
  <c r="U310" i="10"/>
  <c r="T310" i="10"/>
  <c r="S310" i="10"/>
  <c r="R310" i="10"/>
  <c r="K310" i="10"/>
  <c r="J310" i="10"/>
  <c r="I310" i="10"/>
  <c r="H310" i="10"/>
  <c r="E310" i="10"/>
  <c r="AI310" i="10" s="1"/>
  <c r="C310" i="10"/>
  <c r="AJ309" i="10"/>
  <c r="AI309" i="10"/>
  <c r="AH309" i="10"/>
  <c r="AF309" i="10"/>
  <c r="AE309" i="10"/>
  <c r="AD309" i="10"/>
  <c r="AB309" i="10"/>
  <c r="X309" i="10"/>
  <c r="W309" i="10"/>
  <c r="Y309" i="10" s="1"/>
  <c r="V309" i="10"/>
  <c r="Z309" i="10" s="1"/>
  <c r="AA309" i="10" s="1"/>
  <c r="U309" i="10"/>
  <c r="K309" i="10"/>
  <c r="J309" i="10"/>
  <c r="I309" i="10"/>
  <c r="P309" i="10" s="1"/>
  <c r="Q309" i="10" s="1"/>
  <c r="H309" i="10"/>
  <c r="E309" i="10"/>
  <c r="O309" i="10" s="1"/>
  <c r="C309" i="10"/>
  <c r="AH308" i="10"/>
  <c r="AG308" i="10"/>
  <c r="AF308" i="10"/>
  <c r="AE308" i="10"/>
  <c r="AD308" i="10"/>
  <c r="AB308" i="10"/>
  <c r="AA308" i="10"/>
  <c r="Z308" i="10"/>
  <c r="Y308" i="10"/>
  <c r="X308" i="10"/>
  <c r="W308" i="10"/>
  <c r="V308" i="10"/>
  <c r="U308" i="10"/>
  <c r="T308" i="10"/>
  <c r="S308" i="10"/>
  <c r="R308" i="10"/>
  <c r="K308" i="10"/>
  <c r="O311" i="10" s="1"/>
  <c r="J308" i="10"/>
  <c r="I308" i="10"/>
  <c r="H308" i="10"/>
  <c r="E308" i="10"/>
  <c r="AI308" i="10" s="1"/>
  <c r="C308" i="10"/>
  <c r="P308" i="10" s="1"/>
  <c r="Q308" i="10" s="1"/>
  <c r="AK307" i="10" a="1"/>
  <c r="AK307" i="10" s="1"/>
  <c r="AH307" i="10"/>
  <c r="AG307" i="10"/>
  <c r="AF307" i="10"/>
  <c r="AE307" i="10"/>
  <c r="AD307" i="10"/>
  <c r="AB307" i="10"/>
  <c r="Z307" i="10"/>
  <c r="AA307" i="10" s="1"/>
  <c r="Y307" i="10"/>
  <c r="X307" i="10"/>
  <c r="W307" i="10"/>
  <c r="V307" i="10"/>
  <c r="U307" i="10"/>
  <c r="T307" i="10"/>
  <c r="S307" i="10"/>
  <c r="R307" i="10"/>
  <c r="K307" i="10"/>
  <c r="O310" i="10" s="1"/>
  <c r="J307" i="10"/>
  <c r="I307" i="10"/>
  <c r="H307" i="10"/>
  <c r="E307" i="10"/>
  <c r="C307" i="10"/>
  <c r="P307" i="10" s="1"/>
  <c r="Q307" i="10" s="1"/>
  <c r="AI306" i="10"/>
  <c r="AH306" i="10"/>
  <c r="AF306" i="10"/>
  <c r="AE306" i="10"/>
  <c r="AD306" i="10"/>
  <c r="AB306" i="10"/>
  <c r="Z306" i="10"/>
  <c r="AA306" i="10" s="1"/>
  <c r="Y306" i="10"/>
  <c r="X306" i="10"/>
  <c r="W306" i="10"/>
  <c r="V306" i="10"/>
  <c r="U306" i="10"/>
  <c r="T306" i="10"/>
  <c r="S306" i="10"/>
  <c r="AG306" i="10" s="1"/>
  <c r="R306" i="10"/>
  <c r="P306" i="10"/>
  <c r="Q306" i="10" s="1"/>
  <c r="N306" i="10"/>
  <c r="K306" i="10"/>
  <c r="J306" i="10"/>
  <c r="I306" i="10"/>
  <c r="H306" i="10"/>
  <c r="AK306" i="10" s="1" a="1"/>
  <c r="AK306" i="10" s="1"/>
  <c r="E306" i="10"/>
  <c r="AJ306" i="10" s="1"/>
  <c r="C306" i="10"/>
  <c r="AH305" i="10"/>
  <c r="AG305" i="10"/>
  <c r="AF305" i="10"/>
  <c r="AE305" i="10"/>
  <c r="AD305" i="10"/>
  <c r="AB305" i="10"/>
  <c r="W305" i="10"/>
  <c r="Y305" i="10" s="1"/>
  <c r="V305" i="10"/>
  <c r="S305" i="10" s="1"/>
  <c r="K305" i="10"/>
  <c r="J305" i="10"/>
  <c r="I305" i="10"/>
  <c r="H305" i="10"/>
  <c r="E305" i="10"/>
  <c r="C305" i="10"/>
  <c r="P305" i="10" s="1"/>
  <c r="Q305" i="10" s="1"/>
  <c r="AJ304" i="10"/>
  <c r="AH304" i="10"/>
  <c r="AG304" i="10"/>
  <c r="AF304" i="10"/>
  <c r="AE304" i="10"/>
  <c r="AD304" i="10"/>
  <c r="AB304" i="10"/>
  <c r="AA304" i="10"/>
  <c r="Z304" i="10"/>
  <c r="Y304" i="10"/>
  <c r="X304" i="10"/>
  <c r="W304" i="10"/>
  <c r="V304" i="10"/>
  <c r="U304" i="10"/>
  <c r="T304" i="10"/>
  <c r="S304" i="10"/>
  <c r="R304" i="10"/>
  <c r="K304" i="10"/>
  <c r="J304" i="10"/>
  <c r="I304" i="10"/>
  <c r="P304" i="10" s="1"/>
  <c r="Q304" i="10" s="1"/>
  <c r="H304" i="10"/>
  <c r="AK304" i="10" s="1" a="1"/>
  <c r="AK304" i="10" s="1"/>
  <c r="E304" i="10"/>
  <c r="C304" i="10"/>
  <c r="AH303" i="10"/>
  <c r="AF303" i="10"/>
  <c r="AE303" i="10"/>
  <c r="AD303" i="10"/>
  <c r="AB303" i="10"/>
  <c r="W303" i="10"/>
  <c r="Y303" i="10" s="1"/>
  <c r="V303" i="10"/>
  <c r="R303" i="10"/>
  <c r="K303" i="10"/>
  <c r="J303" i="10"/>
  <c r="I303" i="10"/>
  <c r="P303" i="10" s="1"/>
  <c r="Q303" i="10" s="1"/>
  <c r="H303" i="10"/>
  <c r="E303" i="10"/>
  <c r="C303" i="10"/>
  <c r="AI302" i="10"/>
  <c r="AH302" i="10"/>
  <c r="AF302" i="10"/>
  <c r="AE302" i="10"/>
  <c r="AD302" i="10"/>
  <c r="AB302" i="10"/>
  <c r="Z302" i="10"/>
  <c r="AA302" i="10" s="1"/>
  <c r="Y302" i="10"/>
  <c r="X302" i="10"/>
  <c r="W302" i="10"/>
  <c r="V302" i="10"/>
  <c r="U302" i="10"/>
  <c r="T302" i="10"/>
  <c r="S302" i="10"/>
  <c r="AG302" i="10" s="1"/>
  <c r="R302" i="10"/>
  <c r="Q302" i="10"/>
  <c r="K302" i="10"/>
  <c r="J302" i="10"/>
  <c r="I302" i="10"/>
  <c r="H302" i="10"/>
  <c r="E302" i="10"/>
  <c r="C302" i="10"/>
  <c r="P302" i="10" s="1"/>
  <c r="AK301" i="10" a="1"/>
  <c r="AK301" i="10" s="1"/>
  <c r="AJ301" i="10"/>
  <c r="AI301" i="10"/>
  <c r="AH301" i="10"/>
  <c r="AG301" i="10"/>
  <c r="AF301" i="10"/>
  <c r="AE301" i="10"/>
  <c r="AD301" i="10"/>
  <c r="AB301" i="10"/>
  <c r="AA301" i="10"/>
  <c r="Z301" i="10"/>
  <c r="Y301" i="10"/>
  <c r="X301" i="10"/>
  <c r="W301" i="10"/>
  <c r="V301" i="10"/>
  <c r="U301" i="10"/>
  <c r="T301" i="10"/>
  <c r="S301" i="10"/>
  <c r="R301" i="10"/>
  <c r="O301" i="10"/>
  <c r="K301" i="10"/>
  <c r="J301" i="10"/>
  <c r="I301" i="10"/>
  <c r="H301" i="10"/>
  <c r="E301" i="10"/>
  <c r="C301" i="10"/>
  <c r="P301" i="10" s="1"/>
  <c r="Q301" i="10" s="1"/>
  <c r="AJ300" i="10"/>
  <c r="AI300" i="10"/>
  <c r="AH300" i="10"/>
  <c r="AF300" i="10"/>
  <c r="AE300" i="10"/>
  <c r="AD300" i="10"/>
  <c r="AB300" i="10"/>
  <c r="Z300" i="10"/>
  <c r="AA300" i="10" s="1"/>
  <c r="Y300" i="10"/>
  <c r="X300" i="10"/>
  <c r="W300" i="10"/>
  <c r="V300" i="10"/>
  <c r="S300" i="10" s="1"/>
  <c r="AG300" i="10" s="1"/>
  <c r="U300" i="10"/>
  <c r="T300" i="10"/>
  <c r="R300" i="10"/>
  <c r="N300" i="10"/>
  <c r="K300" i="10"/>
  <c r="J300" i="10"/>
  <c r="I300" i="10"/>
  <c r="P300" i="10" s="1"/>
  <c r="Q300" i="10" s="1"/>
  <c r="H300" i="10"/>
  <c r="E300" i="10"/>
  <c r="AK300" i="10" s="1" a="1"/>
  <c r="AK300" i="10" s="1"/>
  <c r="C300" i="10"/>
  <c r="AI299" i="10"/>
  <c r="AH299" i="10"/>
  <c r="AF299" i="10"/>
  <c r="AE299" i="10"/>
  <c r="AD299" i="10"/>
  <c r="AB299" i="10"/>
  <c r="Y299" i="10"/>
  <c r="X299" i="10"/>
  <c r="W299" i="10"/>
  <c r="V299" i="10"/>
  <c r="R299" i="10"/>
  <c r="Q299" i="10"/>
  <c r="K299" i="10"/>
  <c r="J299" i="10"/>
  <c r="I299" i="10"/>
  <c r="H299" i="10"/>
  <c r="E299" i="10"/>
  <c r="C299" i="10"/>
  <c r="P299" i="10" s="1"/>
  <c r="AH298" i="10"/>
  <c r="AG298" i="10"/>
  <c r="AF298" i="10"/>
  <c r="AE298" i="10"/>
  <c r="AD298" i="10"/>
  <c r="AB298" i="10"/>
  <c r="AA298" i="10"/>
  <c r="Z298" i="10"/>
  <c r="Y298" i="10"/>
  <c r="X298" i="10"/>
  <c r="W298" i="10"/>
  <c r="V298" i="10"/>
  <c r="U298" i="10"/>
  <c r="T298" i="10"/>
  <c r="S298" i="10"/>
  <c r="R298" i="10"/>
  <c r="K298" i="10"/>
  <c r="J298" i="10"/>
  <c r="I298" i="10"/>
  <c r="P298" i="10" s="1"/>
  <c r="Q298" i="10" s="1"/>
  <c r="H298" i="10"/>
  <c r="E298" i="10"/>
  <c r="AI298" i="10" s="1"/>
  <c r="C298" i="10"/>
  <c r="AK297" i="10"/>
  <c r="AJ297" i="10"/>
  <c r="AH297" i="10"/>
  <c r="AF297" i="10"/>
  <c r="AE297" i="10"/>
  <c r="AD297" i="10"/>
  <c r="AB297" i="10"/>
  <c r="Z297" i="10"/>
  <c r="AA297" i="10" s="1"/>
  <c r="X297" i="10"/>
  <c r="W297" i="10"/>
  <c r="Y297" i="10" s="1"/>
  <c r="V297" i="10"/>
  <c r="U297" i="10" s="1"/>
  <c r="Q297" i="10"/>
  <c r="P297" i="10"/>
  <c r="K297" i="10"/>
  <c r="J297" i="10"/>
  <c r="I297" i="10"/>
  <c r="H297" i="10"/>
  <c r="AK297" i="10" s="1" a="1"/>
  <c r="E297" i="10"/>
  <c r="AI297" i="10" s="1"/>
  <c r="C297" i="10"/>
  <c r="AI296" i="10"/>
  <c r="AH296" i="10"/>
  <c r="AG296" i="10"/>
  <c r="AF296" i="10"/>
  <c r="AE296" i="10"/>
  <c r="AD296" i="10"/>
  <c r="AB296" i="10"/>
  <c r="AA296" i="10"/>
  <c r="Z296" i="10"/>
  <c r="Y296" i="10"/>
  <c r="X296" i="10"/>
  <c r="W296" i="10"/>
  <c r="V296" i="10"/>
  <c r="S296" i="10" s="1"/>
  <c r="U296" i="10"/>
  <c r="T296" i="10"/>
  <c r="R296" i="10"/>
  <c r="K296" i="10"/>
  <c r="J296" i="10"/>
  <c r="I296" i="10"/>
  <c r="H296" i="10"/>
  <c r="E296" i="10"/>
  <c r="C296" i="10"/>
  <c r="P296" i="10" s="1"/>
  <c r="Q296" i="10" s="1"/>
  <c r="AH295" i="10"/>
  <c r="AG295" i="10"/>
  <c r="AF295" i="10"/>
  <c r="AE295" i="10"/>
  <c r="AD295" i="10"/>
  <c r="AB295" i="10"/>
  <c r="Z295" i="10"/>
  <c r="AA295" i="10" s="1"/>
  <c r="Y295" i="10"/>
  <c r="V295" i="10"/>
  <c r="U295" i="10"/>
  <c r="T295" i="10"/>
  <c r="S295" i="10"/>
  <c r="R295" i="10"/>
  <c r="K295" i="10"/>
  <c r="J295" i="10"/>
  <c r="H295" i="10"/>
  <c r="E295" i="10"/>
  <c r="C295" i="10"/>
  <c r="Q295" i="10" s="1"/>
  <c r="AH294" i="10"/>
  <c r="AF294" i="10"/>
  <c r="AE294" i="10"/>
  <c r="AD294" i="10"/>
  <c r="AB294" i="10"/>
  <c r="Y294" i="10"/>
  <c r="V294" i="10"/>
  <c r="U294" i="10" s="1"/>
  <c r="T294" i="10"/>
  <c r="S294" i="10"/>
  <c r="AG294" i="10" s="1"/>
  <c r="R294" i="10"/>
  <c r="P294" i="10"/>
  <c r="Q294" i="10" s="1"/>
  <c r="K294" i="10"/>
  <c r="O340" i="10" s="1"/>
  <c r="J294" i="10"/>
  <c r="I294" i="10"/>
  <c r="H294" i="10"/>
  <c r="E294" i="10"/>
  <c r="C294" i="10"/>
  <c r="AI293" i="10"/>
  <c r="AH293" i="10"/>
  <c r="AF293" i="10"/>
  <c r="AE293" i="10"/>
  <c r="AD293" i="10"/>
  <c r="AB293" i="10"/>
  <c r="Y293" i="10"/>
  <c r="X293" i="10"/>
  <c r="W293" i="10"/>
  <c r="V293" i="10"/>
  <c r="Z293" i="10" s="1"/>
  <c r="AA293" i="10" s="1"/>
  <c r="U293" i="10"/>
  <c r="T293" i="10"/>
  <c r="S293" i="10"/>
  <c r="AG293" i="10" s="1"/>
  <c r="R293" i="10"/>
  <c r="P293" i="10"/>
  <c r="Q293" i="10" s="1"/>
  <c r="K293" i="10"/>
  <c r="J293" i="10"/>
  <c r="I293" i="10"/>
  <c r="H293" i="10"/>
  <c r="E293" i="10"/>
  <c r="C293" i="10"/>
  <c r="AH292" i="10"/>
  <c r="AG292" i="10"/>
  <c r="AF292" i="10"/>
  <c r="AE292" i="10"/>
  <c r="AD292" i="10"/>
  <c r="AB292" i="10"/>
  <c r="AA292" i="10"/>
  <c r="Z292" i="10"/>
  <c r="Y292" i="10"/>
  <c r="X292" i="10"/>
  <c r="W292" i="10"/>
  <c r="V292" i="10"/>
  <c r="U292" i="10"/>
  <c r="T292" i="10"/>
  <c r="S292" i="10"/>
  <c r="R292" i="10"/>
  <c r="P292" i="10"/>
  <c r="Q292" i="10" s="1"/>
  <c r="K292" i="10"/>
  <c r="J292" i="10"/>
  <c r="I292" i="10"/>
  <c r="H292" i="10"/>
  <c r="E292" i="10"/>
  <c r="C292" i="10"/>
  <c r="AI291" i="10"/>
  <c r="AH291" i="10"/>
  <c r="AF291" i="10"/>
  <c r="AE291" i="10"/>
  <c r="AD291" i="10"/>
  <c r="AB291" i="10"/>
  <c r="Y291" i="10"/>
  <c r="X291" i="10"/>
  <c r="W291" i="10"/>
  <c r="V291" i="10"/>
  <c r="Z291" i="10" s="1"/>
  <c r="AA291" i="10" s="1"/>
  <c r="U291" i="10"/>
  <c r="K291" i="10"/>
  <c r="J291" i="10"/>
  <c r="I291" i="10"/>
  <c r="H291" i="10"/>
  <c r="E291" i="10"/>
  <c r="C291" i="10"/>
  <c r="P291" i="10" s="1"/>
  <c r="Q291" i="10" s="1"/>
  <c r="AH290" i="10"/>
  <c r="AF290" i="10"/>
  <c r="AE290" i="10"/>
  <c r="AD290" i="10"/>
  <c r="AB290" i="10"/>
  <c r="Y290" i="10"/>
  <c r="W290" i="10"/>
  <c r="V290" i="10"/>
  <c r="U290" i="10"/>
  <c r="P290" i="10"/>
  <c r="Q290" i="10" s="1"/>
  <c r="K290" i="10"/>
  <c r="O293" i="10" s="1"/>
  <c r="J290" i="10"/>
  <c r="I290" i="10"/>
  <c r="H290" i="10"/>
  <c r="E290" i="10"/>
  <c r="C290" i="10"/>
  <c r="AK289" i="10" a="1"/>
  <c r="AK289" i="10" s="1"/>
  <c r="AJ289" i="10"/>
  <c r="AI289" i="10"/>
  <c r="AH289" i="10"/>
  <c r="AG289" i="10"/>
  <c r="AF289" i="10"/>
  <c r="AE289" i="10"/>
  <c r="AD289" i="10"/>
  <c r="AB289" i="10"/>
  <c r="Z289" i="10"/>
  <c r="AA289" i="10" s="1"/>
  <c r="Y289" i="10"/>
  <c r="X289" i="10"/>
  <c r="W289" i="10"/>
  <c r="V289" i="10"/>
  <c r="U289" i="10"/>
  <c r="T289" i="10"/>
  <c r="S289" i="10"/>
  <c r="R289" i="10"/>
  <c r="P289" i="10"/>
  <c r="Q289" i="10" s="1"/>
  <c r="K289" i="10"/>
  <c r="J289" i="10"/>
  <c r="I289" i="10"/>
  <c r="H289" i="10"/>
  <c r="E289" i="10"/>
  <c r="C289" i="10"/>
  <c r="AH288" i="10"/>
  <c r="AF288" i="10"/>
  <c r="AE288" i="10"/>
  <c r="AD288" i="10"/>
  <c r="AB288" i="10"/>
  <c r="Y288" i="10"/>
  <c r="X288" i="10"/>
  <c r="W288" i="10"/>
  <c r="V288" i="10"/>
  <c r="T288" i="10" s="1"/>
  <c r="U288" i="10"/>
  <c r="S288" i="10"/>
  <c r="AG288" i="10" s="1"/>
  <c r="K288" i="10"/>
  <c r="J288" i="10"/>
  <c r="I288" i="10"/>
  <c r="H288" i="10"/>
  <c r="E288" i="10"/>
  <c r="C288" i="10"/>
  <c r="P288" i="10" s="1"/>
  <c r="Q288" i="10" s="1"/>
  <c r="AK287" i="10"/>
  <c r="AK287" i="10" a="1"/>
  <c r="AI287" i="10"/>
  <c r="AH287" i="10"/>
  <c r="AF287" i="10"/>
  <c r="AE287" i="10"/>
  <c r="AD287" i="10"/>
  <c r="AB287" i="10"/>
  <c r="W287" i="10"/>
  <c r="Y287" i="10" s="1"/>
  <c r="V287" i="10"/>
  <c r="T287" i="10"/>
  <c r="K287" i="10"/>
  <c r="J287" i="10"/>
  <c r="I287" i="10"/>
  <c r="H287" i="10"/>
  <c r="E287" i="10"/>
  <c r="C287" i="10"/>
  <c r="P287" i="10" s="1"/>
  <c r="Q287" i="10" s="1"/>
  <c r="AJ286" i="10"/>
  <c r="AH286" i="10"/>
  <c r="AG286" i="10"/>
  <c r="AF286" i="10"/>
  <c r="AE286" i="10"/>
  <c r="AD286" i="10"/>
  <c r="AB286" i="10"/>
  <c r="Z286" i="10"/>
  <c r="AA286" i="10" s="1"/>
  <c r="Y286" i="10"/>
  <c r="X286" i="10"/>
  <c r="W286" i="10"/>
  <c r="V286" i="10"/>
  <c r="U286" i="10"/>
  <c r="T286" i="10"/>
  <c r="S286" i="10"/>
  <c r="R286" i="10"/>
  <c r="O286" i="10"/>
  <c r="N286" i="10"/>
  <c r="K286" i="10"/>
  <c r="O289" i="10" s="1"/>
  <c r="J286" i="10"/>
  <c r="I286" i="10"/>
  <c r="H286" i="10"/>
  <c r="E286" i="10"/>
  <c r="AK286" i="10" s="1" a="1"/>
  <c r="AK286" i="10" s="1"/>
  <c r="C286" i="10"/>
  <c r="P286" i="10" s="1"/>
  <c r="Q286" i="10" s="1"/>
  <c r="AI285" i="10"/>
  <c r="AH285" i="10"/>
  <c r="AF285" i="10"/>
  <c r="AE285" i="10"/>
  <c r="AD285" i="10"/>
  <c r="AB285" i="10"/>
  <c r="W285" i="10"/>
  <c r="Y285" i="10" s="1"/>
  <c r="V285" i="10"/>
  <c r="S285" i="10" s="1"/>
  <c r="AG285" i="10" s="1"/>
  <c r="P285" i="10"/>
  <c r="Q285" i="10" s="1"/>
  <c r="K285" i="10"/>
  <c r="J285" i="10"/>
  <c r="I285" i="10"/>
  <c r="H285" i="10"/>
  <c r="E285" i="10"/>
  <c r="AK285" i="10" s="1" a="1"/>
  <c r="AK285" i="10" s="1"/>
  <c r="C285" i="10"/>
  <c r="AI284" i="10"/>
  <c r="AH284" i="10"/>
  <c r="AG284" i="10"/>
  <c r="AF284" i="10"/>
  <c r="AE284" i="10"/>
  <c r="AD284" i="10"/>
  <c r="AB284" i="10"/>
  <c r="Y284" i="10"/>
  <c r="X284" i="10"/>
  <c r="W284" i="10"/>
  <c r="V284" i="10"/>
  <c r="S284" i="10" s="1"/>
  <c r="U284" i="10"/>
  <c r="T284" i="10"/>
  <c r="R284" i="10"/>
  <c r="Q284" i="10"/>
  <c r="P284" i="10"/>
  <c r="K284" i="10"/>
  <c r="J284" i="10"/>
  <c r="O285" i="10" s="1"/>
  <c r="I284" i="10"/>
  <c r="H284" i="10"/>
  <c r="E284" i="10"/>
  <c r="C284" i="10"/>
  <c r="AH283" i="10"/>
  <c r="AG283" i="10"/>
  <c r="AF283" i="10"/>
  <c r="AE283" i="10"/>
  <c r="AD283" i="10"/>
  <c r="AB283" i="10"/>
  <c r="Z283" i="10"/>
  <c r="AA283" i="10" s="1"/>
  <c r="Y283" i="10"/>
  <c r="X283" i="10"/>
  <c r="W283" i="10"/>
  <c r="V283" i="10"/>
  <c r="U283" i="10"/>
  <c r="T283" i="10"/>
  <c r="S283" i="10"/>
  <c r="R283" i="10"/>
  <c r="K283" i="10"/>
  <c r="J283" i="10"/>
  <c r="I283" i="10"/>
  <c r="H283" i="10"/>
  <c r="E283" i="10"/>
  <c r="C283" i="10"/>
  <c r="P283" i="10" s="1"/>
  <c r="Q283" i="10" s="1"/>
  <c r="AK282" i="10" a="1"/>
  <c r="AK282" i="10" s="1"/>
  <c r="AJ282" i="10"/>
  <c r="AH282" i="10"/>
  <c r="AF282" i="10"/>
  <c r="AE282" i="10"/>
  <c r="AD282" i="10"/>
  <c r="AB282" i="10"/>
  <c r="W282" i="10"/>
  <c r="Y282" i="10" s="1"/>
  <c r="V282" i="10"/>
  <c r="P282" i="10"/>
  <c r="Q282" i="10" s="1"/>
  <c r="K282" i="10"/>
  <c r="J282" i="10"/>
  <c r="I282" i="10"/>
  <c r="H282" i="10"/>
  <c r="E282" i="10"/>
  <c r="C282" i="10"/>
  <c r="AI281" i="10"/>
  <c r="AH281" i="10"/>
  <c r="AF281" i="10"/>
  <c r="AE281" i="10"/>
  <c r="AD281" i="10"/>
  <c r="AB281" i="10"/>
  <c r="W281" i="10"/>
  <c r="Y281" i="10" s="1"/>
  <c r="V281" i="10"/>
  <c r="Z281" i="10" s="1"/>
  <c r="AA281" i="10" s="1"/>
  <c r="U281" i="10"/>
  <c r="R281" i="10"/>
  <c r="Q281" i="10"/>
  <c r="K281" i="10"/>
  <c r="J281" i="10"/>
  <c r="I281" i="10"/>
  <c r="H281" i="10"/>
  <c r="E281" i="10"/>
  <c r="C281" i="10"/>
  <c r="P281" i="10" s="1"/>
  <c r="AI280" i="10"/>
  <c r="AH280" i="10"/>
  <c r="AG280" i="10"/>
  <c r="AF280" i="10"/>
  <c r="AE280" i="10"/>
  <c r="AD280" i="10"/>
  <c r="AB280" i="10"/>
  <c r="Z280" i="10"/>
  <c r="AA280" i="10" s="1"/>
  <c r="Y280" i="10"/>
  <c r="X280" i="10"/>
  <c r="W280" i="10"/>
  <c r="V280" i="10"/>
  <c r="U280" i="10"/>
  <c r="T280" i="10"/>
  <c r="S280" i="10"/>
  <c r="R280" i="10"/>
  <c r="P280" i="10"/>
  <c r="Q280" i="10" s="1"/>
  <c r="K280" i="10"/>
  <c r="J280" i="10"/>
  <c r="I280" i="10"/>
  <c r="H280" i="10"/>
  <c r="E280" i="10"/>
  <c r="C280" i="10"/>
  <c r="AH279" i="10"/>
  <c r="AF279" i="10"/>
  <c r="AE279" i="10"/>
  <c r="AD279" i="10"/>
  <c r="AB279" i="10"/>
  <c r="Y279" i="10"/>
  <c r="W279" i="10"/>
  <c r="V279" i="10"/>
  <c r="R279" i="10" s="1"/>
  <c r="O279" i="10"/>
  <c r="K279" i="10"/>
  <c r="J279" i="10"/>
  <c r="N280" i="10" s="1"/>
  <c r="I279" i="10"/>
  <c r="H279" i="10"/>
  <c r="E279" i="10"/>
  <c r="AK279" i="10" s="1" a="1"/>
  <c r="AK279" i="10" s="1"/>
  <c r="C279" i="10"/>
  <c r="P279" i="10" s="1"/>
  <c r="Q279" i="10" s="1"/>
  <c r="AH278" i="10"/>
  <c r="AF278" i="10"/>
  <c r="AE278" i="10"/>
  <c r="AD278" i="10"/>
  <c r="AB278" i="10"/>
  <c r="W278" i="10"/>
  <c r="Y278" i="10" s="1"/>
  <c r="V278" i="10"/>
  <c r="Q278" i="10"/>
  <c r="P278" i="10"/>
  <c r="K278" i="10"/>
  <c r="J278" i="10"/>
  <c r="I278" i="10"/>
  <c r="H278" i="10"/>
  <c r="E278" i="10"/>
  <c r="C278" i="10"/>
  <c r="AJ277" i="10"/>
  <c r="AI277" i="10"/>
  <c r="AH277" i="10"/>
  <c r="AF277" i="10"/>
  <c r="AE277" i="10"/>
  <c r="AD277" i="10"/>
  <c r="AB277" i="10"/>
  <c r="Z277" i="10"/>
  <c r="AA277" i="10" s="1"/>
  <c r="Y277" i="10"/>
  <c r="X277" i="10"/>
  <c r="W277" i="10"/>
  <c r="V277" i="10"/>
  <c r="U277" i="10"/>
  <c r="T277" i="10"/>
  <c r="S277" i="10"/>
  <c r="AG277" i="10" s="1"/>
  <c r="R277" i="10"/>
  <c r="Q277" i="10"/>
  <c r="P277" i="10"/>
  <c r="K277" i="10"/>
  <c r="J277" i="10"/>
  <c r="I277" i="10"/>
  <c r="H277" i="10"/>
  <c r="AK277" i="10" s="1" a="1"/>
  <c r="AK277" i="10" s="1"/>
  <c r="E277" i="10"/>
  <c r="C277" i="10"/>
  <c r="AH276" i="10"/>
  <c r="AF276" i="10"/>
  <c r="AE276" i="10"/>
  <c r="AD276" i="10"/>
  <c r="AB276" i="10"/>
  <c r="Y276" i="10"/>
  <c r="W276" i="10"/>
  <c r="V276" i="10"/>
  <c r="K276" i="10"/>
  <c r="J276" i="10"/>
  <c r="I276" i="10"/>
  <c r="H276" i="10"/>
  <c r="E276" i="10"/>
  <c r="C276" i="10"/>
  <c r="P276" i="10" s="1"/>
  <c r="Q276" i="10" s="1"/>
  <c r="AH275" i="10"/>
  <c r="AF275" i="10"/>
  <c r="AE275" i="10"/>
  <c r="AD275" i="10"/>
  <c r="AB275" i="10"/>
  <c r="Z275" i="10"/>
  <c r="AA275" i="10" s="1"/>
  <c r="Y275" i="10"/>
  <c r="W275" i="10"/>
  <c r="V275" i="10"/>
  <c r="X275" i="10" s="1"/>
  <c r="U275" i="10"/>
  <c r="T275" i="10"/>
  <c r="S275" i="10"/>
  <c r="AG275" i="10" s="1"/>
  <c r="R275" i="10"/>
  <c r="P275" i="10"/>
  <c r="Q275" i="10" s="1"/>
  <c r="K275" i="10"/>
  <c r="J275" i="10"/>
  <c r="I275" i="10"/>
  <c r="H275" i="10"/>
  <c r="E275" i="10"/>
  <c r="AK275" i="10" s="1" a="1"/>
  <c r="AK275" i="10" s="1"/>
  <c r="C275" i="10"/>
  <c r="AJ274" i="10"/>
  <c r="AI274" i="10"/>
  <c r="AH274" i="10"/>
  <c r="AF274" i="10"/>
  <c r="AE274" i="10"/>
  <c r="AD274" i="10"/>
  <c r="AB274" i="10"/>
  <c r="Y274" i="10"/>
  <c r="W274" i="10"/>
  <c r="V274" i="10"/>
  <c r="U274" i="10" s="1"/>
  <c r="R274" i="10"/>
  <c r="Q274" i="10"/>
  <c r="P274" i="10"/>
  <c r="N274" i="10"/>
  <c r="K274" i="10"/>
  <c r="O277" i="10" s="1"/>
  <c r="J274" i="10"/>
  <c r="I274" i="10"/>
  <c r="H274" i="10"/>
  <c r="AK274" i="10" s="1" a="1"/>
  <c r="AK274" i="10" s="1"/>
  <c r="E274" i="10"/>
  <c r="C274" i="10"/>
  <c r="AH273" i="10"/>
  <c r="AF273" i="10"/>
  <c r="AE273" i="10"/>
  <c r="AD273" i="10"/>
  <c r="AB273" i="10"/>
  <c r="Y273" i="10"/>
  <c r="W273" i="10"/>
  <c r="V273" i="10"/>
  <c r="S273" i="10"/>
  <c r="AG273" i="10" s="1"/>
  <c r="R273" i="10"/>
  <c r="K273" i="10"/>
  <c r="J273" i="10"/>
  <c r="I273" i="10"/>
  <c r="H273" i="10"/>
  <c r="E273" i="10"/>
  <c r="AK273" i="10" s="1" a="1"/>
  <c r="AK273" i="10" s="1"/>
  <c r="C273" i="10"/>
  <c r="AK272" i="10" a="1"/>
  <c r="AK272" i="10" s="1"/>
  <c r="AH272" i="10"/>
  <c r="AF272" i="10"/>
  <c r="AE272" i="10"/>
  <c r="AD272" i="10"/>
  <c r="AB272" i="10"/>
  <c r="Y272" i="10"/>
  <c r="W272" i="10"/>
  <c r="V272" i="10"/>
  <c r="X272" i="10" s="1"/>
  <c r="T272" i="10"/>
  <c r="S272" i="10"/>
  <c r="AG272" i="10" s="1"/>
  <c r="R272" i="10"/>
  <c r="K272" i="10"/>
  <c r="J272" i="10"/>
  <c r="I272" i="10"/>
  <c r="H272" i="10"/>
  <c r="E272" i="10"/>
  <c r="C272" i="10"/>
  <c r="P272" i="10" s="1"/>
  <c r="Q272" i="10" s="1"/>
  <c r="AJ271" i="10"/>
  <c r="AI271" i="10"/>
  <c r="AH271" i="10"/>
  <c r="AF271" i="10"/>
  <c r="AE271" i="10"/>
  <c r="AD271" i="10"/>
  <c r="AB271" i="10"/>
  <c r="Z271" i="10"/>
  <c r="AA271" i="10" s="1"/>
  <c r="X271" i="10"/>
  <c r="W271" i="10"/>
  <c r="Y271" i="10" s="1"/>
  <c r="V271" i="10"/>
  <c r="U271" i="10" s="1"/>
  <c r="R271" i="10"/>
  <c r="Q271" i="10"/>
  <c r="P271" i="10"/>
  <c r="K271" i="10"/>
  <c r="J271" i="10"/>
  <c r="I271" i="10"/>
  <c r="H271" i="10"/>
  <c r="AK271" i="10" s="1" a="1"/>
  <c r="AK271" i="10" s="1"/>
  <c r="E271" i="10"/>
  <c r="C271" i="10"/>
  <c r="AH270" i="10"/>
  <c r="AF270" i="10"/>
  <c r="AE270" i="10"/>
  <c r="AD270" i="10"/>
  <c r="AB270" i="10"/>
  <c r="Y270" i="10"/>
  <c r="X270" i="10"/>
  <c r="W270" i="10"/>
  <c r="V270" i="10"/>
  <c r="Z270" i="10" s="1"/>
  <c r="AA270" i="10" s="1"/>
  <c r="U270" i="10"/>
  <c r="T270" i="10"/>
  <c r="S270" i="10"/>
  <c r="AG270" i="10" s="1"/>
  <c r="K270" i="10"/>
  <c r="J270" i="10"/>
  <c r="I270" i="10"/>
  <c r="H270" i="10"/>
  <c r="E270" i="10"/>
  <c r="C270" i="10"/>
  <c r="AJ269" i="10"/>
  <c r="AI269" i="10"/>
  <c r="AH269" i="10"/>
  <c r="AF269" i="10"/>
  <c r="AE269" i="10"/>
  <c r="AD269" i="10"/>
  <c r="AB269" i="10"/>
  <c r="Z269" i="10"/>
  <c r="AA269" i="10" s="1"/>
  <c r="Y269" i="10"/>
  <c r="W269" i="10"/>
  <c r="V269" i="10"/>
  <c r="X269" i="10" s="1"/>
  <c r="U269" i="10"/>
  <c r="T269" i="10"/>
  <c r="S269" i="10"/>
  <c r="AG269" i="10" s="1"/>
  <c r="R269" i="10"/>
  <c r="N269" i="10"/>
  <c r="K269" i="10"/>
  <c r="J269" i="10"/>
  <c r="I269" i="10"/>
  <c r="P269" i="10" s="1"/>
  <c r="Q269" i="10" s="1"/>
  <c r="H269" i="10"/>
  <c r="E269" i="10"/>
  <c r="AK269" i="10" s="1" a="1"/>
  <c r="AK269" i="10" s="1"/>
  <c r="C269" i="10"/>
  <c r="AJ268" i="10"/>
  <c r="AI268" i="10"/>
  <c r="AH268" i="10"/>
  <c r="AF268" i="10"/>
  <c r="AE268" i="10"/>
  <c r="AD268" i="10"/>
  <c r="AB268" i="10"/>
  <c r="W268" i="10"/>
  <c r="Y268" i="10" s="1"/>
  <c r="V268" i="10"/>
  <c r="Z268" i="10" s="1"/>
  <c r="AA268" i="10" s="1"/>
  <c r="R268" i="10"/>
  <c r="Q268" i="10"/>
  <c r="P268" i="10"/>
  <c r="N268" i="10"/>
  <c r="K268" i="10"/>
  <c r="J268" i="10"/>
  <c r="I268" i="10"/>
  <c r="H268" i="10"/>
  <c r="AK268" i="10" s="1" a="1"/>
  <c r="AK268" i="10" s="1"/>
  <c r="E268" i="10"/>
  <c r="C268" i="10"/>
  <c r="AK267" i="10" a="1"/>
  <c r="AK267" i="10" s="1"/>
  <c r="AH267" i="10"/>
  <c r="AF267" i="10"/>
  <c r="AE267" i="10"/>
  <c r="AD267" i="10"/>
  <c r="AB267" i="10"/>
  <c r="Z267" i="10"/>
  <c r="AA267" i="10" s="1"/>
  <c r="Y267" i="10"/>
  <c r="X267" i="10"/>
  <c r="W267" i="10"/>
  <c r="V267" i="10"/>
  <c r="U267" i="10" s="1"/>
  <c r="K267" i="10"/>
  <c r="O269" i="10" s="1"/>
  <c r="J267" i="10"/>
  <c r="I267" i="10"/>
  <c r="H267" i="10"/>
  <c r="E267" i="10"/>
  <c r="AJ267" i="10" s="1"/>
  <c r="C267" i="10"/>
  <c r="P267" i="10" s="1"/>
  <c r="Q267" i="10" s="1"/>
  <c r="AH266" i="10"/>
  <c r="AF266" i="10"/>
  <c r="AE266" i="10"/>
  <c r="AD266" i="10"/>
  <c r="AB266" i="10"/>
  <c r="AA266" i="10"/>
  <c r="Z266" i="10"/>
  <c r="Y266" i="10"/>
  <c r="W266" i="10"/>
  <c r="V266" i="10"/>
  <c r="X266" i="10" s="1"/>
  <c r="U266" i="10"/>
  <c r="T266" i="10"/>
  <c r="S266" i="10"/>
  <c r="AG266" i="10" s="1"/>
  <c r="R266" i="10"/>
  <c r="P266" i="10"/>
  <c r="Q266" i="10" s="1"/>
  <c r="K266" i="10"/>
  <c r="J266" i="10"/>
  <c r="I266" i="10"/>
  <c r="H266" i="10"/>
  <c r="E266" i="10"/>
  <c r="C266" i="10"/>
  <c r="AJ265" i="10"/>
  <c r="AI265" i="10"/>
  <c r="AH265" i="10"/>
  <c r="AF265" i="10"/>
  <c r="AE265" i="10"/>
  <c r="AD265" i="10"/>
  <c r="AB265" i="10"/>
  <c r="Z265" i="10"/>
  <c r="AA265" i="10" s="1"/>
  <c r="Y265" i="10"/>
  <c r="W265" i="10"/>
  <c r="V265" i="10"/>
  <c r="U265" i="10" s="1"/>
  <c r="P265" i="10"/>
  <c r="Q265" i="10" s="1"/>
  <c r="N265" i="10"/>
  <c r="K265" i="10"/>
  <c r="J265" i="10"/>
  <c r="I265" i="10"/>
  <c r="H265" i="10"/>
  <c r="AK265" i="10" s="1" a="1"/>
  <c r="AK265" i="10" s="1"/>
  <c r="E265" i="10"/>
  <c r="C265" i="10"/>
  <c r="AK264" i="10" a="1"/>
  <c r="AK264" i="10" s="1"/>
  <c r="AH264" i="10"/>
  <c r="AF264" i="10"/>
  <c r="AE264" i="10"/>
  <c r="AD264" i="10"/>
  <c r="AB264" i="10"/>
  <c r="Y264" i="10"/>
  <c r="W264" i="10"/>
  <c r="V264" i="10"/>
  <c r="U264" i="10"/>
  <c r="K264" i="10"/>
  <c r="J264" i="10"/>
  <c r="I264" i="10"/>
  <c r="H264" i="10"/>
  <c r="E264" i="10"/>
  <c r="C264" i="10"/>
  <c r="AK263" i="10" a="1"/>
  <c r="AK263" i="10" s="1"/>
  <c r="AH263" i="10"/>
  <c r="AF263" i="10"/>
  <c r="AE263" i="10"/>
  <c r="AD263" i="10"/>
  <c r="AB263" i="10"/>
  <c r="Y263" i="10"/>
  <c r="W263" i="10"/>
  <c r="V263" i="10"/>
  <c r="X263" i="10" s="1"/>
  <c r="S263" i="10"/>
  <c r="AG263" i="10" s="1"/>
  <c r="R263" i="10"/>
  <c r="K263" i="10"/>
  <c r="J263" i="10"/>
  <c r="I263" i="10"/>
  <c r="P263" i="10" s="1"/>
  <c r="Q263" i="10" s="1"/>
  <c r="H263" i="10"/>
  <c r="E263" i="10"/>
  <c r="C263" i="10"/>
  <c r="AJ262" i="10"/>
  <c r="AI262" i="10"/>
  <c r="AH262" i="10"/>
  <c r="AF262" i="10"/>
  <c r="AE262" i="10"/>
  <c r="AD262" i="10"/>
  <c r="AB262" i="10"/>
  <c r="Y262" i="10"/>
  <c r="W262" i="10"/>
  <c r="V262" i="10"/>
  <c r="R262" i="10"/>
  <c r="Q262" i="10"/>
  <c r="P262" i="10"/>
  <c r="K262" i="10"/>
  <c r="J262" i="10"/>
  <c r="I262" i="10"/>
  <c r="H262" i="10"/>
  <c r="AK262" i="10" s="1" a="1"/>
  <c r="AK262" i="10" s="1"/>
  <c r="E262" i="10"/>
  <c r="C262" i="10"/>
  <c r="AK261" i="10"/>
  <c r="AK261" i="10" a="1"/>
  <c r="AJ261" i="10"/>
  <c r="AI261" i="10"/>
  <c r="AH261" i="10"/>
  <c r="AG261" i="10"/>
  <c r="AF261" i="10"/>
  <c r="AE261" i="10"/>
  <c r="AD261" i="10"/>
  <c r="AB261" i="10"/>
  <c r="Y261" i="10"/>
  <c r="X261" i="10"/>
  <c r="W261" i="10"/>
  <c r="V261" i="10"/>
  <c r="Z261" i="10" s="1"/>
  <c r="AA261" i="10" s="1"/>
  <c r="U261" i="10"/>
  <c r="T261" i="10"/>
  <c r="S261" i="10"/>
  <c r="K261" i="10"/>
  <c r="J261" i="10"/>
  <c r="I261" i="10"/>
  <c r="H261" i="10"/>
  <c r="E261" i="10"/>
  <c r="C261" i="10"/>
  <c r="AJ260" i="10"/>
  <c r="AI260" i="10"/>
  <c r="AH260" i="10"/>
  <c r="AF260" i="10"/>
  <c r="AE260" i="10"/>
  <c r="AD260" i="10"/>
  <c r="AB260" i="10"/>
  <c r="Z260" i="10"/>
  <c r="AA260" i="10" s="1"/>
  <c r="Y260" i="10"/>
  <c r="W260" i="10"/>
  <c r="V260" i="10"/>
  <c r="X260" i="10" s="1"/>
  <c r="U260" i="10"/>
  <c r="T260" i="10"/>
  <c r="S260" i="10"/>
  <c r="AG260" i="10" s="1"/>
  <c r="R260" i="10"/>
  <c r="P260" i="10"/>
  <c r="Q260" i="10" s="1"/>
  <c r="K260" i="10"/>
  <c r="J260" i="10"/>
  <c r="I260" i="10"/>
  <c r="H260" i="10"/>
  <c r="E260" i="10"/>
  <c r="C260" i="10"/>
  <c r="AJ259" i="10"/>
  <c r="AI259" i="10"/>
  <c r="AH259" i="10"/>
  <c r="AF259" i="10"/>
  <c r="AE259" i="10"/>
  <c r="AD259" i="10"/>
  <c r="AB259" i="10"/>
  <c r="Y259" i="10"/>
  <c r="X259" i="10"/>
  <c r="W259" i="10"/>
  <c r="V259" i="10"/>
  <c r="R259" i="10"/>
  <c r="Q259" i="10"/>
  <c r="P259" i="10"/>
  <c r="K259" i="10"/>
  <c r="J259" i="10"/>
  <c r="I259" i="10"/>
  <c r="H259" i="10"/>
  <c r="AK259" i="10" s="1" a="1"/>
  <c r="AK259" i="10" s="1"/>
  <c r="E259" i="10"/>
  <c r="C259" i="10"/>
  <c r="AH258" i="10"/>
  <c r="AF258" i="10"/>
  <c r="AE258" i="10"/>
  <c r="AD258" i="10"/>
  <c r="AB258" i="10"/>
  <c r="AA258" i="10"/>
  <c r="Z258" i="10"/>
  <c r="Y258" i="10"/>
  <c r="W258" i="10"/>
  <c r="V258" i="10"/>
  <c r="U258" i="10"/>
  <c r="T258" i="10"/>
  <c r="K258" i="10"/>
  <c r="J258" i="10"/>
  <c r="I258" i="10"/>
  <c r="H258" i="10"/>
  <c r="E258" i="10"/>
  <c r="C258" i="10"/>
  <c r="P258" i="10" s="1"/>
  <c r="Q258" i="10" s="1"/>
  <c r="AH257" i="10"/>
  <c r="AG257" i="10"/>
  <c r="AF257" i="10"/>
  <c r="AE257" i="10"/>
  <c r="AD257" i="10"/>
  <c r="AB257" i="10"/>
  <c r="Z257" i="10"/>
  <c r="AA257" i="10" s="1"/>
  <c r="Y257" i="10"/>
  <c r="W257" i="10"/>
  <c r="V257" i="10"/>
  <c r="X257" i="10" s="1"/>
  <c r="U257" i="10"/>
  <c r="T257" i="10"/>
  <c r="S257" i="10"/>
  <c r="R257" i="10"/>
  <c r="K257" i="10"/>
  <c r="J257" i="10"/>
  <c r="I257" i="10"/>
  <c r="H257" i="10"/>
  <c r="E257" i="10"/>
  <c r="C257" i="10"/>
  <c r="P257" i="10" s="1"/>
  <c r="Q257" i="10" s="1"/>
  <c r="AJ256" i="10"/>
  <c r="AI256" i="10"/>
  <c r="AH256" i="10"/>
  <c r="AF256" i="10"/>
  <c r="AE256" i="10"/>
  <c r="AD256" i="10"/>
  <c r="AB256" i="10"/>
  <c r="W256" i="10"/>
  <c r="Y256" i="10" s="1"/>
  <c r="V256" i="10"/>
  <c r="K256" i="10"/>
  <c r="J256" i="10"/>
  <c r="I256" i="10"/>
  <c r="P256" i="10" s="1"/>
  <c r="Q256" i="10" s="1"/>
  <c r="H256" i="10"/>
  <c r="AK256" i="10" s="1" a="1"/>
  <c r="AK256" i="10" s="1"/>
  <c r="E256" i="10"/>
  <c r="C256" i="10"/>
  <c r="AK255" i="10" a="1"/>
  <c r="AK255" i="10" s="1"/>
  <c r="AH255" i="10"/>
  <c r="AF255" i="10"/>
  <c r="AE255" i="10"/>
  <c r="AD255" i="10"/>
  <c r="AB255" i="10"/>
  <c r="Y255" i="10"/>
  <c r="W255" i="10"/>
  <c r="V255" i="10"/>
  <c r="Z255" i="10" s="1"/>
  <c r="AA255" i="10" s="1"/>
  <c r="R255" i="10"/>
  <c r="K255" i="10"/>
  <c r="J255" i="10"/>
  <c r="I255" i="10"/>
  <c r="H255" i="10"/>
  <c r="E255" i="10"/>
  <c r="C255" i="10"/>
  <c r="AI254" i="10"/>
  <c r="AH254" i="10"/>
  <c r="AG254" i="10"/>
  <c r="AF254" i="10"/>
  <c r="AE254" i="10"/>
  <c r="AD254" i="10"/>
  <c r="AB254" i="10"/>
  <c r="Z254" i="10"/>
  <c r="AA254" i="10" s="1"/>
  <c r="Y254" i="10"/>
  <c r="W254" i="10"/>
  <c r="V254" i="10"/>
  <c r="X254" i="10" s="1"/>
  <c r="U254" i="10"/>
  <c r="T254" i="10"/>
  <c r="S254" i="10"/>
  <c r="R254" i="10"/>
  <c r="K254" i="10"/>
  <c r="J254" i="10"/>
  <c r="I254" i="10"/>
  <c r="H254" i="10"/>
  <c r="E254" i="10"/>
  <c r="C254" i="10"/>
  <c r="P254" i="10" s="1"/>
  <c r="Q254" i="10" s="1"/>
  <c r="AJ253" i="10"/>
  <c r="AI253" i="10"/>
  <c r="AH253" i="10"/>
  <c r="AF253" i="10"/>
  <c r="AE253" i="10"/>
  <c r="AD253" i="10"/>
  <c r="AB253" i="10"/>
  <c r="Z253" i="10"/>
  <c r="AA253" i="10" s="1"/>
  <c r="Y253" i="10"/>
  <c r="W253" i="10"/>
  <c r="V253" i="10"/>
  <c r="R253" i="10"/>
  <c r="Q253" i="10"/>
  <c r="P253" i="10"/>
  <c r="K253" i="10"/>
  <c r="J253" i="10"/>
  <c r="I253" i="10"/>
  <c r="H253" i="10"/>
  <c r="AK253" i="10" s="1" a="1"/>
  <c r="AK253" i="10" s="1"/>
  <c r="E253" i="10"/>
  <c r="C253" i="10"/>
  <c r="AJ252" i="10"/>
  <c r="AI252" i="10"/>
  <c r="AH252" i="10"/>
  <c r="AF252" i="10"/>
  <c r="AE252" i="10"/>
  <c r="AD252" i="10"/>
  <c r="AB252" i="10"/>
  <c r="Y252" i="10"/>
  <c r="X252" i="10"/>
  <c r="W252" i="10"/>
  <c r="V252" i="10"/>
  <c r="Z252" i="10" s="1"/>
  <c r="AA252" i="10" s="1"/>
  <c r="U252" i="10"/>
  <c r="T252" i="10"/>
  <c r="S252" i="10"/>
  <c r="AG252" i="10" s="1"/>
  <c r="K252" i="10"/>
  <c r="J252" i="10"/>
  <c r="I252" i="10"/>
  <c r="H252" i="10"/>
  <c r="AK252" i="10" s="1" a="1"/>
  <c r="AK252" i="10" s="1"/>
  <c r="E252" i="10"/>
  <c r="C252" i="10"/>
  <c r="P252" i="10" s="1"/>
  <c r="Q252" i="10" s="1"/>
  <c r="AJ251" i="10"/>
  <c r="AI251" i="10"/>
  <c r="AH251" i="10"/>
  <c r="AF251" i="10"/>
  <c r="AE251" i="10"/>
  <c r="AD251" i="10"/>
  <c r="AB251" i="10"/>
  <c r="Y251" i="10"/>
  <c r="W251" i="10"/>
  <c r="V251" i="10"/>
  <c r="X251" i="10" s="1"/>
  <c r="U251" i="10"/>
  <c r="T251" i="10"/>
  <c r="S251" i="10"/>
  <c r="AG251" i="10" s="1"/>
  <c r="R251" i="10"/>
  <c r="K251" i="10"/>
  <c r="J251" i="10"/>
  <c r="I251" i="10"/>
  <c r="P251" i="10" s="1"/>
  <c r="Q251" i="10" s="1"/>
  <c r="H251" i="10"/>
  <c r="AK251" i="10" s="1" a="1"/>
  <c r="AK251" i="10" s="1"/>
  <c r="E251" i="10"/>
  <c r="C251" i="10"/>
  <c r="AK250" i="10" a="1"/>
  <c r="AK250" i="10" s="1"/>
  <c r="AJ250" i="10"/>
  <c r="AI250" i="10"/>
  <c r="AH250" i="10"/>
  <c r="AF250" i="10"/>
  <c r="AE250" i="10"/>
  <c r="AD250" i="10"/>
  <c r="AB250" i="10"/>
  <c r="W250" i="10"/>
  <c r="Y250" i="10" s="1"/>
  <c r="V250" i="10"/>
  <c r="Z250" i="10" s="1"/>
  <c r="AA250" i="10" s="1"/>
  <c r="R250" i="10"/>
  <c r="K250" i="10"/>
  <c r="J250" i="10"/>
  <c r="O251" i="10" s="1"/>
  <c r="I250" i="10"/>
  <c r="H250" i="10"/>
  <c r="E250" i="10"/>
  <c r="C250" i="10"/>
  <c r="P250" i="10" s="1"/>
  <c r="Q250" i="10" s="1"/>
  <c r="AH249" i="10"/>
  <c r="AG249" i="10"/>
  <c r="AF249" i="10"/>
  <c r="AE249" i="10"/>
  <c r="AD249" i="10"/>
  <c r="AB249" i="10"/>
  <c r="AA249" i="10"/>
  <c r="Z249" i="10"/>
  <c r="Y249" i="10"/>
  <c r="X249" i="10"/>
  <c r="W249" i="10"/>
  <c r="V249" i="10"/>
  <c r="U249" i="10" s="1"/>
  <c r="T249" i="10"/>
  <c r="S249" i="10"/>
  <c r="R249" i="10"/>
  <c r="P249" i="10"/>
  <c r="Q249" i="10" s="1"/>
  <c r="K249" i="10"/>
  <c r="J249" i="10"/>
  <c r="I249" i="10"/>
  <c r="H249" i="10"/>
  <c r="E249" i="10"/>
  <c r="AK249" i="10" s="1" a="1"/>
  <c r="AK249" i="10" s="1"/>
  <c r="C249" i="10"/>
  <c r="AK248" i="10" a="1"/>
  <c r="AK248" i="10" s="1"/>
  <c r="AI248" i="10"/>
  <c r="AH248" i="10"/>
  <c r="AF248" i="10"/>
  <c r="AE248" i="10"/>
  <c r="AD248" i="10"/>
  <c r="AB248" i="10"/>
  <c r="Y248" i="10"/>
  <c r="W248" i="10"/>
  <c r="V248" i="10"/>
  <c r="U248" i="10" s="1"/>
  <c r="K248" i="10"/>
  <c r="J248" i="10"/>
  <c r="I248" i="10"/>
  <c r="H248" i="10"/>
  <c r="E248" i="10"/>
  <c r="C248" i="10"/>
  <c r="P248" i="10" s="1"/>
  <c r="Q248" i="10" s="1"/>
  <c r="AK247" i="10" a="1"/>
  <c r="AK247" i="10" s="1"/>
  <c r="AJ247" i="10"/>
  <c r="AI247" i="10"/>
  <c r="AH247" i="10"/>
  <c r="AG247" i="10"/>
  <c r="AF247" i="10"/>
  <c r="AE247" i="10"/>
  <c r="AD247" i="10"/>
  <c r="AB247" i="10"/>
  <c r="AA247" i="10"/>
  <c r="X247" i="10"/>
  <c r="W247" i="10"/>
  <c r="Y247" i="10" s="1"/>
  <c r="V247" i="10"/>
  <c r="Z247" i="10" s="1"/>
  <c r="U247" i="10"/>
  <c r="T247" i="10"/>
  <c r="S247" i="10"/>
  <c r="R247" i="10"/>
  <c r="K247" i="10"/>
  <c r="J247" i="10"/>
  <c r="I247" i="10"/>
  <c r="P247" i="10" s="1"/>
  <c r="Q247" i="10" s="1"/>
  <c r="H247" i="10"/>
  <c r="E247" i="10"/>
  <c r="C247" i="10"/>
  <c r="AK246" i="10" a="1"/>
  <c r="AK246" i="10" s="1"/>
  <c r="AJ246" i="10"/>
  <c r="AI246" i="10"/>
  <c r="AH246" i="10"/>
  <c r="AF246" i="10"/>
  <c r="AE246" i="10"/>
  <c r="AD246" i="10"/>
  <c r="AB246" i="10"/>
  <c r="Z246" i="10"/>
  <c r="AA246" i="10" s="1"/>
  <c r="Y246" i="10"/>
  <c r="X246" i="10"/>
  <c r="W246" i="10"/>
  <c r="V246" i="10"/>
  <c r="U246" i="10" s="1"/>
  <c r="S246" i="10"/>
  <c r="AG246" i="10" s="1"/>
  <c r="R246" i="10"/>
  <c r="K246" i="10"/>
  <c r="J246" i="10"/>
  <c r="I246" i="10"/>
  <c r="H246" i="10"/>
  <c r="E246" i="10"/>
  <c r="C246" i="10"/>
  <c r="P246" i="10" s="1"/>
  <c r="Q246" i="10" s="1"/>
  <c r="AI245" i="10"/>
  <c r="AH245" i="10"/>
  <c r="AG245" i="10"/>
  <c r="AF245" i="10"/>
  <c r="AE245" i="10"/>
  <c r="AD245" i="10"/>
  <c r="AB245" i="10"/>
  <c r="Z245" i="10"/>
  <c r="AA245" i="10" s="1"/>
  <c r="Y245" i="10"/>
  <c r="X245" i="10"/>
  <c r="W245" i="10"/>
  <c r="V245" i="10"/>
  <c r="U245" i="10"/>
  <c r="T245" i="10"/>
  <c r="S245" i="10"/>
  <c r="R245" i="10"/>
  <c r="K245" i="10"/>
  <c r="J245" i="10"/>
  <c r="I245" i="10"/>
  <c r="H245" i="10"/>
  <c r="E245" i="10"/>
  <c r="C245" i="10"/>
  <c r="AH244" i="10"/>
  <c r="AF244" i="10"/>
  <c r="AE244" i="10"/>
  <c r="AD244" i="10"/>
  <c r="AB244" i="10"/>
  <c r="X244" i="10"/>
  <c r="W244" i="10"/>
  <c r="Y244" i="10" s="1"/>
  <c r="V244" i="10"/>
  <c r="S244" i="10" s="1"/>
  <c r="AG244" i="10" s="1"/>
  <c r="K244" i="10"/>
  <c r="O247" i="10" s="1"/>
  <c r="J244" i="10"/>
  <c r="I244" i="10"/>
  <c r="P244" i="10" s="1"/>
  <c r="Q244" i="10" s="1"/>
  <c r="H244" i="10"/>
  <c r="E244" i="10"/>
  <c r="C244" i="10"/>
  <c r="AK243" i="10"/>
  <c r="AH243" i="10"/>
  <c r="AF243" i="10"/>
  <c r="AE243" i="10"/>
  <c r="AD243" i="10"/>
  <c r="AB243" i="10"/>
  <c r="Y243" i="10"/>
  <c r="W243" i="10"/>
  <c r="V243" i="10"/>
  <c r="U243" i="10" s="1"/>
  <c r="T243" i="10"/>
  <c r="S243" i="10"/>
  <c r="AG243" i="10" s="1"/>
  <c r="R243" i="10"/>
  <c r="P243" i="10"/>
  <c r="Q243" i="10" s="1"/>
  <c r="K243" i="10"/>
  <c r="J243" i="10"/>
  <c r="I243" i="10"/>
  <c r="H243" i="10"/>
  <c r="E243" i="10"/>
  <c r="AK243" i="10" s="1" a="1"/>
  <c r="C243" i="10"/>
  <c r="AK242" i="10"/>
  <c r="AK242" i="10" a="1"/>
  <c r="AJ242" i="10"/>
  <c r="AH242" i="10"/>
  <c r="AF242" i="10"/>
  <c r="AE242" i="10"/>
  <c r="AD242" i="10"/>
  <c r="AB242" i="10"/>
  <c r="Y242" i="10"/>
  <c r="X242" i="10"/>
  <c r="W242" i="10"/>
  <c r="V242" i="10"/>
  <c r="U242" i="10"/>
  <c r="T242" i="10"/>
  <c r="P242" i="10"/>
  <c r="Q242" i="10" s="1"/>
  <c r="K242" i="10"/>
  <c r="J242" i="10"/>
  <c r="I242" i="10"/>
  <c r="H242" i="10"/>
  <c r="E242" i="10"/>
  <c r="AI242" i="10" s="1"/>
  <c r="C242" i="10"/>
  <c r="AK241" i="10" a="1"/>
  <c r="AK241" i="10" s="1"/>
  <c r="AJ241" i="10"/>
  <c r="AI241" i="10"/>
  <c r="AH241" i="10"/>
  <c r="AG241" i="10"/>
  <c r="AF241" i="10"/>
  <c r="AE241" i="10"/>
  <c r="AD241" i="10"/>
  <c r="AB241" i="10"/>
  <c r="W241" i="10"/>
  <c r="Y241" i="10" s="1"/>
  <c r="V241" i="10"/>
  <c r="U241" i="10" s="1"/>
  <c r="S241" i="10"/>
  <c r="R241" i="10"/>
  <c r="K241" i="10"/>
  <c r="J241" i="10"/>
  <c r="N243" i="10" s="1"/>
  <c r="I241" i="10"/>
  <c r="P241" i="10" s="1"/>
  <c r="Q241" i="10" s="1"/>
  <c r="H241" i="10"/>
  <c r="E241" i="10"/>
  <c r="C241" i="10"/>
  <c r="AJ240" i="10"/>
  <c r="AI240" i="10"/>
  <c r="AH240" i="10"/>
  <c r="AF240" i="10"/>
  <c r="AE240" i="10"/>
  <c r="AD240" i="10"/>
  <c r="AB240" i="10"/>
  <c r="Y240" i="10"/>
  <c r="X240" i="10"/>
  <c r="W240" i="10"/>
  <c r="V240" i="10"/>
  <c r="R240" i="10"/>
  <c r="K240" i="10"/>
  <c r="J240" i="10"/>
  <c r="I240" i="10"/>
  <c r="H240" i="10"/>
  <c r="E240" i="10"/>
  <c r="C240" i="10"/>
  <c r="P240" i="10" s="1"/>
  <c r="Q240" i="10" s="1"/>
  <c r="AK239" i="10" a="1"/>
  <c r="AK239" i="10" s="1"/>
  <c r="AJ239" i="10"/>
  <c r="AI239" i="10"/>
  <c r="AH239" i="10"/>
  <c r="AF239" i="10"/>
  <c r="AE239" i="10"/>
  <c r="AD239" i="10"/>
  <c r="AB239" i="10"/>
  <c r="Y239" i="10"/>
  <c r="W239" i="10"/>
  <c r="V239" i="10"/>
  <c r="Z239" i="10" s="1"/>
  <c r="AA239" i="10" s="1"/>
  <c r="R239" i="10"/>
  <c r="K239" i="10"/>
  <c r="J239" i="10"/>
  <c r="I239" i="10"/>
  <c r="H239" i="10"/>
  <c r="E239" i="10"/>
  <c r="C239" i="10"/>
  <c r="P239" i="10" s="1"/>
  <c r="Q239" i="10" s="1"/>
  <c r="AI238" i="10"/>
  <c r="AH238" i="10"/>
  <c r="AG238" i="10"/>
  <c r="AF238" i="10"/>
  <c r="AE238" i="10"/>
  <c r="AD238" i="10"/>
  <c r="AB238" i="10"/>
  <c r="AA238" i="10"/>
  <c r="Z238" i="10"/>
  <c r="Y238" i="10"/>
  <c r="X238" i="10"/>
  <c r="W238" i="10"/>
  <c r="V238" i="10"/>
  <c r="U238" i="10" s="1"/>
  <c r="T238" i="10"/>
  <c r="S238" i="10"/>
  <c r="R238" i="10"/>
  <c r="P238" i="10"/>
  <c r="Q238" i="10" s="1"/>
  <c r="K238" i="10"/>
  <c r="O241" i="10" s="1"/>
  <c r="J238" i="10"/>
  <c r="I238" i="10"/>
  <c r="H238" i="10"/>
  <c r="E238" i="10"/>
  <c r="C238" i="10"/>
  <c r="AH237" i="10"/>
  <c r="AF237" i="10"/>
  <c r="AE237" i="10"/>
  <c r="AD237" i="10"/>
  <c r="AB237" i="10"/>
  <c r="Y237" i="10"/>
  <c r="W237" i="10"/>
  <c r="V237" i="10"/>
  <c r="U237" i="10" s="1"/>
  <c r="K237" i="10"/>
  <c r="J237" i="10"/>
  <c r="I237" i="10"/>
  <c r="P237" i="10" s="1"/>
  <c r="Q237" i="10" s="1"/>
  <c r="H237" i="10"/>
  <c r="E237" i="10"/>
  <c r="C237" i="10"/>
  <c r="AH236" i="10"/>
  <c r="AF236" i="10"/>
  <c r="AE236" i="10"/>
  <c r="AD236" i="10"/>
  <c r="AB236" i="10"/>
  <c r="Y236" i="10"/>
  <c r="W236" i="10"/>
  <c r="V236" i="10"/>
  <c r="Z236" i="10" s="1"/>
  <c r="AA236" i="10" s="1"/>
  <c r="Q236" i="10"/>
  <c r="P236" i="10"/>
  <c r="K236" i="10"/>
  <c r="J236" i="10"/>
  <c r="I236" i="10"/>
  <c r="H236" i="10"/>
  <c r="E236" i="10"/>
  <c r="C236" i="10"/>
  <c r="AK235" i="10" a="1"/>
  <c r="AK235" i="10" s="1"/>
  <c r="AH235" i="10"/>
  <c r="AF235" i="10"/>
  <c r="AE235" i="10"/>
  <c r="AD235" i="10"/>
  <c r="AB235" i="10"/>
  <c r="Z235" i="10"/>
  <c r="AA235" i="10" s="1"/>
  <c r="Y235" i="10"/>
  <c r="X235" i="10"/>
  <c r="W235" i="10"/>
  <c r="V235" i="10"/>
  <c r="U235" i="10"/>
  <c r="P235" i="10"/>
  <c r="Q235" i="10" s="1"/>
  <c r="K235" i="10"/>
  <c r="J235" i="10"/>
  <c r="I235" i="10"/>
  <c r="H235" i="10"/>
  <c r="E235" i="10"/>
  <c r="AJ235" i="10" s="1"/>
  <c r="C235" i="10"/>
  <c r="AI234" i="10"/>
  <c r="AH234" i="10"/>
  <c r="AG234" i="10"/>
  <c r="AF234" i="10"/>
  <c r="AE234" i="10"/>
  <c r="AD234" i="10"/>
  <c r="AB234" i="10"/>
  <c r="AA234" i="10"/>
  <c r="Z234" i="10"/>
  <c r="Y234" i="10"/>
  <c r="W234" i="10"/>
  <c r="V234" i="10"/>
  <c r="X234" i="10" s="1"/>
  <c r="U234" i="10"/>
  <c r="T234" i="10"/>
  <c r="S234" i="10"/>
  <c r="R234" i="10"/>
  <c r="K234" i="10"/>
  <c r="J234" i="10"/>
  <c r="I234" i="10"/>
  <c r="H234" i="10"/>
  <c r="E234" i="10"/>
  <c r="AJ234" i="10" s="1"/>
  <c r="C234" i="10"/>
  <c r="P234" i="10" s="1"/>
  <c r="Q234" i="10" s="1"/>
  <c r="AJ233" i="10"/>
  <c r="AH233" i="10"/>
  <c r="AG233" i="10"/>
  <c r="AF233" i="10"/>
  <c r="AE233" i="10"/>
  <c r="AD233" i="10"/>
  <c r="AB233" i="10"/>
  <c r="Z233" i="10"/>
  <c r="AA233" i="10" s="1"/>
  <c r="Y233" i="10"/>
  <c r="X233" i="10"/>
  <c r="W233" i="10"/>
  <c r="V233" i="10"/>
  <c r="U233" i="10"/>
  <c r="T233" i="10"/>
  <c r="S233" i="10"/>
  <c r="R233" i="10"/>
  <c r="O233" i="10"/>
  <c r="K233" i="10"/>
  <c r="J233" i="10"/>
  <c r="I233" i="10"/>
  <c r="P233" i="10" s="1"/>
  <c r="Q233" i="10" s="1"/>
  <c r="H233" i="10"/>
  <c r="AK233" i="10" s="1" a="1"/>
  <c r="AK233" i="10" s="1"/>
  <c r="E233" i="10"/>
  <c r="AI233" i="10" s="1"/>
  <c r="C233" i="10"/>
  <c r="AJ232" i="10"/>
  <c r="AH232" i="10"/>
  <c r="AF232" i="10"/>
  <c r="AE232" i="10"/>
  <c r="AD232" i="10"/>
  <c r="AB232" i="10"/>
  <c r="Z232" i="10"/>
  <c r="AA232" i="10" s="1"/>
  <c r="W232" i="10"/>
  <c r="Y232" i="10" s="1"/>
  <c r="V232" i="10"/>
  <c r="U232" i="10" s="1"/>
  <c r="R232" i="10"/>
  <c r="K232" i="10"/>
  <c r="J232" i="10"/>
  <c r="I232" i="10"/>
  <c r="P232" i="10" s="1"/>
  <c r="Q232" i="10" s="1"/>
  <c r="H232" i="10"/>
  <c r="AK232" i="10" s="1" a="1"/>
  <c r="AK232" i="10" s="1"/>
  <c r="E232" i="10"/>
  <c r="AI232" i="10" s="1"/>
  <c r="C232" i="10"/>
  <c r="AH231" i="10"/>
  <c r="AF231" i="10"/>
  <c r="AE231" i="10"/>
  <c r="AD231" i="10"/>
  <c r="AB231" i="10"/>
  <c r="Z231" i="10"/>
  <c r="AA231" i="10" s="1"/>
  <c r="Y231" i="10"/>
  <c r="W231" i="10"/>
  <c r="V231" i="10"/>
  <c r="Q231" i="10"/>
  <c r="P231" i="10"/>
  <c r="K231" i="10"/>
  <c r="J231" i="10"/>
  <c r="I231" i="10"/>
  <c r="H231" i="10"/>
  <c r="E231" i="10"/>
  <c r="C231" i="10"/>
  <c r="AH230" i="10"/>
  <c r="AF230" i="10"/>
  <c r="AE230" i="10"/>
  <c r="AD230" i="10"/>
  <c r="AB230" i="10"/>
  <c r="Y230" i="10"/>
  <c r="W230" i="10"/>
  <c r="V230" i="10"/>
  <c r="U230" i="10"/>
  <c r="K230" i="10"/>
  <c r="J230" i="10"/>
  <c r="I230" i="10"/>
  <c r="H230" i="10"/>
  <c r="E230" i="10"/>
  <c r="C230" i="10"/>
  <c r="P230" i="10" s="1"/>
  <c r="Q230" i="10" s="1"/>
  <c r="AK229" i="10"/>
  <c r="AJ229" i="10"/>
  <c r="AH229" i="10"/>
  <c r="AF229" i="10"/>
  <c r="AE229" i="10"/>
  <c r="AD229" i="10"/>
  <c r="AB229" i="10"/>
  <c r="Z229" i="10"/>
  <c r="AA229" i="10" s="1"/>
  <c r="X229" i="10"/>
  <c r="W229" i="10"/>
  <c r="Y229" i="10" s="1"/>
  <c r="V229" i="10"/>
  <c r="U229" i="10"/>
  <c r="T229" i="10"/>
  <c r="S229" i="10"/>
  <c r="AG229" i="10" s="1"/>
  <c r="R229" i="10"/>
  <c r="K229" i="10"/>
  <c r="J229" i="10"/>
  <c r="I229" i="10"/>
  <c r="P229" i="10" s="1"/>
  <c r="Q229" i="10" s="1"/>
  <c r="H229" i="10"/>
  <c r="AK229" i="10" s="1" a="1"/>
  <c r="E229" i="10"/>
  <c r="AI229" i="10" s="1"/>
  <c r="C229" i="10"/>
  <c r="AI228" i="10"/>
  <c r="AH228" i="10"/>
  <c r="AF228" i="10"/>
  <c r="AE228" i="10"/>
  <c r="AD228" i="10"/>
  <c r="AB228" i="10"/>
  <c r="Z228" i="10"/>
  <c r="AA228" i="10" s="1"/>
  <c r="Y228" i="10"/>
  <c r="X228" i="10"/>
  <c r="W228" i="10"/>
  <c r="V228" i="10"/>
  <c r="U228" i="10" s="1"/>
  <c r="T228" i="10"/>
  <c r="S228" i="10"/>
  <c r="AG228" i="10" s="1"/>
  <c r="R228" i="10"/>
  <c r="K228" i="10"/>
  <c r="J228" i="10"/>
  <c r="I228" i="10"/>
  <c r="H228" i="10"/>
  <c r="E228" i="10"/>
  <c r="AK228" i="10" s="1" a="1"/>
  <c r="AK228" i="10" s="1"/>
  <c r="C228" i="10"/>
  <c r="AK227" i="10"/>
  <c r="AK227" i="10" a="1"/>
  <c r="AJ227" i="10"/>
  <c r="AH227" i="10"/>
  <c r="AF227" i="10"/>
  <c r="AE227" i="10"/>
  <c r="AD227" i="10"/>
  <c r="AB227" i="10"/>
  <c r="Z227" i="10"/>
  <c r="AA227" i="10" s="1"/>
  <c r="W227" i="10"/>
  <c r="Y227" i="10" s="1"/>
  <c r="V227" i="10"/>
  <c r="X227" i="10" s="1"/>
  <c r="U227" i="10"/>
  <c r="T227" i="10"/>
  <c r="S227" i="10"/>
  <c r="AG227" i="10" s="1"/>
  <c r="R227" i="10"/>
  <c r="K227" i="10"/>
  <c r="J227" i="10"/>
  <c r="I227" i="10"/>
  <c r="H227" i="10"/>
  <c r="E227" i="10"/>
  <c r="AI227" i="10" s="1"/>
  <c r="C227" i="10"/>
  <c r="AJ226" i="10"/>
  <c r="AH226" i="10"/>
  <c r="AF226" i="10"/>
  <c r="AE226" i="10"/>
  <c r="AD226" i="10"/>
  <c r="AB226" i="10"/>
  <c r="Y226" i="10"/>
  <c r="X226" i="10"/>
  <c r="W226" i="10"/>
  <c r="V226" i="10"/>
  <c r="Z226" i="10" s="1"/>
  <c r="AA226" i="10" s="1"/>
  <c r="U226" i="10"/>
  <c r="T226" i="10"/>
  <c r="S226" i="10"/>
  <c r="AG226" i="10" s="1"/>
  <c r="R226" i="10"/>
  <c r="Q226" i="10"/>
  <c r="P226" i="10"/>
  <c r="N226" i="10"/>
  <c r="K226" i="10"/>
  <c r="J226" i="10"/>
  <c r="I226" i="10"/>
  <c r="H226" i="10"/>
  <c r="E226" i="10"/>
  <c r="C226" i="10"/>
  <c r="AI225" i="10"/>
  <c r="AH225" i="10"/>
  <c r="AF225" i="10"/>
  <c r="AE225" i="10"/>
  <c r="AD225" i="10"/>
  <c r="AB225" i="10"/>
  <c r="Y225" i="10"/>
  <c r="W225" i="10"/>
  <c r="V225" i="10"/>
  <c r="S225" i="10" s="1"/>
  <c r="AG225" i="10" s="1"/>
  <c r="U225" i="10"/>
  <c r="T225" i="10"/>
  <c r="K225" i="10"/>
  <c r="J225" i="10"/>
  <c r="I225" i="10"/>
  <c r="H225" i="10"/>
  <c r="AK225" i="10" s="1" a="1"/>
  <c r="AK225" i="10" s="1"/>
  <c r="E225" i="10"/>
  <c r="C225" i="10"/>
  <c r="P225" i="10" s="1"/>
  <c r="Q225" i="10" s="1"/>
  <c r="AI224" i="10"/>
  <c r="AH224" i="10"/>
  <c r="AG224" i="10"/>
  <c r="AF224" i="10"/>
  <c r="AE224" i="10"/>
  <c r="AD224" i="10"/>
  <c r="AB224" i="10"/>
  <c r="Z224" i="10"/>
  <c r="AA224" i="10" s="1"/>
  <c r="Y224" i="10"/>
  <c r="X224" i="10"/>
  <c r="W224" i="10"/>
  <c r="V224" i="10"/>
  <c r="U224" i="10"/>
  <c r="T224" i="10"/>
  <c r="S224" i="10"/>
  <c r="R224" i="10"/>
  <c r="O224" i="10"/>
  <c r="K224" i="10"/>
  <c r="J224" i="10"/>
  <c r="I224" i="10"/>
  <c r="H224" i="10"/>
  <c r="E224" i="10"/>
  <c r="AJ224" i="10" s="1"/>
  <c r="C224" i="10"/>
  <c r="AH223" i="10"/>
  <c r="AF223" i="10"/>
  <c r="AE223" i="10"/>
  <c r="AD223" i="10"/>
  <c r="AB223" i="10"/>
  <c r="Z223" i="10"/>
  <c r="AA223" i="10" s="1"/>
  <c r="Y223" i="10"/>
  <c r="X223" i="10"/>
  <c r="W223" i="10"/>
  <c r="V223" i="10"/>
  <c r="U223" i="10" s="1"/>
  <c r="T223" i="10"/>
  <c r="S223" i="10"/>
  <c r="AG223" i="10" s="1"/>
  <c r="R223" i="10"/>
  <c r="K223" i="10"/>
  <c r="J223" i="10"/>
  <c r="I223" i="10"/>
  <c r="P223" i="10" s="1"/>
  <c r="Q223" i="10" s="1"/>
  <c r="H223" i="10"/>
  <c r="E223" i="10"/>
  <c r="C223" i="10"/>
  <c r="AJ222" i="10"/>
  <c r="AI222" i="10"/>
  <c r="AH222" i="10"/>
  <c r="AF222" i="10"/>
  <c r="AE222" i="10"/>
  <c r="AD222" i="10"/>
  <c r="AB222" i="10"/>
  <c r="Y222" i="10"/>
  <c r="X222" i="10"/>
  <c r="W222" i="10"/>
  <c r="V222" i="10"/>
  <c r="U222" i="10"/>
  <c r="T222" i="10"/>
  <c r="S222" i="10"/>
  <c r="AG222" i="10" s="1"/>
  <c r="P222" i="10"/>
  <c r="Q222" i="10" s="1"/>
  <c r="K222" i="10"/>
  <c r="J222" i="10"/>
  <c r="I222" i="10"/>
  <c r="H222" i="10"/>
  <c r="E222" i="10"/>
  <c r="C222" i="10"/>
  <c r="AH221" i="10"/>
  <c r="AE221" i="10"/>
  <c r="AD221" i="10"/>
  <c r="AB221" i="10"/>
  <c r="K221" i="10"/>
  <c r="J221" i="10"/>
  <c r="C221" i="10"/>
  <c r="AH220" i="10"/>
  <c r="AE220" i="10"/>
  <c r="AD220" i="10"/>
  <c r="AB220" i="10"/>
  <c r="K220" i="10"/>
  <c r="J220" i="10"/>
  <c r="C220" i="10"/>
  <c r="AH219" i="10"/>
  <c r="AE219" i="10"/>
  <c r="AD219" i="10"/>
  <c r="AB219" i="10"/>
  <c r="K219" i="10"/>
  <c r="O222" i="10" s="1"/>
  <c r="J219" i="10"/>
  <c r="C219" i="10"/>
  <c r="AH218" i="10"/>
  <c r="AE218" i="10"/>
  <c r="AD218" i="10"/>
  <c r="AB218" i="10"/>
  <c r="K218" i="10"/>
  <c r="J218" i="10"/>
  <c r="C218" i="10"/>
  <c r="AB217" i="10" s="1"/>
  <c r="AH217" i="10"/>
  <c r="AE217" i="10"/>
  <c r="AD217" i="10"/>
  <c r="J217" i="10"/>
  <c r="K217" i="10" s="1"/>
  <c r="C217" i="10"/>
  <c r="AH216" i="10"/>
  <c r="AE216" i="10"/>
  <c r="AD216" i="10"/>
  <c r="AB216" i="10"/>
  <c r="K216" i="10"/>
  <c r="J216" i="10"/>
  <c r="C216" i="10"/>
  <c r="AH215" i="10"/>
  <c r="AE215" i="10"/>
  <c r="AD215" i="10"/>
  <c r="AB215" i="10"/>
  <c r="K215" i="10"/>
  <c r="J215" i="10"/>
  <c r="C215" i="10"/>
  <c r="AH214" i="10"/>
  <c r="AE214" i="10"/>
  <c r="AD214" i="10"/>
  <c r="AB214" i="10"/>
  <c r="J214" i="10"/>
  <c r="K214" i="10" s="1"/>
  <c r="C214" i="10"/>
  <c r="AH213" i="10"/>
  <c r="AE213" i="10"/>
  <c r="AD213" i="10"/>
  <c r="AB213" i="10"/>
  <c r="K213" i="10"/>
  <c r="J213" i="10"/>
  <c r="C213" i="10"/>
  <c r="AH212" i="10"/>
  <c r="AE212" i="10"/>
  <c r="AD212" i="10"/>
  <c r="AB212" i="10"/>
  <c r="K212" i="10"/>
  <c r="J212" i="10"/>
  <c r="C212" i="10"/>
  <c r="AH211" i="10"/>
  <c r="AE211" i="10"/>
  <c r="AD211" i="10"/>
  <c r="AB211" i="10"/>
  <c r="K211" i="10"/>
  <c r="J211" i="10"/>
  <c r="C211" i="10"/>
  <c r="AH210" i="10"/>
  <c r="AE210" i="10"/>
  <c r="AD210" i="10"/>
  <c r="AB210" i="10"/>
  <c r="K210" i="10"/>
  <c r="J210" i="10"/>
  <c r="C210" i="10"/>
  <c r="AB209" i="10" s="1"/>
  <c r="AH209" i="10"/>
  <c r="AE209" i="10"/>
  <c r="AD209" i="10"/>
  <c r="K209" i="10"/>
  <c r="J209" i="10"/>
  <c r="C209" i="10"/>
  <c r="AH208" i="10"/>
  <c r="AE208" i="10"/>
  <c r="AD208" i="10"/>
  <c r="AB208" i="10"/>
  <c r="K208" i="10"/>
  <c r="J208" i="10"/>
  <c r="C208" i="10"/>
  <c r="AB207" i="10" s="1"/>
  <c r="AH207" i="10"/>
  <c r="AE207" i="10"/>
  <c r="AD207" i="10"/>
  <c r="J207" i="10"/>
  <c r="K207" i="10" s="1"/>
  <c r="C207" i="10"/>
  <c r="AH206" i="10"/>
  <c r="AE206" i="10"/>
  <c r="AD206" i="10"/>
  <c r="AB206" i="10"/>
  <c r="K206" i="10"/>
  <c r="J206" i="10"/>
  <c r="C206" i="10"/>
  <c r="AH205" i="10"/>
  <c r="AE205" i="10"/>
  <c r="AD205" i="10"/>
  <c r="AB205" i="10"/>
  <c r="K205" i="10"/>
  <c r="J205" i="10"/>
  <c r="C205" i="10"/>
  <c r="AH204" i="10"/>
  <c r="AE204" i="10"/>
  <c r="AD204" i="10"/>
  <c r="AB204" i="10"/>
  <c r="K204" i="10"/>
  <c r="J204" i="10"/>
  <c r="C204" i="10"/>
  <c r="AH203" i="10"/>
  <c r="AE203" i="10"/>
  <c r="AD203" i="10"/>
  <c r="J203" i="10"/>
  <c r="K203" i="10" s="1"/>
  <c r="C203" i="10"/>
  <c r="AB202" i="10" s="1"/>
  <c r="AH202" i="10"/>
  <c r="AE202" i="10"/>
  <c r="AD202" i="10"/>
  <c r="K202" i="10"/>
  <c r="J202" i="10"/>
  <c r="C202" i="10"/>
  <c r="AH201" i="10"/>
  <c r="AE201" i="10"/>
  <c r="AD201" i="10"/>
  <c r="AB201" i="10"/>
  <c r="K201" i="10"/>
  <c r="J201" i="10"/>
  <c r="C201" i="10"/>
  <c r="AH200" i="10"/>
  <c r="AE200" i="10"/>
  <c r="AD200" i="10"/>
  <c r="J200" i="10"/>
  <c r="K200" i="10" s="1"/>
  <c r="C200" i="10"/>
  <c r="AH199" i="10"/>
  <c r="AE199" i="10"/>
  <c r="AD199" i="10"/>
  <c r="AB199" i="10"/>
  <c r="K199" i="10"/>
  <c r="J199" i="10"/>
  <c r="C199" i="10"/>
  <c r="AH198" i="10"/>
  <c r="AE198" i="10"/>
  <c r="AD198" i="10"/>
  <c r="AB198" i="10"/>
  <c r="K198" i="10"/>
  <c r="J198" i="10"/>
  <c r="C198" i="10"/>
  <c r="AH197" i="10"/>
  <c r="AE197" i="10"/>
  <c r="AD197" i="10"/>
  <c r="K197" i="10"/>
  <c r="J197" i="10"/>
  <c r="C197" i="10"/>
  <c r="AB196" i="10" s="1"/>
  <c r="AH196" i="10"/>
  <c r="AE196" i="10"/>
  <c r="AD196" i="10"/>
  <c r="J196" i="10"/>
  <c r="K196" i="10" s="1"/>
  <c r="C196" i="10"/>
  <c r="AH195" i="10"/>
  <c r="AE195" i="10"/>
  <c r="AD195" i="10"/>
  <c r="AB195" i="10"/>
  <c r="K195" i="10"/>
  <c r="J195" i="10"/>
  <c r="C195" i="10"/>
  <c r="AH194" i="10"/>
  <c r="AE194" i="10"/>
  <c r="AD194" i="10"/>
  <c r="AB194" i="10"/>
  <c r="K194" i="10"/>
  <c r="J194" i="10"/>
  <c r="C194" i="10"/>
  <c r="AH193" i="10"/>
  <c r="AE193" i="10"/>
  <c r="AD193" i="10"/>
  <c r="AB193" i="10"/>
  <c r="K193" i="10"/>
  <c r="J193" i="10"/>
  <c r="C193" i="10"/>
  <c r="AH192" i="10"/>
  <c r="AE192" i="10"/>
  <c r="AD192" i="10"/>
  <c r="AB192" i="10"/>
  <c r="K192" i="10"/>
  <c r="J192" i="10"/>
  <c r="C192" i="10"/>
  <c r="AB191" i="10" s="1"/>
  <c r="AH191" i="10"/>
  <c r="AE191" i="10"/>
  <c r="AD191" i="10"/>
  <c r="J191" i="10"/>
  <c r="K191" i="10" s="1"/>
  <c r="C191" i="10"/>
  <c r="AH190" i="10"/>
  <c r="AE190" i="10"/>
  <c r="AD190" i="10"/>
  <c r="AB190" i="10"/>
  <c r="K190" i="10"/>
  <c r="J190" i="10"/>
  <c r="C190" i="10"/>
  <c r="AH189" i="10"/>
  <c r="AE189" i="10"/>
  <c r="AD189" i="10"/>
  <c r="AB189" i="10"/>
  <c r="K189" i="10"/>
  <c r="J189" i="10"/>
  <c r="C189" i="10"/>
  <c r="AH188" i="10"/>
  <c r="AE188" i="10"/>
  <c r="AD188" i="10"/>
  <c r="AB188" i="10"/>
  <c r="K188" i="10"/>
  <c r="J188" i="10"/>
  <c r="C188" i="10"/>
  <c r="AH187" i="10"/>
  <c r="AE187" i="10"/>
  <c r="AD187" i="10"/>
  <c r="AB187" i="10"/>
  <c r="K187" i="10"/>
  <c r="J187" i="10"/>
  <c r="C187" i="10"/>
  <c r="AH186" i="10"/>
  <c r="AE186" i="10"/>
  <c r="AD186" i="10"/>
  <c r="K186" i="10"/>
  <c r="J186" i="10"/>
  <c r="C186" i="10"/>
  <c r="AH185" i="10"/>
  <c r="AE185" i="10"/>
  <c r="AD185" i="10"/>
  <c r="AB185" i="10"/>
  <c r="J185" i="10"/>
  <c r="K185" i="10" s="1"/>
  <c r="C185" i="10"/>
  <c r="AH184" i="10"/>
  <c r="AE184" i="10"/>
  <c r="AD184" i="10"/>
  <c r="AB184" i="10"/>
  <c r="K184" i="10"/>
  <c r="J184" i="10"/>
  <c r="C184" i="10"/>
  <c r="AH183" i="10"/>
  <c r="AE183" i="10"/>
  <c r="AD183" i="10"/>
  <c r="AB183" i="10"/>
  <c r="K183" i="10"/>
  <c r="J183" i="10"/>
  <c r="C183" i="10"/>
  <c r="AH182" i="10"/>
  <c r="AE182" i="10"/>
  <c r="AD182" i="10"/>
  <c r="AB182" i="10"/>
  <c r="K182" i="10"/>
  <c r="J182" i="10"/>
  <c r="C182" i="10"/>
  <c r="AH181" i="10"/>
  <c r="AE181" i="10"/>
  <c r="AD181" i="10"/>
  <c r="K181" i="10"/>
  <c r="C181" i="10"/>
  <c r="AH180" i="10"/>
  <c r="AE180" i="10"/>
  <c r="AD180" i="10"/>
  <c r="AB180" i="10"/>
  <c r="K180" i="10"/>
  <c r="J180" i="10"/>
  <c r="C180" i="10"/>
  <c r="AH179" i="10"/>
  <c r="AE179" i="10"/>
  <c r="AD179" i="10"/>
  <c r="AB179" i="10"/>
  <c r="K179" i="10"/>
  <c r="J179" i="10"/>
  <c r="C179" i="10"/>
  <c r="AH178" i="10"/>
  <c r="AE178" i="10"/>
  <c r="AD178" i="10"/>
  <c r="AB178" i="10"/>
  <c r="K178" i="10"/>
  <c r="J178" i="10"/>
  <c r="C178" i="10"/>
  <c r="AH177" i="10"/>
  <c r="AE177" i="10"/>
  <c r="AD177" i="10"/>
  <c r="AB177" i="10"/>
  <c r="K177" i="10"/>
  <c r="J177" i="10"/>
  <c r="C177" i="10"/>
  <c r="AH176" i="10"/>
  <c r="AE176" i="10"/>
  <c r="AD176" i="10"/>
  <c r="AB176" i="10"/>
  <c r="K176" i="10"/>
  <c r="J176" i="10"/>
  <c r="C176" i="10"/>
  <c r="AH175" i="10"/>
  <c r="AE175" i="10"/>
  <c r="AD175" i="10"/>
  <c r="AB175" i="10"/>
  <c r="K175" i="10"/>
  <c r="J175" i="10"/>
  <c r="C175" i="10"/>
  <c r="AH174" i="10"/>
  <c r="AE174" i="10"/>
  <c r="AD174" i="10"/>
  <c r="AB174" i="10"/>
  <c r="K174" i="10"/>
  <c r="J174" i="10"/>
  <c r="C174" i="10"/>
  <c r="AH173" i="10"/>
  <c r="AE173" i="10"/>
  <c r="AD173" i="10"/>
  <c r="AB173" i="10"/>
  <c r="K173" i="10"/>
  <c r="J173" i="10"/>
  <c r="C173" i="10"/>
  <c r="AH172" i="10"/>
  <c r="AE172" i="10"/>
  <c r="AD172" i="10"/>
  <c r="K172" i="10"/>
  <c r="C172" i="10"/>
  <c r="AH171" i="10"/>
  <c r="AE171" i="10"/>
  <c r="AD171" i="10"/>
  <c r="AB171" i="10"/>
  <c r="K171" i="10"/>
  <c r="J171" i="10"/>
  <c r="C171" i="10"/>
  <c r="AH170" i="10"/>
  <c r="AE170" i="10"/>
  <c r="AD170" i="10"/>
  <c r="AB170" i="10"/>
  <c r="K170" i="10"/>
  <c r="J170" i="10"/>
  <c r="C170" i="10"/>
  <c r="AH169" i="10"/>
  <c r="AE169" i="10"/>
  <c r="AD169" i="10"/>
  <c r="AB169" i="10"/>
  <c r="K169" i="10"/>
  <c r="J169" i="10"/>
  <c r="C169" i="10"/>
  <c r="AH168" i="10"/>
  <c r="AE168" i="10"/>
  <c r="AD168" i="10"/>
  <c r="AB168" i="10"/>
  <c r="K168" i="10"/>
  <c r="J168" i="10"/>
  <c r="C168" i="10"/>
  <c r="AH167" i="10"/>
  <c r="AE167" i="10"/>
  <c r="AD167" i="10"/>
  <c r="AB167" i="10"/>
  <c r="K167" i="10"/>
  <c r="J167" i="10"/>
  <c r="C167" i="10"/>
  <c r="AB166" i="10" s="1"/>
  <c r="AH166" i="10"/>
  <c r="AE166" i="10"/>
  <c r="AD166" i="10"/>
  <c r="J166" i="10"/>
  <c r="K166" i="10" s="1"/>
  <c r="C166" i="10"/>
  <c r="AH165" i="10"/>
  <c r="AE165" i="10"/>
  <c r="AD165" i="10"/>
  <c r="AB165" i="10"/>
  <c r="K165" i="10"/>
  <c r="J165" i="10"/>
  <c r="C165" i="10"/>
  <c r="AH164" i="10"/>
  <c r="AE164" i="10"/>
  <c r="AD164" i="10"/>
  <c r="AB164" i="10"/>
  <c r="K164" i="10"/>
  <c r="C164" i="10"/>
  <c r="AH163" i="10"/>
  <c r="AE163" i="10"/>
  <c r="AD163" i="10"/>
  <c r="AB163" i="10"/>
  <c r="K163" i="10"/>
  <c r="J163" i="10"/>
  <c r="C163" i="10"/>
  <c r="AH162" i="10"/>
  <c r="AE162" i="10"/>
  <c r="AD162" i="10"/>
  <c r="AB162" i="10"/>
  <c r="K162" i="10"/>
  <c r="J162" i="10"/>
  <c r="C162" i="10"/>
  <c r="AH161" i="10"/>
  <c r="AE161" i="10"/>
  <c r="AD161" i="10"/>
  <c r="AB161" i="10"/>
  <c r="J161" i="10"/>
  <c r="K161" i="10" s="1"/>
  <c r="C161" i="10"/>
  <c r="AH160" i="10"/>
  <c r="AE160" i="10"/>
  <c r="AD160" i="10"/>
  <c r="AB160" i="10"/>
  <c r="K160" i="10"/>
  <c r="J160" i="10"/>
  <c r="C160" i="10"/>
  <c r="AH159" i="10"/>
  <c r="AE159" i="10"/>
  <c r="AD159" i="10"/>
  <c r="AB159" i="10"/>
  <c r="K159" i="10"/>
  <c r="J159" i="10"/>
  <c r="C159" i="10"/>
  <c r="AH158" i="10"/>
  <c r="AE158" i="10"/>
  <c r="AD158" i="10"/>
  <c r="AB158" i="10"/>
  <c r="J158" i="10"/>
  <c r="K158" i="10" s="1"/>
  <c r="C158" i="10"/>
  <c r="AH157" i="10"/>
  <c r="AE157" i="10"/>
  <c r="AD157" i="10"/>
  <c r="AB157" i="10"/>
  <c r="K157" i="10"/>
  <c r="J157" i="10"/>
  <c r="C157" i="10"/>
  <c r="AH156" i="10"/>
  <c r="AE156" i="10"/>
  <c r="AD156" i="10"/>
  <c r="AB156" i="10"/>
  <c r="K156" i="10"/>
  <c r="J156" i="10"/>
  <c r="C156" i="10"/>
  <c r="AH155" i="10"/>
  <c r="AE155" i="10"/>
  <c r="AD155" i="10"/>
  <c r="AB155" i="10"/>
  <c r="K155" i="10"/>
  <c r="J155" i="10"/>
  <c r="C155" i="10"/>
  <c r="AH154" i="10"/>
  <c r="AE154" i="10"/>
  <c r="AD154" i="10"/>
  <c r="AB154" i="10"/>
  <c r="J154" i="10"/>
  <c r="K154" i="10" s="1"/>
  <c r="C154" i="10"/>
  <c r="AH153" i="10"/>
  <c r="AE153" i="10"/>
  <c r="AD153" i="10"/>
  <c r="AB153" i="10"/>
  <c r="K153" i="10"/>
  <c r="J153" i="10"/>
  <c r="C153" i="10"/>
  <c r="AH152" i="10"/>
  <c r="AE152" i="10"/>
  <c r="AD152" i="10"/>
  <c r="AB152" i="10"/>
  <c r="K152" i="10"/>
  <c r="J152" i="10"/>
  <c r="C152" i="10"/>
  <c r="AH151" i="10"/>
  <c r="AE151" i="10"/>
  <c r="AD151" i="10"/>
  <c r="AB151" i="10"/>
  <c r="K151" i="10"/>
  <c r="J151" i="10"/>
  <c r="C151" i="10"/>
  <c r="AH150" i="10"/>
  <c r="AE150" i="10"/>
  <c r="AD150" i="10"/>
  <c r="AB150" i="10"/>
  <c r="K150" i="10"/>
  <c r="J150" i="10"/>
  <c r="C150" i="10"/>
  <c r="AH149" i="10"/>
  <c r="AE149" i="10"/>
  <c r="AD149" i="10"/>
  <c r="AB149" i="10"/>
  <c r="K149" i="10"/>
  <c r="J149" i="10"/>
  <c r="C149" i="10"/>
  <c r="AH148" i="10"/>
  <c r="AE148" i="10"/>
  <c r="AD148" i="10"/>
  <c r="AB148" i="10"/>
  <c r="K148" i="10"/>
  <c r="J148" i="10"/>
  <c r="C148" i="10"/>
  <c r="AH147" i="10"/>
  <c r="AE147" i="10"/>
  <c r="AD147" i="10"/>
  <c r="AB147" i="10"/>
  <c r="K147" i="10"/>
  <c r="J147" i="10"/>
  <c r="C147" i="10"/>
  <c r="AH146" i="10"/>
  <c r="AE146" i="10"/>
  <c r="AD146" i="10"/>
  <c r="AB146" i="10"/>
  <c r="K146" i="10"/>
  <c r="J146" i="10"/>
  <c r="C146" i="10"/>
  <c r="AH145" i="10"/>
  <c r="AE145" i="10"/>
  <c r="AD145" i="10"/>
  <c r="AB145" i="10"/>
  <c r="K145" i="10"/>
  <c r="J145" i="10"/>
  <c r="C145" i="10"/>
  <c r="AH144" i="10"/>
  <c r="AE144" i="10"/>
  <c r="AD144" i="10"/>
  <c r="AB144" i="10"/>
  <c r="J144" i="10"/>
  <c r="K144" i="10" s="1"/>
  <c r="C144" i="10"/>
  <c r="AH143" i="10"/>
  <c r="AE143" i="10"/>
  <c r="AD143" i="10"/>
  <c r="AB143" i="10"/>
  <c r="K143" i="10"/>
  <c r="J143" i="10"/>
  <c r="C143" i="10"/>
  <c r="AH142" i="10"/>
  <c r="AE142" i="10"/>
  <c r="AD142" i="10"/>
  <c r="AB142" i="10"/>
  <c r="J142" i="10"/>
  <c r="K142" i="10" s="1"/>
  <c r="C142" i="10"/>
  <c r="AH141" i="10"/>
  <c r="AE141" i="10"/>
  <c r="AD141" i="10"/>
  <c r="AB141" i="10"/>
  <c r="K141" i="10"/>
  <c r="J141" i="10"/>
  <c r="C141" i="10"/>
  <c r="AH140" i="10"/>
  <c r="AE140" i="10"/>
  <c r="AD140" i="10"/>
  <c r="AB140" i="10"/>
  <c r="K140" i="10"/>
  <c r="J140" i="10"/>
  <c r="C140" i="10"/>
  <c r="AB139" i="10" s="1"/>
  <c r="AH139" i="10"/>
  <c r="AE139" i="10"/>
  <c r="AD139" i="10"/>
  <c r="K139" i="10"/>
  <c r="J139" i="10"/>
  <c r="C139" i="10"/>
  <c r="AH138" i="10"/>
  <c r="AE138" i="10"/>
  <c r="AD138" i="10"/>
  <c r="AB138" i="10"/>
  <c r="J138" i="10"/>
  <c r="K138" i="10" s="1"/>
  <c r="C138" i="10"/>
  <c r="AH137" i="10"/>
  <c r="AE137" i="10"/>
  <c r="AD137" i="10"/>
  <c r="AB137" i="10"/>
  <c r="K137" i="10"/>
  <c r="J137" i="10"/>
  <c r="C137" i="10"/>
  <c r="AB136" i="10" s="1"/>
  <c r="AH136" i="10"/>
  <c r="AE136" i="10"/>
  <c r="AD136" i="10"/>
  <c r="K136" i="10"/>
  <c r="J136" i="10"/>
  <c r="C136" i="10"/>
  <c r="AH135" i="10"/>
  <c r="AE135" i="10"/>
  <c r="AD135" i="10"/>
  <c r="AB135" i="10"/>
  <c r="K135" i="10"/>
  <c r="J135" i="10"/>
  <c r="C135" i="10"/>
  <c r="AH134" i="10"/>
  <c r="AE134" i="10"/>
  <c r="AD134" i="10"/>
  <c r="AB134" i="10"/>
  <c r="K134" i="10"/>
  <c r="J134" i="10"/>
  <c r="C134" i="10"/>
  <c r="AH133" i="10"/>
  <c r="AE133" i="10"/>
  <c r="AD133" i="10"/>
  <c r="AB133" i="10"/>
  <c r="K133" i="10"/>
  <c r="J133" i="10"/>
  <c r="C133" i="10"/>
  <c r="AH132" i="10"/>
  <c r="AE132" i="10"/>
  <c r="AD132" i="10"/>
  <c r="AB132" i="10"/>
  <c r="J132" i="10"/>
  <c r="K132" i="10" s="1"/>
  <c r="C132" i="10"/>
  <c r="AH131" i="10"/>
  <c r="AE131" i="10"/>
  <c r="AD131" i="10"/>
  <c r="AB131" i="10"/>
  <c r="K131" i="10"/>
  <c r="J131" i="10"/>
  <c r="C131" i="10"/>
  <c r="AH130" i="10"/>
  <c r="AE130" i="10"/>
  <c r="AD130" i="10"/>
  <c r="AB130" i="10"/>
  <c r="K130" i="10"/>
  <c r="J130" i="10"/>
  <c r="C130" i="10"/>
  <c r="AH129" i="10"/>
  <c r="AE129" i="10"/>
  <c r="AD129" i="10"/>
  <c r="AB129" i="10"/>
  <c r="K129" i="10"/>
  <c r="J129" i="10"/>
  <c r="C129" i="10"/>
  <c r="AH128" i="10"/>
  <c r="AE128" i="10"/>
  <c r="AD128" i="10"/>
  <c r="K128" i="10"/>
  <c r="J128" i="10"/>
  <c r="C128" i="10"/>
  <c r="AH127" i="10"/>
  <c r="AE127" i="10"/>
  <c r="AD127" i="10"/>
  <c r="K127" i="10"/>
  <c r="J127" i="10"/>
  <c r="C127" i="10"/>
  <c r="AH126" i="10"/>
  <c r="AE126" i="10"/>
  <c r="AD126" i="10"/>
  <c r="AB126" i="10"/>
  <c r="K126" i="10"/>
  <c r="J126" i="10"/>
  <c r="C126" i="10"/>
  <c r="A126" i="10"/>
  <c r="A127" i="10" s="1"/>
  <c r="A128" i="10" s="1"/>
  <c r="A129" i="10" s="1"/>
  <c r="A130" i="10" s="1"/>
  <c r="A131" i="10" s="1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A167" i="10" s="1"/>
  <c r="A168" i="10" s="1"/>
  <c r="A169" i="10" s="1"/>
  <c r="A170" i="10" s="1"/>
  <c r="A171" i="10" s="1"/>
  <c r="A172" i="10" s="1"/>
  <c r="A173" i="10" s="1"/>
  <c r="A174" i="10" s="1"/>
  <c r="A175" i="10" s="1"/>
  <c r="A176" i="10" s="1"/>
  <c r="A177" i="10" s="1"/>
  <c r="A178" i="10" s="1"/>
  <c r="A179" i="10" s="1"/>
  <c r="A180" i="10" s="1"/>
  <c r="A181" i="10" s="1"/>
  <c r="A182" i="10" s="1"/>
  <c r="A183" i="10" s="1"/>
  <c r="A184" i="10" s="1"/>
  <c r="A185" i="10" s="1"/>
  <c r="A186" i="10" s="1"/>
  <c r="A187" i="10" s="1"/>
  <c r="A188" i="10" s="1"/>
  <c r="A189" i="10" s="1"/>
  <c r="A190" i="10" s="1"/>
  <c r="A191" i="10" s="1"/>
  <c r="A192" i="10" s="1"/>
  <c r="A193" i="10" s="1"/>
  <c r="A194" i="10" s="1"/>
  <c r="A195" i="10" s="1"/>
  <c r="A196" i="10" s="1"/>
  <c r="A197" i="10" s="1"/>
  <c r="A198" i="10" s="1"/>
  <c r="A199" i="10" s="1"/>
  <c r="A200" i="10" s="1"/>
  <c r="A201" i="10" s="1"/>
  <c r="A202" i="10" s="1"/>
  <c r="A203" i="10" s="1"/>
  <c r="A204" i="10" s="1"/>
  <c r="A205" i="10" s="1"/>
  <c r="A206" i="10" s="1"/>
  <c r="A207" i="10" s="1"/>
  <c r="A208" i="10" s="1"/>
  <c r="A209" i="10" s="1"/>
  <c r="A210" i="10" s="1"/>
  <c r="A211" i="10" s="1"/>
  <c r="A212" i="10" s="1"/>
  <c r="A213" i="10" s="1"/>
  <c r="A214" i="10" s="1"/>
  <c r="A215" i="10" s="1"/>
  <c r="A216" i="10" s="1"/>
  <c r="A217" i="10" s="1"/>
  <c r="A218" i="10" s="1"/>
  <c r="A219" i="10" s="1"/>
  <c r="A220" i="10" s="1"/>
  <c r="A221" i="10" s="1"/>
  <c r="A222" i="10" s="1"/>
  <c r="A223" i="10" s="1"/>
  <c r="A224" i="10" s="1"/>
  <c r="A225" i="10" s="1"/>
  <c r="A226" i="10" s="1"/>
  <c r="A227" i="10" s="1"/>
  <c r="A228" i="10" s="1"/>
  <c r="A229" i="10" s="1"/>
  <c r="A230" i="10" s="1"/>
  <c r="A231" i="10" s="1"/>
  <c r="A232" i="10" s="1"/>
  <c r="A233" i="10" s="1"/>
  <c r="A234" i="10" s="1"/>
  <c r="A235" i="10" s="1"/>
  <c r="A236" i="10" s="1"/>
  <c r="A237" i="10" s="1"/>
  <c r="A238" i="10" s="1"/>
  <c r="A239" i="10" s="1"/>
  <c r="A240" i="10" s="1"/>
  <c r="A241" i="10" s="1"/>
  <c r="A242" i="10" s="1"/>
  <c r="A243" i="10" s="1"/>
  <c r="A244" i="10" s="1"/>
  <c r="A245" i="10" s="1"/>
  <c r="A246" i="10" s="1"/>
  <c r="A247" i="10" s="1"/>
  <c r="A248" i="10" s="1"/>
  <c r="A249" i="10" s="1"/>
  <c r="AH125" i="10"/>
  <c r="AE125" i="10"/>
  <c r="AD125" i="10"/>
  <c r="AB125" i="10"/>
  <c r="K125" i="10"/>
  <c r="J125" i="10"/>
  <c r="C125" i="10"/>
  <c r="AB124" i="10" s="1"/>
  <c r="AH124" i="10"/>
  <c r="AE124" i="10"/>
  <c r="AD124" i="10"/>
  <c r="K124" i="10"/>
  <c r="J124" i="10"/>
  <c r="C124" i="10"/>
  <c r="AH123" i="10"/>
  <c r="AE123" i="10"/>
  <c r="AD123" i="10"/>
  <c r="AB123" i="10"/>
  <c r="K123" i="10"/>
  <c r="J123" i="10"/>
  <c r="C123" i="10"/>
  <c r="AH122" i="10"/>
  <c r="AE122" i="10"/>
  <c r="AD122" i="10"/>
  <c r="AB122" i="10"/>
  <c r="K122" i="10"/>
  <c r="J122" i="10"/>
  <c r="C122" i="10"/>
  <c r="AB121" i="10" s="1"/>
  <c r="AH121" i="10"/>
  <c r="AE121" i="10"/>
  <c r="AD121" i="10"/>
  <c r="K121" i="10"/>
  <c r="J121" i="10"/>
  <c r="C121" i="10"/>
  <c r="AH120" i="10"/>
  <c r="AE120" i="10"/>
  <c r="AD120" i="10"/>
  <c r="AB120" i="10"/>
  <c r="K120" i="10"/>
  <c r="J120" i="10"/>
  <c r="C120" i="10"/>
  <c r="AH119" i="10"/>
  <c r="AE119" i="10"/>
  <c r="AD119" i="10"/>
  <c r="AB119" i="10"/>
  <c r="K119" i="10"/>
  <c r="J119" i="10"/>
  <c r="C119" i="10"/>
  <c r="AB118" i="10" s="1"/>
  <c r="AH118" i="10"/>
  <c r="AE118" i="10"/>
  <c r="AD118" i="10"/>
  <c r="K118" i="10"/>
  <c r="J118" i="10"/>
  <c r="C118" i="10"/>
  <c r="AH117" i="10"/>
  <c r="AE117" i="10"/>
  <c r="AD117" i="10"/>
  <c r="AB117" i="10"/>
  <c r="K117" i="10"/>
  <c r="J117" i="10"/>
  <c r="C117" i="10"/>
  <c r="B117" i="10"/>
  <c r="AH116" i="10"/>
  <c r="AE116" i="10"/>
  <c r="AD116" i="10"/>
  <c r="K116" i="10"/>
  <c r="J116" i="10"/>
  <c r="E116" i="10"/>
  <c r="C116" i="10"/>
  <c r="AH115" i="10"/>
  <c r="AE115" i="10"/>
  <c r="AD115" i="10"/>
  <c r="AB115" i="10"/>
  <c r="J115" i="10"/>
  <c r="K115" i="10" s="1"/>
  <c r="C115" i="10"/>
  <c r="AH114" i="10"/>
  <c r="AE114" i="10"/>
  <c r="AD114" i="10"/>
  <c r="AB114" i="10"/>
  <c r="K114" i="10"/>
  <c r="J114" i="10"/>
  <c r="C114" i="10"/>
  <c r="AH113" i="10"/>
  <c r="AE113" i="10"/>
  <c r="AD113" i="10"/>
  <c r="AB113" i="10"/>
  <c r="K113" i="10"/>
  <c r="J113" i="10"/>
  <c r="C113" i="10"/>
  <c r="AH112" i="10"/>
  <c r="AE112" i="10"/>
  <c r="AD112" i="10"/>
  <c r="AB112" i="10"/>
  <c r="J112" i="10"/>
  <c r="K112" i="10" s="1"/>
  <c r="C112" i="10"/>
  <c r="AH111" i="10"/>
  <c r="AE111" i="10"/>
  <c r="AD111" i="10"/>
  <c r="AB111" i="10"/>
  <c r="K111" i="10"/>
  <c r="J111" i="10"/>
  <c r="C111" i="10"/>
  <c r="AH110" i="10"/>
  <c r="AE110" i="10"/>
  <c r="AD110" i="10"/>
  <c r="AB110" i="10"/>
  <c r="K110" i="10"/>
  <c r="J110" i="10"/>
  <c r="C110" i="10"/>
  <c r="AH109" i="10"/>
  <c r="AE109" i="10"/>
  <c r="AD109" i="10"/>
  <c r="J109" i="10"/>
  <c r="K109" i="10" s="1"/>
  <c r="C109" i="10"/>
  <c r="AH108" i="10"/>
  <c r="AE108" i="10"/>
  <c r="AD108" i="10"/>
  <c r="AB108" i="10"/>
  <c r="K108" i="10"/>
  <c r="J108" i="10"/>
  <c r="C108" i="10"/>
  <c r="AH107" i="10"/>
  <c r="AE107" i="10"/>
  <c r="AD107" i="10"/>
  <c r="AB107" i="10"/>
  <c r="K107" i="10"/>
  <c r="J107" i="10"/>
  <c r="C107" i="10"/>
  <c r="AH106" i="10"/>
  <c r="AE106" i="10"/>
  <c r="AD106" i="10"/>
  <c r="AB106" i="10"/>
  <c r="K106" i="10"/>
  <c r="J106" i="10"/>
  <c r="C106" i="10"/>
  <c r="AH105" i="10"/>
  <c r="AE105" i="10"/>
  <c r="AD105" i="10"/>
  <c r="AB105" i="10"/>
  <c r="J105" i="10"/>
  <c r="K105" i="10" s="1"/>
  <c r="C105" i="10"/>
  <c r="AH104" i="10"/>
  <c r="AE104" i="10"/>
  <c r="AD104" i="10"/>
  <c r="K104" i="10"/>
  <c r="J104" i="10"/>
  <c r="C104" i="10"/>
  <c r="AB103" i="10" s="1"/>
  <c r="AH103" i="10"/>
  <c r="AE103" i="10"/>
  <c r="AD103" i="10"/>
  <c r="K103" i="10"/>
  <c r="J103" i="10"/>
  <c r="C103" i="10"/>
  <c r="AH102" i="10"/>
  <c r="AE102" i="10"/>
  <c r="AD102" i="10"/>
  <c r="K102" i="10"/>
  <c r="J102" i="10"/>
  <c r="C102" i="10"/>
  <c r="AH101" i="10"/>
  <c r="AE101" i="10"/>
  <c r="AD101" i="10"/>
  <c r="AB101" i="10"/>
  <c r="J101" i="10"/>
  <c r="K101" i="10" s="1"/>
  <c r="C101" i="10"/>
  <c r="AH100" i="10"/>
  <c r="AE100" i="10"/>
  <c r="AD100" i="10"/>
  <c r="K100" i="10"/>
  <c r="J100" i="10"/>
  <c r="C100" i="10"/>
  <c r="AB99" i="10" s="1"/>
  <c r="AH99" i="10"/>
  <c r="AE99" i="10"/>
  <c r="AD99" i="10"/>
  <c r="J99" i="10"/>
  <c r="K99" i="10" s="1"/>
  <c r="C99" i="10"/>
  <c r="AH98" i="10"/>
  <c r="AE98" i="10"/>
  <c r="AD98" i="10"/>
  <c r="AB98" i="10"/>
  <c r="J98" i="10"/>
  <c r="K98" i="10" s="1"/>
  <c r="C98" i="10"/>
  <c r="AH97" i="10"/>
  <c r="AE97" i="10"/>
  <c r="AD97" i="10"/>
  <c r="J97" i="10"/>
  <c r="K97" i="10" s="1"/>
  <c r="C97" i="10"/>
  <c r="AH96" i="10"/>
  <c r="AE96" i="10"/>
  <c r="AD96" i="10"/>
  <c r="J96" i="10"/>
  <c r="K96" i="10" s="1"/>
  <c r="C96" i="10"/>
  <c r="AH95" i="10"/>
  <c r="AE95" i="10"/>
  <c r="AD95" i="10"/>
  <c r="AB95" i="10"/>
  <c r="J95" i="10"/>
  <c r="K95" i="10" s="1"/>
  <c r="C95" i="10"/>
  <c r="AH94" i="10"/>
  <c r="AE94" i="10"/>
  <c r="AD94" i="10"/>
  <c r="K94" i="10"/>
  <c r="J94" i="10"/>
  <c r="C94" i="10"/>
  <c r="AH93" i="10"/>
  <c r="AE93" i="10"/>
  <c r="AD93" i="10"/>
  <c r="J93" i="10"/>
  <c r="K93" i="10" s="1"/>
  <c r="C93" i="10"/>
  <c r="AH92" i="10"/>
  <c r="AE92" i="10"/>
  <c r="AD92" i="10"/>
  <c r="AB92" i="10"/>
  <c r="J92" i="10"/>
  <c r="K92" i="10" s="1"/>
  <c r="C92" i="10"/>
  <c r="AH91" i="10"/>
  <c r="AE91" i="10"/>
  <c r="AD91" i="10"/>
  <c r="K91" i="10"/>
  <c r="J91" i="10"/>
  <c r="C91" i="10"/>
  <c r="AH90" i="10"/>
  <c r="AE90" i="10"/>
  <c r="AD90" i="10"/>
  <c r="J90" i="10"/>
  <c r="K90" i="10" s="1"/>
  <c r="C90" i="10"/>
  <c r="AH89" i="10"/>
  <c r="AE89" i="10"/>
  <c r="AD89" i="10"/>
  <c r="AB89" i="10"/>
  <c r="J89" i="10"/>
  <c r="K89" i="10" s="1"/>
  <c r="C89" i="10"/>
  <c r="AH88" i="10"/>
  <c r="AE88" i="10"/>
  <c r="AD88" i="10"/>
  <c r="J88" i="10"/>
  <c r="K88" i="10" s="1"/>
  <c r="C88" i="10"/>
  <c r="AB87" i="10" s="1"/>
  <c r="AH87" i="10"/>
  <c r="AE87" i="10"/>
  <c r="AD87" i="10"/>
  <c r="J87" i="10"/>
  <c r="K87" i="10" s="1"/>
  <c r="C87" i="10"/>
  <c r="AH86" i="10"/>
  <c r="AE86" i="10"/>
  <c r="AD86" i="10"/>
  <c r="AB86" i="10"/>
  <c r="J86" i="10"/>
  <c r="K86" i="10" s="1"/>
  <c r="C86" i="10"/>
  <c r="AH85" i="10"/>
  <c r="AE85" i="10"/>
  <c r="AD85" i="10"/>
  <c r="K85" i="10"/>
  <c r="J85" i="10"/>
  <c r="C85" i="10"/>
  <c r="AH84" i="10"/>
  <c r="AE84" i="10"/>
  <c r="AD84" i="10"/>
  <c r="AB84" i="10"/>
  <c r="J84" i="10"/>
  <c r="K84" i="10" s="1"/>
  <c r="C84" i="10"/>
  <c r="AH83" i="10"/>
  <c r="AE83" i="10"/>
  <c r="AD83" i="10"/>
  <c r="AB83" i="10"/>
  <c r="J83" i="10"/>
  <c r="K83" i="10" s="1"/>
  <c r="C83" i="10"/>
  <c r="AH82" i="10"/>
  <c r="AE82" i="10"/>
  <c r="AD82" i="10"/>
  <c r="K82" i="10"/>
  <c r="J82" i="10"/>
  <c r="E82" i="10"/>
  <c r="C82" i="10"/>
  <c r="B82" i="10"/>
  <c r="B83" i="10" s="1"/>
  <c r="A82" i="10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J81" i="10"/>
  <c r="AH81" i="10"/>
  <c r="AE81" i="10"/>
  <c r="AD81" i="10"/>
  <c r="J81" i="10"/>
  <c r="K81" i="10" s="1"/>
  <c r="C81" i="10"/>
  <c r="A81" i="10"/>
  <c r="AH80" i="10"/>
  <c r="AE80" i="10"/>
  <c r="AD80" i="10"/>
  <c r="AB80" i="10"/>
  <c r="J80" i="10"/>
  <c r="K80" i="10" s="1"/>
  <c r="C80" i="10"/>
  <c r="B80" i="10"/>
  <c r="B81" i="10" s="1"/>
  <c r="E81" i="10" s="1"/>
  <c r="AH79" i="10"/>
  <c r="AE79" i="10"/>
  <c r="AD79" i="10"/>
  <c r="J79" i="10"/>
  <c r="K79" i="10" s="1"/>
  <c r="E79" i="10"/>
  <c r="C79" i="10"/>
  <c r="AH78" i="10"/>
  <c r="AE78" i="10"/>
  <c r="AD78" i="10"/>
  <c r="J78" i="10"/>
  <c r="K78" i="10" s="1"/>
  <c r="O81" i="10" s="1"/>
  <c r="C78" i="10"/>
  <c r="AH77" i="10"/>
  <c r="AE77" i="10"/>
  <c r="AD77" i="10"/>
  <c r="J77" i="10"/>
  <c r="K77" i="10" s="1"/>
  <c r="C77" i="10"/>
  <c r="AH76" i="10"/>
  <c r="AE76" i="10"/>
  <c r="AD76" i="10"/>
  <c r="AB76" i="10"/>
  <c r="K76" i="10"/>
  <c r="J76" i="10"/>
  <c r="C76" i="10"/>
  <c r="AB75" i="10" s="1"/>
  <c r="AH75" i="10"/>
  <c r="AE75" i="10"/>
  <c r="AD75" i="10"/>
  <c r="J75" i="10"/>
  <c r="K75" i="10" s="1"/>
  <c r="C75" i="10"/>
  <c r="AH74" i="10"/>
  <c r="AE74" i="10"/>
  <c r="AD74" i="10"/>
  <c r="AB74" i="10"/>
  <c r="J74" i="10"/>
  <c r="K74" i="10" s="1"/>
  <c r="C74" i="10"/>
  <c r="AB73" i="10" s="1"/>
  <c r="AH73" i="10"/>
  <c r="AE73" i="10"/>
  <c r="AD73" i="10"/>
  <c r="K73" i="10"/>
  <c r="J73" i="10"/>
  <c r="C73" i="10"/>
  <c r="AB72" i="10" s="1"/>
  <c r="AH72" i="10"/>
  <c r="AE72" i="10"/>
  <c r="AD72" i="10"/>
  <c r="K72" i="10"/>
  <c r="J72" i="10"/>
  <c r="C72" i="10"/>
  <c r="AH71" i="10"/>
  <c r="AE71" i="10"/>
  <c r="AD71" i="10"/>
  <c r="J71" i="10"/>
  <c r="K71" i="10" s="1"/>
  <c r="C71" i="10"/>
  <c r="AB70" i="10" s="1"/>
  <c r="AH70" i="10"/>
  <c r="AE70" i="10"/>
  <c r="AD70" i="10"/>
  <c r="J70" i="10"/>
  <c r="K70" i="10" s="1"/>
  <c r="C70" i="10"/>
  <c r="AB69" i="10" s="1"/>
  <c r="AH69" i="10"/>
  <c r="AE69" i="10"/>
  <c r="AD69" i="10"/>
  <c r="K69" i="10"/>
  <c r="J69" i="10"/>
  <c r="C69" i="10"/>
  <c r="AB68" i="10" s="1"/>
  <c r="AH68" i="10"/>
  <c r="AE68" i="10"/>
  <c r="AD68" i="10"/>
  <c r="J68" i="10"/>
  <c r="K68" i="10" s="1"/>
  <c r="C68" i="10"/>
  <c r="AB67" i="10" s="1"/>
  <c r="AH67" i="10"/>
  <c r="AE67" i="10"/>
  <c r="AD67" i="10"/>
  <c r="K67" i="10"/>
  <c r="J67" i="10"/>
  <c r="C67" i="10"/>
  <c r="AB66" i="10" s="1"/>
  <c r="AH66" i="10"/>
  <c r="AE66" i="10"/>
  <c r="AD66" i="10"/>
  <c r="K66" i="10"/>
  <c r="J66" i="10"/>
  <c r="C66" i="10"/>
  <c r="AH65" i="10"/>
  <c r="AE65" i="10"/>
  <c r="AD65" i="10"/>
  <c r="AB65" i="10"/>
  <c r="K65" i="10"/>
  <c r="J65" i="10"/>
  <c r="C65" i="10"/>
  <c r="AH64" i="10"/>
  <c r="AE64" i="10"/>
  <c r="AD64" i="10"/>
  <c r="AB64" i="10"/>
  <c r="K64" i="10"/>
  <c r="J64" i="10"/>
  <c r="C64" i="10"/>
  <c r="AH63" i="10"/>
  <c r="AE63" i="10"/>
  <c r="AD63" i="10"/>
  <c r="AB63" i="10"/>
  <c r="K63" i="10"/>
  <c r="J63" i="10"/>
  <c r="C63" i="10"/>
  <c r="AH62" i="10"/>
  <c r="AE62" i="10"/>
  <c r="AD62" i="10"/>
  <c r="AB62" i="10"/>
  <c r="K62" i="10"/>
  <c r="J62" i="10"/>
  <c r="C62" i="10"/>
  <c r="AH61" i="10"/>
  <c r="AE61" i="10"/>
  <c r="AD61" i="10"/>
  <c r="K61" i="10"/>
  <c r="J61" i="10"/>
  <c r="C61" i="10"/>
  <c r="AH60" i="10"/>
  <c r="AE60" i="10"/>
  <c r="AD60" i="10"/>
  <c r="AB60" i="10"/>
  <c r="K60" i="10"/>
  <c r="J60" i="10"/>
  <c r="C60" i="10"/>
  <c r="AH59" i="10"/>
  <c r="AE59" i="10"/>
  <c r="AD59" i="10"/>
  <c r="AB59" i="10"/>
  <c r="J59" i="10"/>
  <c r="K59" i="10" s="1"/>
  <c r="C59" i="10"/>
  <c r="AH58" i="10"/>
  <c r="AE58" i="10"/>
  <c r="AD58" i="10"/>
  <c r="AB58" i="10"/>
  <c r="J58" i="10"/>
  <c r="K58" i="10" s="1"/>
  <c r="C58" i="10"/>
  <c r="AH57" i="10"/>
  <c r="AE57" i="10"/>
  <c r="AD57" i="10"/>
  <c r="AB57" i="10"/>
  <c r="J57" i="10"/>
  <c r="K57" i="10" s="1"/>
  <c r="C57" i="10"/>
  <c r="AH56" i="10"/>
  <c r="AE56" i="10"/>
  <c r="AD56" i="10"/>
  <c r="AB56" i="10"/>
  <c r="J56" i="10"/>
  <c r="K56" i="10" s="1"/>
  <c r="C56" i="10"/>
  <c r="AH55" i="10"/>
  <c r="AE55" i="10"/>
  <c r="AD55" i="10"/>
  <c r="AB55" i="10"/>
  <c r="K55" i="10"/>
  <c r="J55" i="10"/>
  <c r="C55" i="10"/>
  <c r="AH54" i="10"/>
  <c r="AE54" i="10"/>
  <c r="AD54" i="10"/>
  <c r="AB54" i="10"/>
  <c r="K54" i="10"/>
  <c r="J54" i="10"/>
  <c r="C54" i="10"/>
  <c r="AH53" i="10"/>
  <c r="AE53" i="10"/>
  <c r="AD53" i="10"/>
  <c r="J53" i="10"/>
  <c r="K53" i="10" s="1"/>
  <c r="C53" i="10"/>
  <c r="AH52" i="10"/>
  <c r="AE52" i="10"/>
  <c r="AD52" i="10"/>
  <c r="AB52" i="10"/>
  <c r="K52" i="10"/>
  <c r="J52" i="10"/>
  <c r="C52" i="10"/>
  <c r="AH51" i="10"/>
  <c r="AE51" i="10"/>
  <c r="AD51" i="10"/>
  <c r="AB51" i="10"/>
  <c r="K51" i="10"/>
  <c r="J51" i="10"/>
  <c r="C51" i="10"/>
  <c r="AH50" i="10"/>
  <c r="AE50" i="10"/>
  <c r="AD50" i="10"/>
  <c r="AB50" i="10"/>
  <c r="J50" i="10"/>
  <c r="K50" i="10" s="1"/>
  <c r="C50" i="10"/>
  <c r="AH49" i="10"/>
  <c r="AE49" i="10"/>
  <c r="AD49" i="10"/>
  <c r="K49" i="10"/>
  <c r="J49" i="10"/>
  <c r="C49" i="10"/>
  <c r="AH48" i="10"/>
  <c r="AE48" i="10"/>
  <c r="AD48" i="10"/>
  <c r="J48" i="10"/>
  <c r="K48" i="10" s="1"/>
  <c r="C48" i="10"/>
  <c r="AH47" i="10"/>
  <c r="AE47" i="10"/>
  <c r="AD47" i="10"/>
  <c r="J47" i="10"/>
  <c r="K47" i="10" s="1"/>
  <c r="C47" i="10"/>
  <c r="AH46" i="10"/>
  <c r="AE46" i="10"/>
  <c r="AD46" i="10"/>
  <c r="AB46" i="10"/>
  <c r="K46" i="10"/>
  <c r="J46" i="10"/>
  <c r="C46" i="10"/>
  <c r="AH45" i="10"/>
  <c r="AE45" i="10"/>
  <c r="AD45" i="10"/>
  <c r="J45" i="10"/>
  <c r="K45" i="10" s="1"/>
  <c r="C45" i="10"/>
  <c r="AB44" i="10" s="1"/>
  <c r="AH44" i="10"/>
  <c r="AE44" i="10"/>
  <c r="AD44" i="10"/>
  <c r="J44" i="10"/>
  <c r="K44" i="10" s="1"/>
  <c r="C44" i="10"/>
  <c r="AB43" i="10" s="1"/>
  <c r="AH43" i="10"/>
  <c r="AE43" i="10"/>
  <c r="AD43" i="10"/>
  <c r="K43" i="10"/>
  <c r="J43" i="10"/>
  <c r="C43" i="10"/>
  <c r="AB42" i="10" s="1"/>
  <c r="AH42" i="10"/>
  <c r="AE42" i="10"/>
  <c r="AD42" i="10"/>
  <c r="J42" i="10"/>
  <c r="K42" i="10" s="1"/>
  <c r="C42" i="10"/>
  <c r="AH41" i="10"/>
  <c r="AE41" i="10"/>
  <c r="AD41" i="10"/>
  <c r="AB41" i="10"/>
  <c r="J41" i="10"/>
  <c r="K41" i="10" s="1"/>
  <c r="C41" i="10"/>
  <c r="AB40" i="10" s="1"/>
  <c r="AH40" i="10"/>
  <c r="AE40" i="10"/>
  <c r="AD40" i="10"/>
  <c r="J40" i="10"/>
  <c r="K40" i="10" s="1"/>
  <c r="C40" i="10"/>
  <c r="AB39" i="10" s="1"/>
  <c r="AH39" i="10"/>
  <c r="AE39" i="10"/>
  <c r="AD39" i="10"/>
  <c r="K39" i="10"/>
  <c r="J39" i="10"/>
  <c r="C39" i="10"/>
  <c r="AH38" i="10"/>
  <c r="AE38" i="10"/>
  <c r="AD38" i="10"/>
  <c r="J38" i="10"/>
  <c r="K38" i="10" s="1"/>
  <c r="C38" i="10"/>
  <c r="AB37" i="10" s="1"/>
  <c r="AH37" i="10"/>
  <c r="AE37" i="10"/>
  <c r="AD37" i="10"/>
  <c r="J37" i="10"/>
  <c r="K37" i="10" s="1"/>
  <c r="C37" i="10"/>
  <c r="AB36" i="10" s="1"/>
  <c r="AH36" i="10"/>
  <c r="AE36" i="10"/>
  <c r="AD36" i="10"/>
  <c r="J36" i="10"/>
  <c r="K36" i="10" s="1"/>
  <c r="C36" i="10"/>
  <c r="AH35" i="10"/>
  <c r="AE35" i="10"/>
  <c r="AD35" i="10"/>
  <c r="J35" i="10"/>
  <c r="K35" i="10" s="1"/>
  <c r="C35" i="10"/>
  <c r="AB34" i="10" s="1"/>
  <c r="AH34" i="10"/>
  <c r="AE34" i="10"/>
  <c r="AD34" i="10"/>
  <c r="J34" i="10"/>
  <c r="K34" i="10" s="1"/>
  <c r="C34" i="10"/>
  <c r="AH33" i="10"/>
  <c r="AE33" i="10"/>
  <c r="AD33" i="10"/>
  <c r="AB33" i="10"/>
  <c r="K33" i="10"/>
  <c r="J33" i="10"/>
  <c r="C33" i="10"/>
  <c r="AH32" i="10"/>
  <c r="AE32" i="10"/>
  <c r="AD32" i="10"/>
  <c r="AB32" i="10"/>
  <c r="K32" i="10"/>
  <c r="J32" i="10"/>
  <c r="C32" i="10"/>
  <c r="A32" i="10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H31" i="10"/>
  <c r="AE31" i="10"/>
  <c r="AD31" i="10"/>
  <c r="AB31" i="10"/>
  <c r="K31" i="10"/>
  <c r="J31" i="10"/>
  <c r="C31" i="10"/>
  <c r="A31" i="10"/>
  <c r="AH30" i="10"/>
  <c r="AE30" i="10"/>
  <c r="AD30" i="10"/>
  <c r="AB30" i="10"/>
  <c r="K30" i="10"/>
  <c r="J30" i="10"/>
  <c r="C30" i="10"/>
  <c r="A30" i="10"/>
  <c r="AH29" i="10"/>
  <c r="AE29" i="10"/>
  <c r="AD29" i="10"/>
  <c r="AB29" i="10"/>
  <c r="K29" i="10"/>
  <c r="J29" i="10"/>
  <c r="C29" i="10"/>
  <c r="AH28" i="10"/>
  <c r="AE28" i="10"/>
  <c r="AD28" i="10"/>
  <c r="AB28" i="10"/>
  <c r="K28" i="10"/>
  <c r="J28" i="10"/>
  <c r="C28" i="10"/>
  <c r="AH27" i="10"/>
  <c r="AE27" i="10"/>
  <c r="AD27" i="10"/>
  <c r="AB27" i="10"/>
  <c r="K27" i="10"/>
  <c r="J27" i="10"/>
  <c r="C27" i="10"/>
  <c r="AH26" i="10"/>
  <c r="AE26" i="10"/>
  <c r="AD26" i="10"/>
  <c r="AB26" i="10"/>
  <c r="J26" i="10"/>
  <c r="K26" i="10" s="1"/>
  <c r="C26" i="10"/>
  <c r="AH25" i="10"/>
  <c r="AE25" i="10"/>
  <c r="AD25" i="10"/>
  <c r="AB25" i="10"/>
  <c r="J25" i="10"/>
  <c r="K25" i="10" s="1"/>
  <c r="C25" i="10"/>
  <c r="AH24" i="10"/>
  <c r="AE24" i="10"/>
  <c r="AD24" i="10"/>
  <c r="AB24" i="10"/>
  <c r="K24" i="10"/>
  <c r="J24" i="10"/>
  <c r="C24" i="10"/>
  <c r="AH23" i="10"/>
  <c r="AE23" i="10"/>
  <c r="AD23" i="10"/>
  <c r="J23" i="10"/>
  <c r="K23" i="10" s="1"/>
  <c r="C23" i="10"/>
  <c r="AN22" i="10"/>
  <c r="AH22" i="10"/>
  <c r="AE22" i="10"/>
  <c r="AD22" i="10"/>
  <c r="AB22" i="10"/>
  <c r="K22" i="10"/>
  <c r="J22" i="10"/>
  <c r="C22" i="10"/>
  <c r="AN21" i="10"/>
  <c r="AH21" i="10"/>
  <c r="AE21" i="10"/>
  <c r="AD21" i="10"/>
  <c r="AB21" i="10"/>
  <c r="K21" i="10"/>
  <c r="J21" i="10"/>
  <c r="C21" i="10"/>
  <c r="AN20" i="10"/>
  <c r="AH20" i="10"/>
  <c r="AE20" i="10"/>
  <c r="AD20" i="10"/>
  <c r="AB20" i="10"/>
  <c r="K20" i="10"/>
  <c r="J20" i="10"/>
  <c r="C20" i="10"/>
  <c r="AN19" i="10"/>
  <c r="AH19" i="10"/>
  <c r="AE19" i="10"/>
  <c r="AD19" i="10"/>
  <c r="K19" i="10"/>
  <c r="J19" i="10"/>
  <c r="C19" i="10"/>
  <c r="AN18" i="10"/>
  <c r="AH18" i="10"/>
  <c r="AE18" i="10"/>
  <c r="AD18" i="10"/>
  <c r="AB18" i="10"/>
  <c r="K18" i="10"/>
  <c r="J18" i="10"/>
  <c r="C18" i="10"/>
  <c r="AN17" i="10"/>
  <c r="AH17" i="10"/>
  <c r="AE17" i="10"/>
  <c r="AD17" i="10"/>
  <c r="AB17" i="10"/>
  <c r="K17" i="10"/>
  <c r="J17" i="10"/>
  <c r="C17" i="10"/>
  <c r="AN16" i="10"/>
  <c r="AH16" i="10"/>
  <c r="AE16" i="10"/>
  <c r="AD16" i="10"/>
  <c r="K16" i="10"/>
  <c r="J16" i="10"/>
  <c r="C16" i="10"/>
  <c r="AN15" i="10"/>
  <c r="AH15" i="10"/>
  <c r="AE15" i="10"/>
  <c r="AD15" i="10"/>
  <c r="AB15" i="10"/>
  <c r="K15" i="10"/>
  <c r="J15" i="10"/>
  <c r="C15" i="10"/>
  <c r="AN14" i="10"/>
  <c r="AH14" i="10"/>
  <c r="AE14" i="10"/>
  <c r="AD14" i="10"/>
  <c r="J14" i="10"/>
  <c r="K14" i="10" s="1"/>
  <c r="C14" i="10"/>
  <c r="AN13" i="10"/>
  <c r="AH13" i="10"/>
  <c r="AE13" i="10"/>
  <c r="AD13" i="10"/>
  <c r="AB13" i="10"/>
  <c r="K13" i="10"/>
  <c r="J13" i="10"/>
  <c r="C13" i="10"/>
  <c r="AN12" i="10"/>
  <c r="AH12" i="10"/>
  <c r="AE12" i="10"/>
  <c r="AD12" i="10"/>
  <c r="AB12" i="10"/>
  <c r="J12" i="10"/>
  <c r="K12" i="10" s="1"/>
  <c r="C12" i="10"/>
  <c r="AN11" i="10"/>
  <c r="AH11" i="10"/>
  <c r="AE11" i="10"/>
  <c r="AD11" i="10"/>
  <c r="AB11" i="10"/>
  <c r="K11" i="10"/>
  <c r="J11" i="10"/>
  <c r="C11" i="10"/>
  <c r="AN10" i="10"/>
  <c r="AH10" i="10"/>
  <c r="AE10" i="10"/>
  <c r="AD10" i="10"/>
  <c r="AB10" i="10"/>
  <c r="K10" i="10"/>
  <c r="J10" i="10"/>
  <c r="C10" i="10"/>
  <c r="AN9" i="10"/>
  <c r="AH9" i="10"/>
  <c r="AE9" i="10"/>
  <c r="AD9" i="10"/>
  <c r="AB9" i="10"/>
  <c r="K9" i="10"/>
  <c r="J9" i="10"/>
  <c r="C9" i="10"/>
  <c r="AN8" i="10"/>
  <c r="AH8" i="10"/>
  <c r="AE8" i="10"/>
  <c r="AD8" i="10"/>
  <c r="AB8" i="10"/>
  <c r="K8" i="10"/>
  <c r="J8" i="10"/>
  <c r="C8" i="10"/>
  <c r="AN7" i="10"/>
  <c r="AH7" i="10"/>
  <c r="AE7" i="10"/>
  <c r="AD7" i="10"/>
  <c r="J7" i="10"/>
  <c r="K7" i="10" s="1"/>
  <c r="C7" i="10"/>
  <c r="B7" i="10"/>
  <c r="E7" i="10" s="1"/>
  <c r="A7" i="10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N6" i="10"/>
  <c r="AI6" i="10"/>
  <c r="AH6" i="10"/>
  <c r="AE6" i="10"/>
  <c r="AD6" i="10"/>
  <c r="AB6" i="10"/>
  <c r="W6" i="10"/>
  <c r="Y6" i="10" s="1"/>
  <c r="O6" i="10"/>
  <c r="V6" i="10" s="1"/>
  <c r="N6" i="10"/>
  <c r="K6" i="10"/>
  <c r="E6" i="10"/>
  <c r="AK6" i="10" s="1" a="1"/>
  <c r="AK6" i="10" s="1"/>
  <c r="C6" i="10"/>
  <c r="AN5" i="10"/>
  <c r="AN4" i="10"/>
  <c r="AE3" i="10"/>
  <c r="AD3" i="10"/>
  <c r="AE2" i="10"/>
  <c r="AD2" i="10"/>
  <c r="N44" i="11" l="1"/>
  <c r="N43" i="11"/>
  <c r="L43" i="11"/>
  <c r="L42" i="11"/>
  <c r="M41" i="11"/>
  <c r="K41" i="11"/>
  <c r="M39" i="11"/>
  <c r="L36" i="11"/>
  <c r="L35" i="11"/>
  <c r="N32" i="11"/>
  <c r="N26" i="11"/>
  <c r="M20" i="11"/>
  <c r="N12" i="11"/>
  <c r="K9" i="11"/>
  <c r="X6" i="11"/>
  <c r="W6" i="11"/>
  <c r="M44" i="11"/>
  <c r="N42" i="11"/>
  <c r="M42" i="11"/>
  <c r="K42" i="11"/>
  <c r="L41" i="11"/>
  <c r="N40" i="11"/>
  <c r="M40" i="11"/>
  <c r="K40" i="11"/>
  <c r="N39" i="11"/>
  <c r="L39" i="11"/>
  <c r="M38" i="11"/>
  <c r="K38" i="11"/>
  <c r="N36" i="11"/>
  <c r="M36" i="11"/>
  <c r="M35" i="11"/>
  <c r="N34" i="11"/>
  <c r="M34" i="11"/>
  <c r="L34" i="11"/>
  <c r="K34" i="11"/>
  <c r="L33" i="11"/>
  <c r="K31" i="11"/>
  <c r="N30" i="11"/>
  <c r="N29" i="11"/>
  <c r="L28" i="11"/>
  <c r="N27" i="11"/>
  <c r="L27" i="11"/>
  <c r="M26" i="11"/>
  <c r="K26" i="11"/>
  <c r="L25" i="11"/>
  <c r="M23" i="11"/>
  <c r="L22" i="11"/>
  <c r="M21" i="11"/>
  <c r="N20" i="11"/>
  <c r="L20" i="11"/>
  <c r="L19" i="11"/>
  <c r="P16" i="11"/>
  <c r="S16" i="11" s="1"/>
  <c r="M16" i="11"/>
  <c r="R16" i="11" s="1"/>
  <c r="U4" i="11" s="1"/>
  <c r="K16" i="11"/>
  <c r="I16" i="11"/>
  <c r="P15" i="11"/>
  <c r="S15" i="11" s="1"/>
  <c r="N15" i="11"/>
  <c r="K15" i="11"/>
  <c r="N13" i="11"/>
  <c r="M13" i="11"/>
  <c r="R13" i="11" s="1"/>
  <c r="K13" i="11"/>
  <c r="I13" i="11"/>
  <c r="M12" i="11"/>
  <c r="R12" i="11" s="1"/>
  <c r="J12" i="11"/>
  <c r="N11" i="11"/>
  <c r="K11" i="11"/>
  <c r="I11" i="11"/>
  <c r="O10" i="11"/>
  <c r="M10" i="11"/>
  <c r="R10" i="11" s="1"/>
  <c r="K10" i="11"/>
  <c r="O9" i="11"/>
  <c r="M9" i="11"/>
  <c r="O8" i="11"/>
  <c r="K44" i="11"/>
  <c r="M43" i="11"/>
  <c r="N38" i="11"/>
  <c r="L37" i="11"/>
  <c r="L32" i="11"/>
  <c r="K22" i="11"/>
  <c r="N21" i="11"/>
  <c r="V6" i="11"/>
  <c r="M31" i="11"/>
  <c r="L18" i="11"/>
  <c r="P12" i="11"/>
  <c r="S12" i="11" s="1"/>
  <c r="N10" i="11"/>
  <c r="L44" i="11"/>
  <c r="K43" i="11"/>
  <c r="K39" i="11"/>
  <c r="N37" i="11"/>
  <c r="M37" i="11"/>
  <c r="K37" i="11"/>
  <c r="N28" i="11"/>
  <c r="M27" i="11"/>
  <c r="K23" i="11"/>
  <c r="N22" i="11"/>
  <c r="M19" i="11"/>
  <c r="K19" i="11"/>
  <c r="N17" i="11"/>
  <c r="L17" i="11"/>
  <c r="L24" i="11"/>
  <c r="L21" i="11"/>
  <c r="K21" i="11"/>
  <c r="K20" i="11"/>
  <c r="N18" i="11"/>
  <c r="M18" i="11"/>
  <c r="O17" i="11"/>
  <c r="O16" i="11"/>
  <c r="N16" i="11"/>
  <c r="L16" i="11"/>
  <c r="J16" i="11"/>
  <c r="O15" i="11"/>
  <c r="M15" i="11"/>
  <c r="R15" i="11" s="1"/>
  <c r="L15" i="11"/>
  <c r="J15" i="11"/>
  <c r="I15" i="11"/>
  <c r="P14" i="11"/>
  <c r="S14" i="11" s="1"/>
  <c r="O14" i="11"/>
  <c r="N14" i="11"/>
  <c r="M14" i="11"/>
  <c r="R14" i="11" s="1"/>
  <c r="L14" i="11"/>
  <c r="K14" i="11"/>
  <c r="J14" i="11"/>
  <c r="I14" i="11"/>
  <c r="T13" i="11"/>
  <c r="P13" i="11"/>
  <c r="S13" i="11" s="1"/>
  <c r="L13" i="11"/>
  <c r="J13" i="11"/>
  <c r="T12" i="11"/>
  <c r="K12" i="11"/>
  <c r="I12" i="11"/>
  <c r="O11" i="11"/>
  <c r="M11" i="11"/>
  <c r="R11" i="11" s="1"/>
  <c r="T11" i="11" s="1"/>
  <c r="J11" i="11"/>
  <c r="P10" i="11"/>
  <c r="S10" i="11" s="1"/>
  <c r="L10" i="11"/>
  <c r="N9" i="11"/>
  <c r="J9" i="11"/>
  <c r="I8" i="11"/>
  <c r="V7" i="11" a="1"/>
  <c r="V7" i="11" s="1"/>
  <c r="M32" i="11"/>
  <c r="M30" i="11"/>
  <c r="K29" i="11"/>
  <c r="M28" i="11"/>
  <c r="N24" i="11"/>
  <c r="N23" i="11"/>
  <c r="N19" i="11"/>
  <c r="M17" i="11"/>
  <c r="R17" i="11" s="1"/>
  <c r="K17" i="11"/>
  <c r="U2" i="11"/>
  <c r="N41" i="11"/>
  <c r="L40" i="11"/>
  <c r="L38" i="11"/>
  <c r="K36" i="11"/>
  <c r="N35" i="11"/>
  <c r="K35" i="11"/>
  <c r="N33" i="11"/>
  <c r="M33" i="11"/>
  <c r="K33" i="11"/>
  <c r="K32" i="11"/>
  <c r="N31" i="11"/>
  <c r="L31" i="11"/>
  <c r="L30" i="11"/>
  <c r="K30" i="11"/>
  <c r="M29" i="11"/>
  <c r="L29" i="11"/>
  <c r="K28" i="11"/>
  <c r="K27" i="11"/>
  <c r="L26" i="11"/>
  <c r="N25" i="11"/>
  <c r="M25" i="11"/>
  <c r="K25" i="11"/>
  <c r="M24" i="11"/>
  <c r="K24" i="11"/>
  <c r="L23" i="11"/>
  <c r="M22" i="11"/>
  <c r="K18" i="11"/>
  <c r="S17" i="11"/>
  <c r="T16" i="11"/>
  <c r="O13" i="11"/>
  <c r="O12" i="11"/>
  <c r="L12" i="11"/>
  <c r="P11" i="11"/>
  <c r="S11" i="11" s="1"/>
  <c r="L11" i="11"/>
  <c r="J10" i="11"/>
  <c r="P9" i="11"/>
  <c r="L9" i="11"/>
  <c r="L3" i="11" s="1"/>
  <c r="I9" i="11"/>
  <c r="T8" i="11"/>
  <c r="P8" i="11"/>
  <c r="S8" i="11" s="1"/>
  <c r="J8" i="11"/>
  <c r="W5" i="11"/>
  <c r="V5" i="11"/>
  <c r="X5" i="11"/>
  <c r="U1" i="11"/>
  <c r="W1" i="11" s="1"/>
  <c r="U3" i="11"/>
  <c r="AA345" i="10"/>
  <c r="Q341" i="10"/>
  <c r="P347" i="10"/>
  <c r="Q347" i="10" s="1"/>
  <c r="Q340" i="10"/>
  <c r="AA342" i="10"/>
  <c r="Q342" i="10"/>
  <c r="P346" i="10"/>
  <c r="Q346" i="10" s="1"/>
  <c r="Q345" i="10"/>
  <c r="Q343" i="10"/>
  <c r="Q348" i="10"/>
  <c r="Y346" i="10"/>
  <c r="Y345" i="10"/>
  <c r="A250" i="10"/>
  <c r="A251" i="10" s="1"/>
  <c r="A252" i="10" s="1"/>
  <c r="A253" i="10" s="1"/>
  <c r="A254" i="10" s="1"/>
  <c r="A255" i="10" s="1"/>
  <c r="A256" i="10" s="1"/>
  <c r="A257" i="10" s="1"/>
  <c r="A258" i="10" s="1"/>
  <c r="A259" i="10" s="1"/>
  <c r="A260" i="10" s="1"/>
  <c r="A261" i="10" s="1"/>
  <c r="A262" i="10" s="1"/>
  <c r="A263" i="10" s="1"/>
  <c r="A264" i="10" s="1"/>
  <c r="A265" i="10" s="1"/>
  <c r="A266" i="10" s="1"/>
  <c r="A267" i="10" s="1"/>
  <c r="A268" i="10" s="1"/>
  <c r="A269" i="10" s="1"/>
  <c r="A270" i="10" s="1"/>
  <c r="A271" i="10" s="1"/>
  <c r="A272" i="10" s="1"/>
  <c r="A273" i="10" s="1"/>
  <c r="A274" i="10" s="1"/>
  <c r="A275" i="10" s="1"/>
  <c r="A276" i="10" s="1"/>
  <c r="A277" i="10" s="1"/>
  <c r="A278" i="10" s="1"/>
  <c r="A279" i="10" s="1"/>
  <c r="A280" i="10" s="1"/>
  <c r="A281" i="10" s="1"/>
  <c r="A282" i="10" s="1"/>
  <c r="A283" i="10" s="1"/>
  <c r="A284" i="10" s="1"/>
  <c r="A285" i="10" s="1"/>
  <c r="A286" i="10" s="1"/>
  <c r="A287" i="10" s="1"/>
  <c r="A288" i="10" s="1"/>
  <c r="A289" i="10" s="1"/>
  <c r="A290" i="10" s="1"/>
  <c r="A291" i="10" s="1"/>
  <c r="A292" i="10" s="1"/>
  <c r="A293" i="10" s="1"/>
  <c r="A294" i="10" s="1"/>
  <c r="A340" i="10" s="1"/>
  <c r="A341" i="10" s="1"/>
  <c r="A342" i="10" s="1"/>
  <c r="A343" i="10" s="1"/>
  <c r="A383" i="10" s="1"/>
  <c r="A384" i="10" s="1"/>
  <c r="A385" i="10" s="1"/>
  <c r="A386" i="10" s="1"/>
  <c r="A387" i="10" s="1"/>
  <c r="A388" i="10" s="1"/>
  <c r="A389" i="10" s="1"/>
  <c r="A390" i="10" s="1"/>
  <c r="A391" i="10" s="1"/>
  <c r="A392" i="10" s="1"/>
  <c r="A393" i="10" s="1"/>
  <c r="A394" i="10" s="1"/>
  <c r="A395" i="10" s="1"/>
  <c r="A396" i="10" s="1"/>
  <c r="A397" i="10" s="1"/>
  <c r="A398" i="10" s="1"/>
  <c r="A399" i="10" s="1"/>
  <c r="A400" i="10" s="1"/>
  <c r="A401" i="10" s="1"/>
  <c r="A402" i="10" s="1"/>
  <c r="A403" i="10" s="1"/>
  <c r="A404" i="10" s="1"/>
  <c r="A405" i="10" s="1"/>
  <c r="A406" i="10" s="1"/>
  <c r="A407" i="10" s="1"/>
  <c r="A408" i="10" s="1"/>
  <c r="A409" i="10" s="1"/>
  <c r="A410" i="10" s="1"/>
  <c r="A411" i="10" s="1"/>
  <c r="A412" i="10" s="1"/>
  <c r="A413" i="10" s="1"/>
  <c r="A414" i="10" s="1"/>
  <c r="A415" i="10" s="1"/>
  <c r="A416" i="10" s="1"/>
  <c r="A417" i="10" s="1"/>
  <c r="A418" i="10" s="1"/>
  <c r="A419" i="10" s="1"/>
  <c r="A420" i="10" s="1"/>
  <c r="A421" i="10" s="1"/>
  <c r="A422" i="10" s="1"/>
  <c r="A423" i="10" s="1"/>
  <c r="A424" i="10" s="1"/>
  <c r="A425" i="10" s="1"/>
  <c r="A426" i="10" s="1"/>
  <c r="A427" i="10" s="1"/>
  <c r="A428" i="10" s="1"/>
  <c r="A429" i="10" s="1"/>
  <c r="A430" i="10" s="1"/>
  <c r="A431" i="10" s="1"/>
  <c r="A432" i="10" s="1"/>
  <c r="A433" i="10" s="1"/>
  <c r="A434" i="10" s="1"/>
  <c r="A435" i="10" s="1"/>
  <c r="A436" i="10" s="1"/>
  <c r="A437" i="10" s="1"/>
  <c r="A438" i="10" s="1"/>
  <c r="A439" i="10" s="1"/>
  <c r="A440" i="10" s="1"/>
  <c r="A441" i="10" s="1"/>
  <c r="A442" i="10" s="1"/>
  <c r="A443" i="10" s="1"/>
  <c r="A444" i="10" s="1"/>
  <c r="A445" i="10" s="1"/>
  <c r="A446" i="10" s="1"/>
  <c r="A447" i="10" s="1"/>
  <c r="A448" i="10" s="1"/>
  <c r="A449" i="10" s="1"/>
  <c r="A450" i="10" s="1"/>
  <c r="A451" i="10" s="1"/>
  <c r="A452" i="10" s="1"/>
  <c r="A453" i="10" s="1"/>
  <c r="A454" i="10" s="1"/>
  <c r="A455" i="10" s="1"/>
  <c r="A456" i="10" s="1"/>
  <c r="A457" i="10" s="1"/>
  <c r="A458" i="10" s="1"/>
  <c r="A459" i="10" s="1"/>
  <c r="A460" i="10" s="1"/>
  <c r="A461" i="10" s="1"/>
  <c r="A462" i="10" s="1"/>
  <c r="A463" i="10" s="1"/>
  <c r="A464" i="10" s="1"/>
  <c r="A465" i="10" s="1"/>
  <c r="A466" i="10" s="1"/>
  <c r="A467" i="10" s="1"/>
  <c r="A468" i="10" s="1"/>
  <c r="A469" i="10" s="1"/>
  <c r="A470" i="10" s="1"/>
  <c r="A471" i="10" s="1"/>
  <c r="A472" i="10" s="1"/>
  <c r="A473" i="10" s="1"/>
  <c r="A474" i="10" s="1"/>
  <c r="A475" i="10" s="1"/>
  <c r="A476" i="10" s="1"/>
  <c r="A477" i="10" s="1"/>
  <c r="A478" i="10" s="1"/>
  <c r="A479" i="10" s="1"/>
  <c r="A480" i="10" s="1"/>
  <c r="A481" i="10" s="1"/>
  <c r="A482" i="10" s="1"/>
  <c r="A483" i="10" s="1"/>
  <c r="A484" i="10" s="1"/>
  <c r="A485" i="10" s="1"/>
  <c r="A486" i="10" s="1"/>
  <c r="A487" i="10" s="1"/>
  <c r="A488" i="10" s="1"/>
  <c r="A489" i="10" s="1"/>
  <c r="A490" i="10" s="1"/>
  <c r="A491" i="10" s="1"/>
  <c r="A492" i="10" s="1"/>
  <c r="A493" i="10" s="1"/>
  <c r="A494" i="10" s="1"/>
  <c r="A495" i="10" s="1"/>
  <c r="A496" i="10" s="1"/>
  <c r="A497" i="10" s="1"/>
  <c r="A498" i="10" s="1"/>
  <c r="A499" i="10" s="1"/>
  <c r="A500" i="10" s="1"/>
  <c r="A501" i="10" s="1"/>
  <c r="A502" i="10" s="1"/>
  <c r="A503" i="10" s="1"/>
  <c r="A295" i="10"/>
  <c r="A296" i="10" s="1"/>
  <c r="A297" i="10" s="1"/>
  <c r="A298" i="10" s="1"/>
  <c r="A299" i="10" s="1"/>
  <c r="A300" i="10" s="1"/>
  <c r="A301" i="10" s="1"/>
  <c r="A302" i="10" s="1"/>
  <c r="A303" i="10" s="1"/>
  <c r="A304" i="10" s="1"/>
  <c r="S6" i="10"/>
  <c r="AG6" i="10" s="1"/>
  <c r="R6" i="10"/>
  <c r="Z6" i="10"/>
  <c r="AA6" i="10" s="1"/>
  <c r="X6" i="10"/>
  <c r="O7" i="10"/>
  <c r="N7" i="10"/>
  <c r="AI7" i="10"/>
  <c r="H7" i="10" s="1"/>
  <c r="AB102" i="10"/>
  <c r="B84" i="10"/>
  <c r="E83" i="10"/>
  <c r="O83" i="10" s="1"/>
  <c r="N82" i="10"/>
  <c r="AI82" i="10"/>
  <c r="I82" i="10" s="1"/>
  <c r="AF82" i="10" s="1"/>
  <c r="AJ82" i="10"/>
  <c r="AB47" i="10"/>
  <c r="AB94" i="10"/>
  <c r="AB38" i="10"/>
  <c r="AB45" i="10"/>
  <c r="AB61" i="10"/>
  <c r="AB77" i="10"/>
  <c r="T276" i="10"/>
  <c r="S276" i="10"/>
  <c r="AG276" i="10" s="1"/>
  <c r="R276" i="10"/>
  <c r="Z276" i="10"/>
  <c r="AA276" i="10" s="1"/>
  <c r="X276" i="10"/>
  <c r="U276" i="10"/>
  <c r="AJ7" i="10"/>
  <c r="B118" i="10"/>
  <c r="E117" i="10"/>
  <c r="O117" i="10" s="1"/>
  <c r="Z435" i="10"/>
  <c r="AA435" i="10" s="1"/>
  <c r="X435" i="10"/>
  <c r="R435" i="10"/>
  <c r="S435" i="10"/>
  <c r="AG435" i="10" s="1"/>
  <c r="T435" i="10"/>
  <c r="U435" i="10"/>
  <c r="AB90" i="10"/>
  <c r="I7" i="10"/>
  <c r="AF7" i="10" s="1"/>
  <c r="I6" i="10"/>
  <c r="AB14" i="10"/>
  <c r="AB104" i="10"/>
  <c r="AJ79" i="10"/>
  <c r="N258" i="10"/>
  <c r="AI258" i="10"/>
  <c r="AK258" i="10" a="1"/>
  <c r="AK258" i="10" s="1"/>
  <c r="AJ258" i="10"/>
  <c r="O82" i="10"/>
  <c r="AB93" i="10"/>
  <c r="AB96" i="10"/>
  <c r="B8" i="10"/>
  <c r="AB23" i="10"/>
  <c r="AB71" i="10"/>
  <c r="AB35" i="10"/>
  <c r="AB91" i="10"/>
  <c r="O80" i="10"/>
  <c r="AB49" i="10"/>
  <c r="AJ116" i="10"/>
  <c r="O79" i="10"/>
  <c r="AB109" i="10"/>
  <c r="T315" i="10"/>
  <c r="S315" i="10"/>
  <c r="AG315" i="10" s="1"/>
  <c r="X315" i="10"/>
  <c r="U315" i="10"/>
  <c r="R315" i="10"/>
  <c r="Z315" i="10"/>
  <c r="AA315" i="10" s="1"/>
  <c r="AB19" i="10"/>
  <c r="AB7" i="10"/>
  <c r="AB172" i="10"/>
  <c r="AJ237" i="10"/>
  <c r="AI237" i="10"/>
  <c r="N237" i="10"/>
  <c r="AK237" i="10" a="1"/>
  <c r="AK237" i="10" s="1"/>
  <c r="AB79" i="10"/>
  <c r="AB53" i="10"/>
  <c r="E80" i="10"/>
  <c r="AB81" i="10"/>
  <c r="AB97" i="10"/>
  <c r="AB48" i="10"/>
  <c r="AB88" i="10"/>
  <c r="AB78" i="10"/>
  <c r="AB127" i="10"/>
  <c r="AB181" i="10"/>
  <c r="AB116" i="10"/>
  <c r="O272" i="10"/>
  <c r="N273" i="10"/>
  <c r="AB82" i="10"/>
  <c r="N253" i="10"/>
  <c r="O230" i="10"/>
  <c r="O240" i="10"/>
  <c r="N241" i="10"/>
  <c r="AB100" i="10"/>
  <c r="O229" i="10"/>
  <c r="O228" i="10"/>
  <c r="O227" i="10"/>
  <c r="N228" i="10"/>
  <c r="N227" i="10"/>
  <c r="O116" i="10"/>
  <c r="AB128" i="10"/>
  <c r="AJ6" i="10"/>
  <c r="AB85" i="10"/>
  <c r="AB16" i="10"/>
  <c r="O231" i="10"/>
  <c r="N232" i="10"/>
  <c r="N319" i="10"/>
  <c r="AK319" i="10" a="1"/>
  <c r="AK319" i="10" s="1"/>
  <c r="AJ319" i="10"/>
  <c r="AI319" i="10"/>
  <c r="Z264" i="10"/>
  <c r="AA264" i="10" s="1"/>
  <c r="T264" i="10"/>
  <c r="S264" i="10"/>
  <c r="AG264" i="10" s="1"/>
  <c r="R264" i="10"/>
  <c r="X264" i="10"/>
  <c r="AB186" i="10"/>
  <c r="N305" i="10"/>
  <c r="AK305" i="10" a="1"/>
  <c r="AK305" i="10" s="1"/>
  <c r="AJ305" i="10"/>
  <c r="AI305" i="10"/>
  <c r="T231" i="10"/>
  <c r="S231" i="10"/>
  <c r="AG231" i="10" s="1"/>
  <c r="X231" i="10"/>
  <c r="U231" i="10"/>
  <c r="R231" i="10"/>
  <c r="AI230" i="10"/>
  <c r="AK230" i="10" a="1"/>
  <c r="AK230" i="10" s="1"/>
  <c r="AJ230" i="10"/>
  <c r="Z278" i="10"/>
  <c r="AA278" i="10" s="1"/>
  <c r="X278" i="10"/>
  <c r="U278" i="10"/>
  <c r="T278" i="10"/>
  <c r="S278" i="10"/>
  <c r="AG278" i="10" s="1"/>
  <c r="R278" i="10"/>
  <c r="N234" i="10"/>
  <c r="AK234" i="10" a="1"/>
  <c r="AK234" i="10" s="1"/>
  <c r="N238" i="10"/>
  <c r="AJ244" i="10"/>
  <c r="AI244" i="10"/>
  <c r="N244" i="10"/>
  <c r="AK244" i="10" a="1"/>
  <c r="AK244" i="10" s="1"/>
  <c r="N295" i="10"/>
  <c r="AI295" i="10"/>
  <c r="AK295" i="10" a="1"/>
  <c r="AK295" i="10" s="1"/>
  <c r="AJ295" i="10"/>
  <c r="N230" i="10"/>
  <c r="N290" i="10"/>
  <c r="AJ290" i="10"/>
  <c r="AK290" i="10" a="1"/>
  <c r="AK290" i="10" s="1"/>
  <c r="AI290" i="10"/>
  <c r="Z222" i="10"/>
  <c r="AA222" i="10" s="1"/>
  <c r="R222" i="10"/>
  <c r="N257" i="10"/>
  <c r="O257" i="10"/>
  <c r="AJ257" i="10"/>
  <c r="AI257" i="10"/>
  <c r="O304" i="10"/>
  <c r="N304" i="10"/>
  <c r="AI304" i="10"/>
  <c r="O232" i="10"/>
  <c r="Z230" i="10"/>
  <c r="AA230" i="10" s="1"/>
  <c r="R230" i="10"/>
  <c r="X230" i="10"/>
  <c r="T230" i="10"/>
  <c r="S230" i="10"/>
  <c r="AG230" i="10" s="1"/>
  <c r="N356" i="10"/>
  <c r="AJ356" i="10"/>
  <c r="AK356" i="10" a="1"/>
  <c r="AK356" i="10" s="1"/>
  <c r="AI356" i="10"/>
  <c r="O236" i="10"/>
  <c r="Z339" i="10"/>
  <c r="AA339" i="10" s="1"/>
  <c r="U339" i="10"/>
  <c r="T339" i="10"/>
  <c r="S339" i="10"/>
  <c r="AG339" i="10" s="1"/>
  <c r="N233" i="10"/>
  <c r="AI235" i="10"/>
  <c r="N235" i="10"/>
  <c r="N229" i="10"/>
  <c r="N242" i="10"/>
  <c r="O259" i="10"/>
  <c r="T263" i="10"/>
  <c r="N288" i="10"/>
  <c r="AJ288" i="10"/>
  <c r="AI288" i="10"/>
  <c r="AK288" i="10" a="1"/>
  <c r="AK288" i="10" s="1"/>
  <c r="N223" i="10"/>
  <c r="N236" i="10"/>
  <c r="AJ255" i="10"/>
  <c r="AI255" i="10"/>
  <c r="N255" i="10"/>
  <c r="N256" i="10"/>
  <c r="U263" i="10"/>
  <c r="Z274" i="10"/>
  <c r="AA274" i="10" s="1"/>
  <c r="X274" i="10"/>
  <c r="T274" i="10"/>
  <c r="S274" i="10"/>
  <c r="AG274" i="10" s="1"/>
  <c r="AI286" i="10"/>
  <c r="AJ231" i="10"/>
  <c r="AK231" i="10" a="1"/>
  <c r="AK231" i="10" s="1"/>
  <c r="AI231" i="10"/>
  <c r="O237" i="10"/>
  <c r="N266" i="10"/>
  <c r="AJ266" i="10"/>
  <c r="AI266" i="10"/>
  <c r="O266" i="10"/>
  <c r="AK266" i="10" a="1"/>
  <c r="AK266" i="10" s="1"/>
  <c r="O276" i="10"/>
  <c r="O275" i="10"/>
  <c r="N277" i="10"/>
  <c r="O248" i="10"/>
  <c r="AJ248" i="10"/>
  <c r="N248" i="10"/>
  <c r="N249" i="10"/>
  <c r="O339" i="10"/>
  <c r="N339" i="10"/>
  <c r="AB203" i="10"/>
  <c r="R225" i="10"/>
  <c r="Z225" i="10"/>
  <c r="AA225" i="10" s="1"/>
  <c r="N240" i="10"/>
  <c r="AK240" i="10" a="1"/>
  <c r="AK240" i="10" s="1"/>
  <c r="N254" i="10"/>
  <c r="AJ254" i="10"/>
  <c r="AK254" i="10" a="1"/>
  <c r="AK254" i="10" s="1"/>
  <c r="N272" i="10"/>
  <c r="U262" i="10"/>
  <c r="T262" i="10"/>
  <c r="S262" i="10"/>
  <c r="AG262" i="10" s="1"/>
  <c r="Z262" i="10"/>
  <c r="AA262" i="10" s="1"/>
  <c r="Z263" i="10"/>
  <c r="AA263" i="10" s="1"/>
  <c r="O288" i="10"/>
  <c r="X225" i="10"/>
  <c r="O234" i="10"/>
  <c r="X232" i="10"/>
  <c r="T232" i="10"/>
  <c r="S232" i="10"/>
  <c r="AG232" i="10" s="1"/>
  <c r="Z273" i="10"/>
  <c r="AA273" i="10" s="1"/>
  <c r="X273" i="10"/>
  <c r="U273" i="10"/>
  <c r="T273" i="10"/>
  <c r="Z282" i="10"/>
  <c r="AA282" i="10" s="1"/>
  <c r="X282" i="10"/>
  <c r="U282" i="10"/>
  <c r="T282" i="10"/>
  <c r="S282" i="10"/>
  <c r="AG282" i="10" s="1"/>
  <c r="R282" i="10"/>
  <c r="AB197" i="10"/>
  <c r="N231" i="10"/>
  <c r="O242" i="10"/>
  <c r="P245" i="10"/>
  <c r="Q245" i="10" s="1"/>
  <c r="N251" i="10"/>
  <c r="AK257" i="10" a="1"/>
  <c r="AK257" i="10" s="1"/>
  <c r="X262" i="10"/>
  <c r="AJ238" i="10"/>
  <c r="N245" i="10"/>
  <c r="AJ245" i="10"/>
  <c r="U259" i="10"/>
  <c r="T259" i="10"/>
  <c r="S259" i="10"/>
  <c r="AG259" i="10" s="1"/>
  <c r="P270" i="10"/>
  <c r="Q270" i="10" s="1"/>
  <c r="N347" i="10"/>
  <c r="O346" i="10"/>
  <c r="O307" i="10"/>
  <c r="Z391" i="10"/>
  <c r="AA391" i="10" s="1"/>
  <c r="R391" i="10"/>
  <c r="T391" i="10"/>
  <c r="S391" i="10"/>
  <c r="AG391" i="10" s="1"/>
  <c r="U391" i="10"/>
  <c r="X391" i="10"/>
  <c r="Z400" i="10"/>
  <c r="AA400" i="10" s="1"/>
  <c r="R400" i="10"/>
  <c r="U400" i="10"/>
  <c r="S400" i="10"/>
  <c r="AG400" i="10" s="1"/>
  <c r="X400" i="10"/>
  <c r="T400" i="10"/>
  <c r="AK238" i="10" a="1"/>
  <c r="AK238" i="10" s="1"/>
  <c r="AK245" i="10" a="1"/>
  <c r="AK245" i="10" s="1"/>
  <c r="N270" i="10"/>
  <c r="AK270" i="10" a="1"/>
  <c r="AK270" i="10" s="1"/>
  <c r="AJ270" i="10"/>
  <c r="AI270" i="10"/>
  <c r="O274" i="10"/>
  <c r="N239" i="10"/>
  <c r="N246" i="10"/>
  <c r="Z259" i="10"/>
  <c r="AA259" i="10" s="1"/>
  <c r="U272" i="10"/>
  <c r="O282" i="10"/>
  <c r="AI303" i="10"/>
  <c r="AK303" i="10" a="1"/>
  <c r="AK303" i="10" s="1"/>
  <c r="AJ303" i="10"/>
  <c r="N433" i="10"/>
  <c r="AJ433" i="10"/>
  <c r="AK433" i="10" a="1"/>
  <c r="AK433" i="10" s="1"/>
  <c r="AI433" i="10"/>
  <c r="O501" i="10"/>
  <c r="O500" i="10"/>
  <c r="O246" i="10"/>
  <c r="N247" i="10"/>
  <c r="O245" i="10"/>
  <c r="O254" i="10"/>
  <c r="X256" i="10"/>
  <c r="T256" i="10"/>
  <c r="S256" i="10"/>
  <c r="AG256" i="10" s="1"/>
  <c r="Z256" i="10"/>
  <c r="AA256" i="10" s="1"/>
  <c r="U256" i="10"/>
  <c r="R256" i="10"/>
  <c r="O273" i="10"/>
  <c r="N278" i="10"/>
  <c r="AK278" i="10" a="1"/>
  <c r="AK278" i="10" s="1"/>
  <c r="AJ278" i="10"/>
  <c r="AI278" i="10"/>
  <c r="N279" i="10"/>
  <c r="N385" i="10"/>
  <c r="AK385" i="10" a="1"/>
  <c r="AK385" i="10" s="1"/>
  <c r="AI385" i="10"/>
  <c r="AJ385" i="10"/>
  <c r="O270" i="10"/>
  <c r="N271" i="10"/>
  <c r="AJ335" i="10"/>
  <c r="AI335" i="10"/>
  <c r="AK335" i="10" a="1"/>
  <c r="AK335" i="10" s="1"/>
  <c r="N335" i="10"/>
  <c r="N336" i="10"/>
  <c r="AI223" i="10"/>
  <c r="R235" i="10"/>
  <c r="T235" i="10"/>
  <c r="S235" i="10"/>
  <c r="AG235" i="10" s="1"/>
  <c r="R236" i="10"/>
  <c r="R237" i="10"/>
  <c r="T241" i="10"/>
  <c r="R244" i="10"/>
  <c r="O250" i="10"/>
  <c r="O295" i="10"/>
  <c r="S250" i="10"/>
  <c r="AG250" i="10" s="1"/>
  <c r="T267" i="10"/>
  <c r="S268" i="10"/>
  <c r="AG268" i="10" s="1"/>
  <c r="AJ223" i="10"/>
  <c r="S236" i="10"/>
  <c r="AG236" i="10" s="1"/>
  <c r="T237" i="10"/>
  <c r="U240" i="10"/>
  <c r="T240" i="10"/>
  <c r="S240" i="10"/>
  <c r="AG240" i="10" s="1"/>
  <c r="S242" i="10"/>
  <c r="AG242" i="10" s="1"/>
  <c r="R242" i="10"/>
  <c r="T250" i="10"/>
  <c r="T268" i="10"/>
  <c r="Z272" i="10"/>
  <c r="AA272" i="10" s="1"/>
  <c r="O291" i="10"/>
  <c r="N291" i="10"/>
  <c r="AK291" i="10" a="1"/>
  <c r="AK291" i="10" s="1"/>
  <c r="AJ291" i="10"/>
  <c r="AK223" i="10" a="1"/>
  <c r="AK223" i="10" s="1"/>
  <c r="T236" i="10"/>
  <c r="Z241" i="10"/>
  <c r="AA241" i="10" s="1"/>
  <c r="X241" i="10"/>
  <c r="U244" i="10"/>
  <c r="T244" i="10"/>
  <c r="T248" i="10"/>
  <c r="U250" i="10"/>
  <c r="O255" i="10"/>
  <c r="O256" i="10"/>
  <c r="S267" i="10"/>
  <c r="AG267" i="10" s="1"/>
  <c r="R267" i="10"/>
  <c r="U268" i="10"/>
  <c r="O281" i="10"/>
  <c r="O283" i="10"/>
  <c r="N283" i="10"/>
  <c r="AK283" i="10" a="1"/>
  <c r="AK283" i="10" s="1"/>
  <c r="AJ283" i="10"/>
  <c r="AI283" i="10"/>
  <c r="N303" i="10"/>
  <c r="O225" i="10"/>
  <c r="U236" i="10"/>
  <c r="S237" i="10"/>
  <c r="AG237" i="10" s="1"/>
  <c r="X237" i="10"/>
  <c r="N252" i="10"/>
  <c r="N275" i="10"/>
  <c r="AJ275" i="10"/>
  <c r="AI275" i="10"/>
  <c r="U279" i="10"/>
  <c r="T279" i="10"/>
  <c r="S279" i="10"/>
  <c r="AG279" i="10" s="1"/>
  <c r="X279" i="10"/>
  <c r="O344" i="10"/>
  <c r="O305" i="10"/>
  <c r="N345" i="10"/>
  <c r="O303" i="10"/>
  <c r="O319" i="10"/>
  <c r="Z248" i="10"/>
  <c r="AA248" i="10" s="1"/>
  <c r="S248" i="10"/>
  <c r="AG248" i="10" s="1"/>
  <c r="R248" i="10"/>
  <c r="N276" i="10"/>
  <c r="AI276" i="10"/>
  <c r="AK276" i="10" a="1"/>
  <c r="AK276" i="10" s="1"/>
  <c r="AJ276" i="10"/>
  <c r="N298" i="10"/>
  <c r="AK298" i="10" a="1"/>
  <c r="AK298" i="10" s="1"/>
  <c r="AJ298" i="10"/>
  <c r="Z325" i="10"/>
  <c r="AA325" i="10" s="1"/>
  <c r="X325" i="10"/>
  <c r="R325" i="10"/>
  <c r="U325" i="10"/>
  <c r="T325" i="10"/>
  <c r="S325" i="10"/>
  <c r="AG325" i="10" s="1"/>
  <c r="AI334" i="10"/>
  <c r="AJ334" i="10"/>
  <c r="N334" i="10"/>
  <c r="O334" i="10"/>
  <c r="AK334" i="10" a="1"/>
  <c r="AK334" i="10" s="1"/>
  <c r="P224" i="10"/>
  <c r="Q224" i="10" s="1"/>
  <c r="P227" i="10"/>
  <c r="Q227" i="10" s="1"/>
  <c r="AJ228" i="10"/>
  <c r="Z240" i="10"/>
  <c r="AA240" i="10" s="1"/>
  <c r="Z242" i="10"/>
  <c r="AA242" i="10" s="1"/>
  <c r="Z244" i="10"/>
  <c r="AA244" i="10" s="1"/>
  <c r="X250" i="10"/>
  <c r="X268" i="10"/>
  <c r="Z303" i="10"/>
  <c r="AA303" i="10" s="1"/>
  <c r="X303" i="10"/>
  <c r="U303" i="10"/>
  <c r="T303" i="10"/>
  <c r="S303" i="10"/>
  <c r="AG303" i="10" s="1"/>
  <c r="O226" i="10"/>
  <c r="N224" i="10"/>
  <c r="AK224" i="10" a="1"/>
  <c r="AK224" i="10" s="1"/>
  <c r="AK226" i="10" a="1"/>
  <c r="AK226" i="10" s="1"/>
  <c r="AI226" i="10"/>
  <c r="X236" i="10"/>
  <c r="Z237" i="10"/>
  <c r="AA237" i="10" s="1"/>
  <c r="Z243" i="10"/>
  <c r="AA243" i="10" s="1"/>
  <c r="X243" i="10"/>
  <c r="X248" i="10"/>
  <c r="O260" i="10"/>
  <c r="R265" i="10"/>
  <c r="Z279" i="10"/>
  <c r="AA279" i="10" s="1"/>
  <c r="U358" i="10"/>
  <c r="T358" i="10"/>
  <c r="S358" i="10"/>
  <c r="AG358" i="10" s="1"/>
  <c r="R358" i="10"/>
  <c r="X358" i="10"/>
  <c r="Z358" i="10"/>
  <c r="AA358" i="10" s="1"/>
  <c r="AB200" i="10"/>
  <c r="P228" i="10"/>
  <c r="Q228" i="10" s="1"/>
  <c r="Z317" i="10"/>
  <c r="AA317" i="10" s="1"/>
  <c r="X317" i="10"/>
  <c r="U317" i="10"/>
  <c r="T317" i="10"/>
  <c r="X265" i="10"/>
  <c r="T265" i="10"/>
  <c r="S265" i="10"/>
  <c r="AG265" i="10" s="1"/>
  <c r="N344" i="10"/>
  <c r="N337" i="10"/>
  <c r="AK337" i="10" a="1"/>
  <c r="AK337" i="10" s="1"/>
  <c r="AJ337" i="10"/>
  <c r="AI337" i="10"/>
  <c r="O442" i="10"/>
  <c r="N443" i="10"/>
  <c r="O345" i="10"/>
  <c r="O306" i="10"/>
  <c r="O331" i="10"/>
  <c r="O333" i="10"/>
  <c r="O258" i="10"/>
  <c r="AK260" i="10" a="1"/>
  <c r="AK260" i="10" s="1"/>
  <c r="N289" i="10"/>
  <c r="X290" i="10"/>
  <c r="T290" i="10"/>
  <c r="S290" i="10"/>
  <c r="AG290" i="10" s="1"/>
  <c r="R290" i="10"/>
  <c r="N314" i="10"/>
  <c r="AK314" i="10" a="1"/>
  <c r="AK314" i="10" s="1"/>
  <c r="AJ314" i="10"/>
  <c r="AI314" i="10"/>
  <c r="Z343" i="10"/>
  <c r="AA343" i="10" s="1"/>
  <c r="T343" i="10"/>
  <c r="U368" i="10"/>
  <c r="T368" i="10"/>
  <c r="R368" i="10"/>
  <c r="X368" i="10"/>
  <c r="S368" i="10"/>
  <c r="AG368" i="10" s="1"/>
  <c r="Z379" i="10"/>
  <c r="AA379" i="10" s="1"/>
  <c r="U379" i="10"/>
  <c r="T379" i="10"/>
  <c r="S379" i="10"/>
  <c r="AG379" i="10" s="1"/>
  <c r="X379" i="10"/>
  <c r="R379" i="10"/>
  <c r="N225" i="10"/>
  <c r="AJ225" i="10"/>
  <c r="S239" i="10"/>
  <c r="AG239" i="10" s="1"/>
  <c r="O243" i="10"/>
  <c r="T246" i="10"/>
  <c r="Z251" i="10"/>
  <c r="AA251" i="10" s="1"/>
  <c r="U253" i="10"/>
  <c r="T253" i="10"/>
  <c r="S253" i="10"/>
  <c r="AG253" i="10" s="1"/>
  <c r="S255" i="10"/>
  <c r="AG255" i="10" s="1"/>
  <c r="O262" i="10"/>
  <c r="U287" i="10"/>
  <c r="S287" i="10"/>
  <c r="AG287" i="10" s="1"/>
  <c r="R287" i="10"/>
  <c r="Z287" i="10"/>
  <c r="AA287" i="10" s="1"/>
  <c r="X287" i="10"/>
  <c r="Z290" i="10"/>
  <c r="AA290" i="10" s="1"/>
  <c r="S311" i="10"/>
  <c r="AG311" i="10" s="1"/>
  <c r="O400" i="10"/>
  <c r="N401" i="10"/>
  <c r="T239" i="10"/>
  <c r="AI249" i="10"/>
  <c r="T255" i="10"/>
  <c r="N259" i="10"/>
  <c r="O263" i="10"/>
  <c r="P261" i="10"/>
  <c r="Q261" i="10" s="1"/>
  <c r="N263" i="10"/>
  <c r="R285" i="10"/>
  <c r="AK294" i="10" a="1"/>
  <c r="AK294" i="10" s="1"/>
  <c r="AJ294" i="10"/>
  <c r="AI294" i="10"/>
  <c r="T311" i="10"/>
  <c r="O321" i="10"/>
  <c r="S360" i="10"/>
  <c r="AG360" i="10" s="1"/>
  <c r="R360" i="10"/>
  <c r="X360" i="10"/>
  <c r="T360" i="10"/>
  <c r="U360" i="10"/>
  <c r="Z360" i="10"/>
  <c r="AA360" i="10" s="1"/>
  <c r="U239" i="10"/>
  <c r="AJ249" i="10"/>
  <c r="X253" i="10"/>
  <c r="U255" i="10"/>
  <c r="O261" i="10"/>
  <c r="N262" i="10"/>
  <c r="N260" i="10"/>
  <c r="N261" i="10"/>
  <c r="AJ264" i="10"/>
  <c r="AI264" i="10"/>
  <c r="N282" i="10"/>
  <c r="AI282" i="10"/>
  <c r="U299" i="10"/>
  <c r="T299" i="10"/>
  <c r="S299" i="10"/>
  <c r="AG299" i="10" s="1"/>
  <c r="Z299" i="10"/>
  <c r="AA299" i="10" s="1"/>
  <c r="N318" i="10"/>
  <c r="O322" i="10"/>
  <c r="O357" i="10"/>
  <c r="Z368" i="10"/>
  <c r="AA368" i="10" s="1"/>
  <c r="O238" i="10"/>
  <c r="AJ236" i="10"/>
  <c r="AI236" i="10"/>
  <c r="AK236" i="10" a="1"/>
  <c r="AK236" i="10" s="1"/>
  <c r="O296" i="10"/>
  <c r="N297" i="10"/>
  <c r="X285" i="10"/>
  <c r="U285" i="10"/>
  <c r="T285" i="10"/>
  <c r="O298" i="10"/>
  <c r="AJ307" i="10"/>
  <c r="AI307" i="10"/>
  <c r="N307" i="10"/>
  <c r="X311" i="10"/>
  <c r="R311" i="10"/>
  <c r="O318" i="10"/>
  <c r="N331" i="10"/>
  <c r="R335" i="10"/>
  <c r="Z335" i="10"/>
  <c r="AA335" i="10" s="1"/>
  <c r="X335" i="10"/>
  <c r="U335" i="10"/>
  <c r="T335" i="10"/>
  <c r="O300" i="10"/>
  <c r="N301" i="10"/>
  <c r="O323" i="10"/>
  <c r="N324" i="10"/>
  <c r="O223" i="10"/>
  <c r="X239" i="10"/>
  <c r="O244" i="10"/>
  <c r="X255" i="10"/>
  <c r="S258" i="10"/>
  <c r="AG258" i="10" s="1"/>
  <c r="R258" i="10"/>
  <c r="AJ279" i="10"/>
  <c r="AI279" i="10"/>
  <c r="AK280" i="10" a="1"/>
  <c r="AK280" i="10" s="1"/>
  <c r="AJ280" i="10"/>
  <c r="Z285" i="10"/>
  <c r="AA285" i="10" s="1"/>
  <c r="O342" i="10"/>
  <c r="N343" i="10"/>
  <c r="Z311" i="10"/>
  <c r="AA311" i="10" s="1"/>
  <c r="N316" i="10"/>
  <c r="AJ316" i="10"/>
  <c r="AI316" i="10"/>
  <c r="N353" i="10"/>
  <c r="AK353" i="10" a="1"/>
  <c r="AK353" i="10" s="1"/>
  <c r="AJ353" i="10"/>
  <c r="AI353" i="10"/>
  <c r="O264" i="10"/>
  <c r="O265" i="10"/>
  <c r="O267" i="10"/>
  <c r="N294" i="10"/>
  <c r="N317" i="10"/>
  <c r="AK317" i="10" a="1"/>
  <c r="AK317" i="10" s="1"/>
  <c r="AJ317" i="10"/>
  <c r="AI317" i="10"/>
  <c r="N346" i="10"/>
  <c r="AJ346" i="10"/>
  <c r="AK222" i="10" a="1"/>
  <c r="AK222" i="10" s="1"/>
  <c r="O239" i="10"/>
  <c r="O297" i="10"/>
  <c r="O252" i="10"/>
  <c r="X258" i="10"/>
  <c r="N264" i="10"/>
  <c r="O268" i="10"/>
  <c r="N267" i="10"/>
  <c r="AI267" i="10"/>
  <c r="O341" i="10"/>
  <c r="N342" i="10"/>
  <c r="O294" i="10"/>
  <c r="Z354" i="10"/>
  <c r="AA354" i="10" s="1"/>
  <c r="T354" i="10"/>
  <c r="X354" i="10"/>
  <c r="S354" i="10"/>
  <c r="AG354" i="10" s="1"/>
  <c r="R354" i="10"/>
  <c r="O302" i="10"/>
  <c r="N315" i="10"/>
  <c r="X324" i="10"/>
  <c r="U324" i="10"/>
  <c r="T324" i="10"/>
  <c r="R324" i="10"/>
  <c r="Z328" i="10"/>
  <c r="AA328" i="10" s="1"/>
  <c r="X328" i="10"/>
  <c r="U342" i="10"/>
  <c r="T342" i="10"/>
  <c r="R342" i="10"/>
  <c r="AI371" i="10"/>
  <c r="AJ371" i="10"/>
  <c r="N372" i="10"/>
  <c r="N391" i="10"/>
  <c r="AK391" i="10" a="1"/>
  <c r="AK391" i="10" s="1"/>
  <c r="AJ391" i="10"/>
  <c r="AI391" i="10"/>
  <c r="Z412" i="10"/>
  <c r="AA412" i="10" s="1"/>
  <c r="R412" i="10"/>
  <c r="S412" i="10"/>
  <c r="AG412" i="10" s="1"/>
  <c r="U412" i="10"/>
  <c r="T412" i="10"/>
  <c r="Z417" i="10"/>
  <c r="AA417" i="10" s="1"/>
  <c r="U417" i="10"/>
  <c r="T417" i="10"/>
  <c r="S417" i="10"/>
  <c r="AG417" i="10" s="1"/>
  <c r="R417" i="10"/>
  <c r="X417" i="10"/>
  <c r="N281" i="10"/>
  <c r="AJ281" i="10"/>
  <c r="AK281" i="10" a="1"/>
  <c r="AK281" i="10" s="1"/>
  <c r="N287" i="10"/>
  <c r="AJ287" i="10"/>
  <c r="O320" i="10"/>
  <c r="N321" i="10"/>
  <c r="AK321" i="10" a="1"/>
  <c r="AK321" i="10" s="1"/>
  <c r="AI321" i="10"/>
  <c r="AI322" i="10"/>
  <c r="N332" i="10"/>
  <c r="AK332" i="10" a="1"/>
  <c r="AK332" i="10" s="1"/>
  <c r="AI332" i="10"/>
  <c r="O337" i="10"/>
  <c r="O371" i="10"/>
  <c r="U499" i="10"/>
  <c r="T499" i="10"/>
  <c r="S499" i="10"/>
  <c r="AG499" i="10" s="1"/>
  <c r="R499" i="10"/>
  <c r="X499" i="10"/>
  <c r="Z499" i="10"/>
  <c r="AA499" i="10" s="1"/>
  <c r="O338" i="10"/>
  <c r="O356" i="10"/>
  <c r="N357" i="10"/>
  <c r="N465" i="10"/>
  <c r="AK465" i="10" a="1"/>
  <c r="AK465" i="10" s="1"/>
  <c r="AJ465" i="10"/>
  <c r="AI465" i="10"/>
  <c r="O278" i="10"/>
  <c r="O284" i="10"/>
  <c r="Z284" i="10"/>
  <c r="AA284" i="10" s="1"/>
  <c r="O290" i="10"/>
  <c r="AK309" i="10" a="1"/>
  <c r="AK309" i="10" s="1"/>
  <c r="X314" i="10"/>
  <c r="U314" i="10"/>
  <c r="T314" i="10"/>
  <c r="R314" i="10"/>
  <c r="AJ323" i="10"/>
  <c r="AJ325" i="10"/>
  <c r="AK329" i="10" a="1"/>
  <c r="AK329" i="10" s="1"/>
  <c r="AK331" i="10" a="1"/>
  <c r="AK331" i="10" s="1"/>
  <c r="AI331" i="10"/>
  <c r="S333" i="10"/>
  <c r="AG333" i="10" s="1"/>
  <c r="N459" i="10"/>
  <c r="AK459" i="10" a="1"/>
  <c r="AK459" i="10" s="1"/>
  <c r="AJ459" i="10"/>
  <c r="AI459" i="10"/>
  <c r="R252" i="10"/>
  <c r="R261" i="10"/>
  <c r="R270" i="10"/>
  <c r="R288" i="10"/>
  <c r="Z294" i="10"/>
  <c r="AA294" i="10" s="1"/>
  <c r="O325" i="10"/>
  <c r="AK323" i="10" a="1"/>
  <c r="AK323" i="10" s="1"/>
  <c r="R332" i="10"/>
  <c r="U332" i="10"/>
  <c r="T332" i="10"/>
  <c r="S332" i="10"/>
  <c r="AG332" i="10" s="1"/>
  <c r="T333" i="10"/>
  <c r="AK349" i="10" a="1"/>
  <c r="AK349" i="10" s="1"/>
  <c r="AJ349" i="10"/>
  <c r="N351" i="10"/>
  <c r="AK350" i="10" a="1"/>
  <c r="AK350" i="10" s="1"/>
  <c r="AJ350" i="10"/>
  <c r="AI350" i="10"/>
  <c r="O373" i="10"/>
  <c r="N374" i="10"/>
  <c r="N373" i="10"/>
  <c r="AJ373" i="10"/>
  <c r="AK373" i="10" a="1"/>
  <c r="AK373" i="10" s="1"/>
  <c r="AI373" i="10"/>
  <c r="O388" i="10"/>
  <c r="N388" i="10"/>
  <c r="N389" i="10"/>
  <c r="O308" i="10"/>
  <c r="N308" i="10"/>
  <c r="AK308" i="10" a="1"/>
  <c r="AK308" i="10" s="1"/>
  <c r="AJ308" i="10"/>
  <c r="T351" i="10"/>
  <c r="S351" i="10"/>
  <c r="AG351" i="10" s="1"/>
  <c r="R351" i="10"/>
  <c r="AK363" i="10" a="1"/>
  <c r="AK363" i="10" s="1"/>
  <c r="AJ363" i="10"/>
  <c r="AI263" i="10"/>
  <c r="AI272" i="10"/>
  <c r="S281" i="10"/>
  <c r="AG281" i="10" s="1"/>
  <c r="R305" i="10"/>
  <c r="P310" i="10"/>
  <c r="Q310" i="10" s="1"/>
  <c r="S320" i="10"/>
  <c r="AG320" i="10" s="1"/>
  <c r="N326" i="10"/>
  <c r="AK326" i="10" a="1"/>
  <c r="AK326" i="10" s="1"/>
  <c r="O332" i="10"/>
  <c r="N333" i="10"/>
  <c r="O330" i="10"/>
  <c r="U347" i="10"/>
  <c r="N365" i="10"/>
  <c r="O364" i="10"/>
  <c r="AJ364" i="10"/>
  <c r="AI364" i="10"/>
  <c r="N377" i="10"/>
  <c r="AJ377" i="10"/>
  <c r="AJ263" i="10"/>
  <c r="AJ272" i="10"/>
  <c r="T281" i="10"/>
  <c r="N310" i="10"/>
  <c r="AK310" i="10" a="1"/>
  <c r="AK310" i="10" s="1"/>
  <c r="AJ310" i="10"/>
  <c r="T320" i="10"/>
  <c r="N329" i="10"/>
  <c r="X333" i="10"/>
  <c r="O353" i="10"/>
  <c r="X351" i="10"/>
  <c r="U365" i="10"/>
  <c r="T365" i="10"/>
  <c r="R365" i="10"/>
  <c r="X365" i="10"/>
  <c r="AK371" i="10" a="1"/>
  <c r="AK371" i="10" s="1"/>
  <c r="Z394" i="10"/>
  <c r="AA394" i="10" s="1"/>
  <c r="R394" i="10"/>
  <c r="T394" i="10"/>
  <c r="S394" i="10"/>
  <c r="AG394" i="10" s="1"/>
  <c r="U394" i="10"/>
  <c r="X394" i="10"/>
  <c r="O292" i="10"/>
  <c r="AK292" i="10" a="1"/>
  <c r="AK292" i="10" s="1"/>
  <c r="AJ292" i="10"/>
  <c r="AI292" i="10"/>
  <c r="U305" i="10"/>
  <c r="T305" i="10"/>
  <c r="N325" i="10"/>
  <c r="R428" i="10"/>
  <c r="Z428" i="10"/>
  <c r="AA428" i="10" s="1"/>
  <c r="T428" i="10"/>
  <c r="S428" i="10"/>
  <c r="AG428" i="10" s="1"/>
  <c r="X428" i="10"/>
  <c r="U428" i="10"/>
  <c r="R297" i="10"/>
  <c r="AK312" i="10" a="1"/>
  <c r="AK312" i="10" s="1"/>
  <c r="AI312" i="10"/>
  <c r="N341" i="10"/>
  <c r="O349" i="10"/>
  <c r="Z351" i="10"/>
  <c r="AA351" i="10" s="1"/>
  <c r="AI243" i="10"/>
  <c r="O249" i="10"/>
  <c r="O253" i="10"/>
  <c r="S271" i="10"/>
  <c r="AG271" i="10" s="1"/>
  <c r="Z288" i="10"/>
  <c r="AA288" i="10" s="1"/>
  <c r="S297" i="10"/>
  <c r="AG297" i="10" s="1"/>
  <c r="X305" i="10"/>
  <c r="AI315" i="10"/>
  <c r="O327" i="10"/>
  <c r="N340" i="10"/>
  <c r="O347" i="10"/>
  <c r="N363" i="10"/>
  <c r="Z365" i="10"/>
  <c r="AA365" i="10" s="1"/>
  <c r="P372" i="10"/>
  <c r="Q372" i="10" s="1"/>
  <c r="O376" i="10"/>
  <c r="N376" i="10"/>
  <c r="AK376" i="10" a="1"/>
  <c r="AK376" i="10" s="1"/>
  <c r="AI376" i="10"/>
  <c r="AJ243" i="10"/>
  <c r="N250" i="10"/>
  <c r="T271" i="10"/>
  <c r="AI273" i="10"/>
  <c r="X281" i="10"/>
  <c r="N293" i="10"/>
  <c r="AJ293" i="10"/>
  <c r="AK293" i="10" a="1"/>
  <c r="AK293" i="10" s="1"/>
  <c r="T297" i="10"/>
  <c r="N309" i="10"/>
  <c r="AJ315" i="10"/>
  <c r="X320" i="10"/>
  <c r="S327" i="10"/>
  <c r="AG327" i="10" s="1"/>
  <c r="R327" i="10"/>
  <c r="Z346" i="10"/>
  <c r="AA346" i="10" s="1"/>
  <c r="S346" i="10"/>
  <c r="AG346" i="10" s="1"/>
  <c r="R346" i="10"/>
  <c r="Z347" i="10"/>
  <c r="AA347" i="10" s="1"/>
  <c r="N364" i="10"/>
  <c r="AK372" i="10" a="1"/>
  <c r="AK372" i="10" s="1"/>
  <c r="AI372" i="10"/>
  <c r="O448" i="10"/>
  <c r="N449" i="10"/>
  <c r="O235" i="10"/>
  <c r="P255" i="10"/>
  <c r="Q255" i="10" s="1"/>
  <c r="P264" i="10"/>
  <c r="Q264" i="10" s="1"/>
  <c r="P273" i="10"/>
  <c r="Q273" i="10" s="1"/>
  <c r="AJ273" i="10"/>
  <c r="N285" i="10"/>
  <c r="AJ285" i="10"/>
  <c r="N299" i="10"/>
  <c r="AK299" i="10" a="1"/>
  <c r="AK299" i="10" s="1"/>
  <c r="AJ299" i="10"/>
  <c r="Z305" i="10"/>
  <c r="AA305" i="10" s="1"/>
  <c r="AK315" i="10" a="1"/>
  <c r="AK315" i="10" s="1"/>
  <c r="R328" i="10"/>
  <c r="O343" i="10"/>
  <c r="O365" i="10"/>
  <c r="N368" i="10"/>
  <c r="AK368" i="10" a="1"/>
  <c r="AK368" i="10" s="1"/>
  <c r="AJ368" i="10"/>
  <c r="AI368" i="10"/>
  <c r="N369" i="10"/>
  <c r="N392" i="10"/>
  <c r="U445" i="10"/>
  <c r="S445" i="10"/>
  <c r="AG445" i="10" s="1"/>
  <c r="R445" i="10"/>
  <c r="Z445" i="10"/>
  <c r="AA445" i="10" s="1"/>
  <c r="T445" i="10"/>
  <c r="O271" i="10"/>
  <c r="O280" i="10"/>
  <c r="N292" i="10"/>
  <c r="S328" i="10"/>
  <c r="AG328" i="10" s="1"/>
  <c r="S440" i="10"/>
  <c r="AG440" i="10" s="1"/>
  <c r="R440" i="10"/>
  <c r="X440" i="10"/>
  <c r="T440" i="10"/>
  <c r="N458" i="10"/>
  <c r="O459" i="10"/>
  <c r="O458" i="10"/>
  <c r="Z381" i="10"/>
  <c r="AA381" i="10" s="1"/>
  <c r="X381" i="10"/>
  <c r="T381" i="10"/>
  <c r="R381" i="10"/>
  <c r="Z393" i="10"/>
  <c r="AA393" i="10" s="1"/>
  <c r="U393" i="10"/>
  <c r="T393" i="10"/>
  <c r="X393" i="10"/>
  <c r="S393" i="10"/>
  <c r="AG393" i="10" s="1"/>
  <c r="O429" i="10"/>
  <c r="N430" i="10"/>
  <c r="O427" i="10"/>
  <c r="N440" i="10"/>
  <c r="O439" i="10"/>
  <c r="O484" i="10"/>
  <c r="N485" i="10"/>
  <c r="O389" i="10"/>
  <c r="Z399" i="10"/>
  <c r="AA399" i="10" s="1"/>
  <c r="R399" i="10"/>
  <c r="S399" i="10"/>
  <c r="AG399" i="10" s="1"/>
  <c r="N284" i="10"/>
  <c r="AJ284" i="10"/>
  <c r="AK284" i="10" a="1"/>
  <c r="AK284" i="10" s="1"/>
  <c r="R291" i="10"/>
  <c r="N296" i="10"/>
  <c r="AK296" i="10" a="1"/>
  <c r="AK296" i="10" s="1"/>
  <c r="AJ296" i="10"/>
  <c r="R309" i="10"/>
  <c r="O317" i="10"/>
  <c r="R323" i="10"/>
  <c r="S323" i="10"/>
  <c r="AG323" i="10" s="1"/>
  <c r="Z334" i="10"/>
  <c r="AA334" i="10" s="1"/>
  <c r="X334" i="10"/>
  <c r="T338" i="10"/>
  <c r="U362" i="10"/>
  <c r="T362" i="10"/>
  <c r="Z362" i="10"/>
  <c r="AA362" i="10" s="1"/>
  <c r="X362" i="10"/>
  <c r="AI366" i="10"/>
  <c r="O395" i="10"/>
  <c r="N418" i="10"/>
  <c r="AI418" i="10"/>
  <c r="AK418" i="10" a="1"/>
  <c r="AK418" i="10" s="1"/>
  <c r="AJ418" i="10"/>
  <c r="O438" i="10"/>
  <c r="S291" i="10"/>
  <c r="AG291" i="10" s="1"/>
  <c r="S309" i="10"/>
  <c r="AG309" i="10" s="1"/>
  <c r="R337" i="10"/>
  <c r="Q344" i="10"/>
  <c r="R361" i="10"/>
  <c r="O372" i="10"/>
  <c r="N429" i="10"/>
  <c r="N483" i="10"/>
  <c r="AK483" i="10" a="1"/>
  <c r="AK483" i="10" s="1"/>
  <c r="AJ483" i="10"/>
  <c r="AI483" i="10"/>
  <c r="U484" i="10"/>
  <c r="T484" i="10"/>
  <c r="S484" i="10"/>
  <c r="AG484" i="10" s="1"/>
  <c r="R484" i="10"/>
  <c r="Z484" i="10"/>
  <c r="AA484" i="10" s="1"/>
  <c r="N501" i="10"/>
  <c r="AI501" i="10"/>
  <c r="AJ501" i="10"/>
  <c r="T291" i="10"/>
  <c r="T309" i="10"/>
  <c r="N320" i="10"/>
  <c r="AK320" i="10" a="1"/>
  <c r="AK320" i="10" s="1"/>
  <c r="AJ320" i="10"/>
  <c r="S337" i="10"/>
  <c r="AG337" i="10" s="1"/>
  <c r="N383" i="10"/>
  <c r="S370" i="10"/>
  <c r="AG370" i="10" s="1"/>
  <c r="P375" i="10"/>
  <c r="Q375" i="10" s="1"/>
  <c r="O391" i="10"/>
  <c r="N400" i="10"/>
  <c r="Z402" i="10"/>
  <c r="AA402" i="10" s="1"/>
  <c r="T402" i="10"/>
  <c r="S402" i="10"/>
  <c r="AG402" i="10" s="1"/>
  <c r="X402" i="10"/>
  <c r="R402" i="10"/>
  <c r="AI407" i="10"/>
  <c r="N407" i="10"/>
  <c r="O437" i="10"/>
  <c r="O287" i="10"/>
  <c r="O299" i="10"/>
  <c r="P329" i="10"/>
  <c r="Q329" i="10" s="1"/>
  <c r="O385" i="10"/>
  <c r="N386" i="10"/>
  <c r="O363" i="10"/>
  <c r="Z361" i="10"/>
  <c r="AA361" i="10" s="1"/>
  <c r="T361" i="10"/>
  <c r="R369" i="10"/>
  <c r="S424" i="10"/>
  <c r="AG424" i="10" s="1"/>
  <c r="R424" i="10"/>
  <c r="Z424" i="10"/>
  <c r="AA424" i="10" s="1"/>
  <c r="T424" i="10"/>
  <c r="X424" i="10"/>
  <c r="N311" i="10"/>
  <c r="AK311" i="10" a="1"/>
  <c r="AK311" i="10" s="1"/>
  <c r="AJ311" i="10"/>
  <c r="AJ328" i="10"/>
  <c r="AI328" i="10"/>
  <c r="AJ329" i="10"/>
  <c r="AI329" i="10"/>
  <c r="Z337" i="10"/>
  <c r="AA337" i="10" s="1"/>
  <c r="X337" i="10"/>
  <c r="N358" i="10"/>
  <c r="AK358" i="10" a="1"/>
  <c r="AK358" i="10" s="1"/>
  <c r="AJ358" i="10"/>
  <c r="N359" i="10"/>
  <c r="Z370" i="10"/>
  <c r="AA370" i="10" s="1"/>
  <c r="X370" i="10"/>
  <c r="R370" i="10"/>
  <c r="Z408" i="10"/>
  <c r="AA408" i="10" s="1"/>
  <c r="R408" i="10"/>
  <c r="X408" i="10"/>
  <c r="U408" i="10"/>
  <c r="T408" i="10"/>
  <c r="S408" i="10"/>
  <c r="AG408" i="10" s="1"/>
  <c r="N495" i="10"/>
  <c r="AK495" i="10" a="1"/>
  <c r="AK495" i="10" s="1"/>
  <c r="N500" i="10"/>
  <c r="N427" i="10"/>
  <c r="N426" i="10"/>
  <c r="O482" i="10"/>
  <c r="N491" i="10"/>
  <c r="O329" i="10"/>
  <c r="AK366" i="10" a="1"/>
  <c r="AK366" i="10" s="1"/>
  <c r="N366" i="10"/>
  <c r="Z369" i="10"/>
  <c r="AA369" i="10" s="1"/>
  <c r="U369" i="10"/>
  <c r="O377" i="10"/>
  <c r="N428" i="10"/>
  <c r="U475" i="10"/>
  <c r="T475" i="10"/>
  <c r="S475" i="10"/>
  <c r="AG475" i="10" s="1"/>
  <c r="R475" i="10"/>
  <c r="Z475" i="10"/>
  <c r="AA475" i="10" s="1"/>
  <c r="X475" i="10"/>
  <c r="U487" i="10"/>
  <c r="T487" i="10"/>
  <c r="S487" i="10"/>
  <c r="AG487" i="10" s="1"/>
  <c r="R487" i="10"/>
  <c r="X487" i="10"/>
  <c r="Z487" i="10"/>
  <c r="AA487" i="10" s="1"/>
  <c r="N302" i="10"/>
  <c r="AK302" i="10" a="1"/>
  <c r="AK302" i="10" s="1"/>
  <c r="AJ302" i="10"/>
  <c r="P331" i="10"/>
  <c r="Q331" i="10" s="1"/>
  <c r="O351" i="10"/>
  <c r="AK355" i="10" a="1"/>
  <c r="AK355" i="10" s="1"/>
  <c r="N367" i="10"/>
  <c r="Z375" i="10"/>
  <c r="AA375" i="10" s="1"/>
  <c r="U375" i="10"/>
  <c r="T375" i="10"/>
  <c r="S375" i="10"/>
  <c r="AG375" i="10" s="1"/>
  <c r="R375" i="10"/>
  <c r="X375" i="10"/>
  <c r="N411" i="10"/>
  <c r="P360" i="10"/>
  <c r="Q360" i="10" s="1"/>
  <c r="N361" i="10"/>
  <c r="AK361" i="10" a="1"/>
  <c r="AK361" i="10" s="1"/>
  <c r="AJ361" i="10"/>
  <c r="AI361" i="10"/>
  <c r="AI362" i="10"/>
  <c r="T366" i="10"/>
  <c r="AI370" i="10"/>
  <c r="U378" i="10"/>
  <c r="Z385" i="10"/>
  <c r="AA385" i="10" s="1"/>
  <c r="R385" i="10"/>
  <c r="P398" i="10"/>
  <c r="Q398" i="10" s="1"/>
  <c r="O419" i="10"/>
  <c r="O426" i="10"/>
  <c r="U436" i="10"/>
  <c r="S436" i="10"/>
  <c r="AG436" i="10" s="1"/>
  <c r="R436" i="10"/>
  <c r="X436" i="10"/>
  <c r="Z436" i="10"/>
  <c r="AA436" i="10" s="1"/>
  <c r="T436" i="10"/>
  <c r="O492" i="10"/>
  <c r="O491" i="10"/>
  <c r="AK360" i="10" a="1"/>
  <c r="AK360" i="10" s="1"/>
  <c r="N360" i="10"/>
  <c r="AJ362" i="10"/>
  <c r="U366" i="10"/>
  <c r="AJ370" i="10"/>
  <c r="AI398" i="10"/>
  <c r="N398" i="10"/>
  <c r="N466" i="10"/>
  <c r="X357" i="10"/>
  <c r="AK370" i="10" a="1"/>
  <c r="AK370" i="10" s="1"/>
  <c r="X385" i="10"/>
  <c r="Z403" i="10"/>
  <c r="AA403" i="10" s="1"/>
  <c r="R403" i="10"/>
  <c r="S403" i="10"/>
  <c r="AG403" i="10" s="1"/>
  <c r="AJ412" i="10"/>
  <c r="AI412" i="10"/>
  <c r="N412" i="10"/>
  <c r="O418" i="10"/>
  <c r="O463" i="10"/>
  <c r="N464" i="10"/>
  <c r="P350" i="10"/>
  <c r="Q350" i="10" s="1"/>
  <c r="Z352" i="10"/>
  <c r="AA352" i="10" s="1"/>
  <c r="X352" i="10"/>
  <c r="P373" i="10"/>
  <c r="Q373" i="10" s="1"/>
  <c r="O398" i="10"/>
  <c r="P427" i="10"/>
  <c r="Q427" i="10" s="1"/>
  <c r="P433" i="10"/>
  <c r="Q433" i="10" s="1"/>
  <c r="Z353" i="10"/>
  <c r="AA353" i="10" s="1"/>
  <c r="P356" i="10"/>
  <c r="Q356" i="10" s="1"/>
  <c r="AK375" i="10" a="1"/>
  <c r="AK375" i="10" s="1"/>
  <c r="AI375" i="10"/>
  <c r="N437" i="10"/>
  <c r="N387" i="10"/>
  <c r="AK387" i="10" a="1"/>
  <c r="AK387" i="10" s="1"/>
  <c r="AI387" i="10"/>
  <c r="N390" i="10"/>
  <c r="AK390" i="10" a="1"/>
  <c r="AK390" i="10" s="1"/>
  <c r="AI390" i="10"/>
  <c r="Z420" i="10"/>
  <c r="AA420" i="10" s="1"/>
  <c r="R420" i="10"/>
  <c r="X420" i="10"/>
  <c r="Z429" i="10"/>
  <c r="AA429" i="10" s="1"/>
  <c r="X429" i="10"/>
  <c r="Z349" i="10"/>
  <c r="AA349" i="10" s="1"/>
  <c r="X349" i="10"/>
  <c r="N375" i="10"/>
  <c r="N378" i="10"/>
  <c r="AK378" i="10" a="1"/>
  <c r="AK378" i="10" s="1"/>
  <c r="AI378" i="10"/>
  <c r="Z411" i="10"/>
  <c r="AA411" i="10" s="1"/>
  <c r="T411" i="10"/>
  <c r="S411" i="10"/>
  <c r="AG411" i="10" s="1"/>
  <c r="AK432" i="10" a="1"/>
  <c r="AK432" i="10" s="1"/>
  <c r="AJ432" i="10"/>
  <c r="AI432" i="10"/>
  <c r="O432" i="10"/>
  <c r="AJ466" i="10"/>
  <c r="U326" i="10"/>
  <c r="T340" i="10"/>
  <c r="U345" i="10"/>
  <c r="AJ352" i="10"/>
  <c r="O360" i="10"/>
  <c r="O368" i="10"/>
  <c r="AJ367" i="10"/>
  <c r="U372" i="10"/>
  <c r="T372" i="10"/>
  <c r="S372" i="10"/>
  <c r="AG372" i="10" s="1"/>
  <c r="R372" i="10"/>
  <c r="O390" i="10"/>
  <c r="AJ403" i="10"/>
  <c r="AI403" i="10"/>
  <c r="S409" i="10"/>
  <c r="AG409" i="10" s="1"/>
  <c r="O425" i="10"/>
  <c r="AK466" i="10" a="1"/>
  <c r="AK466" i="10" s="1"/>
  <c r="U496" i="10"/>
  <c r="T496" i="10"/>
  <c r="S496" i="10"/>
  <c r="AG496" i="10" s="1"/>
  <c r="R496" i="10"/>
  <c r="Z496" i="10"/>
  <c r="AA496" i="10" s="1"/>
  <c r="O326" i="10"/>
  <c r="X330" i="10"/>
  <c r="R331" i="10"/>
  <c r="O335" i="10"/>
  <c r="O384" i="10"/>
  <c r="U356" i="10"/>
  <c r="T356" i="10"/>
  <c r="R356" i="10"/>
  <c r="T364" i="10"/>
  <c r="S364" i="10"/>
  <c r="AG364" i="10" s="1"/>
  <c r="R364" i="10"/>
  <c r="U371" i="10"/>
  <c r="T371" i="10"/>
  <c r="R371" i="10"/>
  <c r="Z371" i="10"/>
  <c r="AA371" i="10" s="1"/>
  <c r="X371" i="10"/>
  <c r="U374" i="10"/>
  <c r="T374" i="10"/>
  <c r="R374" i="10"/>
  <c r="N384" i="10"/>
  <c r="AK384" i="10" a="1"/>
  <c r="AK384" i="10" s="1"/>
  <c r="AI384" i="10"/>
  <c r="R387" i="10"/>
  <c r="Z388" i="10"/>
  <c r="AA388" i="10" s="1"/>
  <c r="R388" i="10"/>
  <c r="Z390" i="10"/>
  <c r="AA390" i="10" s="1"/>
  <c r="U390" i="10"/>
  <c r="T390" i="10"/>
  <c r="S390" i="10"/>
  <c r="AG390" i="10" s="1"/>
  <c r="R390" i="10"/>
  <c r="X411" i="10"/>
  <c r="Z418" i="10"/>
  <c r="AA418" i="10" s="1"/>
  <c r="R418" i="10"/>
  <c r="T418" i="10"/>
  <c r="S418" i="10"/>
  <c r="AG418" i="10" s="1"/>
  <c r="O493" i="10"/>
  <c r="Z340" i="10"/>
  <c r="AA340" i="10" s="1"/>
  <c r="O369" i="10"/>
  <c r="O417" i="10"/>
  <c r="O451" i="10"/>
  <c r="N452" i="10"/>
  <c r="U463" i="10"/>
  <c r="S463" i="10"/>
  <c r="AG463" i="10" s="1"/>
  <c r="R463" i="10"/>
  <c r="Z463" i="10"/>
  <c r="AA463" i="10" s="1"/>
  <c r="X463" i="10"/>
  <c r="U490" i="10"/>
  <c r="T490" i="10"/>
  <c r="S490" i="10"/>
  <c r="AG490" i="10" s="1"/>
  <c r="R490" i="10"/>
  <c r="Z490" i="10"/>
  <c r="AA490" i="10" s="1"/>
  <c r="X496" i="10"/>
  <c r="X326" i="10"/>
  <c r="T331" i="10"/>
  <c r="X356" i="10"/>
  <c r="AJ359" i="10"/>
  <c r="X364" i="10"/>
  <c r="X374" i="10"/>
  <c r="N379" i="10"/>
  <c r="N381" i="10"/>
  <c r="AK381" i="10" a="1"/>
  <c r="AK381" i="10" s="1"/>
  <c r="AI381" i="10"/>
  <c r="T387" i="10"/>
  <c r="AJ398" i="10"/>
  <c r="N402" i="10"/>
  <c r="Z409" i="10"/>
  <c r="AA409" i="10" s="1"/>
  <c r="R409" i="10"/>
  <c r="AK412" i="10" a="1"/>
  <c r="AK412" i="10" s="1"/>
  <c r="P416" i="10"/>
  <c r="Q416" i="10" s="1"/>
  <c r="R425" i="10"/>
  <c r="O434" i="10"/>
  <c r="N435" i="10"/>
  <c r="N436" i="10"/>
  <c r="N447" i="10"/>
  <c r="AJ447" i="10"/>
  <c r="AK447" i="10" a="1"/>
  <c r="AK447" i="10" s="1"/>
  <c r="AI447" i="10"/>
  <c r="O447" i="10"/>
  <c r="O350" i="10"/>
  <c r="Z350" i="10"/>
  <c r="AA350" i="10" s="1"/>
  <c r="R357" i="10"/>
  <c r="AI360" i="10"/>
  <c r="Z372" i="10"/>
  <c r="AA372" i="10" s="1"/>
  <c r="O379" i="10"/>
  <c r="N382" i="10"/>
  <c r="AK398" i="10" a="1"/>
  <c r="AK398" i="10" s="1"/>
  <c r="O407" i="10"/>
  <c r="AI416" i="10"/>
  <c r="N416" i="10"/>
  <c r="AK416" i="10" a="1"/>
  <c r="AK416" i="10" s="1"/>
  <c r="AJ416" i="10"/>
  <c r="N432" i="10"/>
  <c r="Z437" i="10"/>
  <c r="AA437" i="10" s="1"/>
  <c r="X437" i="10"/>
  <c r="T437" i="10"/>
  <c r="N441" i="10"/>
  <c r="N446" i="10"/>
  <c r="N489" i="10"/>
  <c r="AJ489" i="10"/>
  <c r="AI489" i="10"/>
  <c r="AK489" i="10" a="1"/>
  <c r="AK489" i="10" s="1"/>
  <c r="X490" i="10"/>
  <c r="Z331" i="10"/>
  <c r="AA331" i="10" s="1"/>
  <c r="X331" i="10"/>
  <c r="P353" i="10"/>
  <c r="Q353" i="10" s="1"/>
  <c r="AJ360" i="10"/>
  <c r="P368" i="10"/>
  <c r="Q368" i="10" s="1"/>
  <c r="R378" i="10"/>
  <c r="O382" i="10"/>
  <c r="S385" i="10"/>
  <c r="AG385" i="10" s="1"/>
  <c r="Z387" i="10"/>
  <c r="AA387" i="10" s="1"/>
  <c r="X387" i="10"/>
  <c r="N403" i="10"/>
  <c r="O408" i="10"/>
  <c r="T425" i="10"/>
  <c r="X425" i="10"/>
  <c r="U425" i="10"/>
  <c r="AK430" i="10" a="1"/>
  <c r="AK430" i="10" s="1"/>
  <c r="AJ430" i="10"/>
  <c r="AI430" i="10"/>
  <c r="N431" i="10"/>
  <c r="N434" i="10"/>
  <c r="O433" i="10"/>
  <c r="U448" i="10"/>
  <c r="S448" i="10"/>
  <c r="AG448" i="10" s="1"/>
  <c r="R448" i="10"/>
  <c r="Z448" i="10"/>
  <c r="AA448" i="10" s="1"/>
  <c r="X448" i="10"/>
  <c r="O486" i="10"/>
  <c r="O485" i="10"/>
  <c r="N496" i="10"/>
  <c r="AJ496" i="10"/>
  <c r="AI496" i="10"/>
  <c r="N497" i="10"/>
  <c r="N396" i="10"/>
  <c r="N405" i="10"/>
  <c r="O414" i="10"/>
  <c r="N444" i="10"/>
  <c r="AK444" i="10" a="1"/>
  <c r="AK444" i="10" s="1"/>
  <c r="AJ444" i="10"/>
  <c r="AI444" i="10"/>
  <c r="P502" i="10"/>
  <c r="Q502" i="10" s="1"/>
  <c r="O490" i="10"/>
  <c r="O483" i="10"/>
  <c r="O375" i="10"/>
  <c r="N399" i="10"/>
  <c r="AK400" i="10" a="1"/>
  <c r="AK400" i="10" s="1"/>
  <c r="N408" i="10"/>
  <c r="AK409" i="10" a="1"/>
  <c r="AK409" i="10" s="1"/>
  <c r="AI419" i="10"/>
  <c r="AJ419" i="10"/>
  <c r="O445" i="10"/>
  <c r="O443" i="10"/>
  <c r="N451" i="10"/>
  <c r="O481" i="10"/>
  <c r="N482" i="10"/>
  <c r="O489" i="10"/>
  <c r="O420" i="10"/>
  <c r="N420" i="10"/>
  <c r="AK420" i="10" a="1"/>
  <c r="AK420" i="10" s="1"/>
  <c r="AJ420" i="10"/>
  <c r="U442" i="10"/>
  <c r="S442" i="10"/>
  <c r="AG442" i="10" s="1"/>
  <c r="R442" i="10"/>
  <c r="O480" i="10"/>
  <c r="O496" i="10"/>
  <c r="U359" i="10"/>
  <c r="T359" i="10"/>
  <c r="AI379" i="10"/>
  <c r="Z382" i="10"/>
  <c r="AA382" i="10" s="1"/>
  <c r="R382" i="10"/>
  <c r="AJ422" i="10"/>
  <c r="AI422" i="10"/>
  <c r="N422" i="10"/>
  <c r="N450" i="10"/>
  <c r="O450" i="10"/>
  <c r="N462" i="10"/>
  <c r="AK462" i="10" a="1"/>
  <c r="AK462" i="10" s="1"/>
  <c r="AI462" i="10"/>
  <c r="N463" i="10"/>
  <c r="AK463" i="10" a="1"/>
  <c r="AK463" i="10" s="1"/>
  <c r="AI463" i="10"/>
  <c r="AK496" i="10" a="1"/>
  <c r="AK496" i="10" s="1"/>
  <c r="AK357" i="10" a="1"/>
  <c r="AK357" i="10" s="1"/>
  <c r="AI357" i="10"/>
  <c r="AK369" i="10" a="1"/>
  <c r="AK369" i="10" s="1"/>
  <c r="AI369" i="10"/>
  <c r="AJ379" i="10"/>
  <c r="Z397" i="10"/>
  <c r="AA397" i="10" s="1"/>
  <c r="R397" i="10"/>
  <c r="O402" i="10"/>
  <c r="Z406" i="10"/>
  <c r="AA406" i="10" s="1"/>
  <c r="R406" i="10"/>
  <c r="O411" i="10"/>
  <c r="Z415" i="10"/>
  <c r="AA415" i="10" s="1"/>
  <c r="R415" i="10"/>
  <c r="O424" i="10"/>
  <c r="N424" i="10"/>
  <c r="X442" i="10"/>
  <c r="N484" i="10"/>
  <c r="AK484" i="10" a="1"/>
  <c r="AK484" i="10" s="1"/>
  <c r="AJ484" i="10"/>
  <c r="AI484" i="10"/>
  <c r="N499" i="10"/>
  <c r="AK499" i="10" a="1"/>
  <c r="AK499" i="10" s="1"/>
  <c r="AJ499" i="10"/>
  <c r="AI499" i="10"/>
  <c r="X355" i="10"/>
  <c r="X359" i="10"/>
  <c r="X367" i="10"/>
  <c r="X376" i="10"/>
  <c r="X382" i="10"/>
  <c r="O387" i="10"/>
  <c r="X396" i="10"/>
  <c r="X405" i="10"/>
  <c r="X414" i="10"/>
  <c r="N419" i="10"/>
  <c r="N421" i="10"/>
  <c r="P423" i="10"/>
  <c r="Q423" i="10" s="1"/>
  <c r="O428" i="10"/>
  <c r="O440" i="10"/>
  <c r="O381" i="10"/>
  <c r="AK386" i="10" a="1"/>
  <c r="AK386" i="10" s="1"/>
  <c r="AI394" i="10"/>
  <c r="X397" i="10"/>
  <c r="X406" i="10"/>
  <c r="X415" i="10"/>
  <c r="O423" i="10"/>
  <c r="AI423" i="10"/>
  <c r="O441" i="10"/>
  <c r="Z442" i="10"/>
  <c r="AA442" i="10" s="1"/>
  <c r="N460" i="10"/>
  <c r="AK460" i="10" a="1"/>
  <c r="AK460" i="10" s="1"/>
  <c r="AJ460" i="10"/>
  <c r="AI460" i="10"/>
  <c r="N461" i="10"/>
  <c r="O495" i="10"/>
  <c r="O494" i="10"/>
  <c r="N498" i="10"/>
  <c r="AK498" i="10" a="1"/>
  <c r="AK498" i="10" s="1"/>
  <c r="Z359" i="10"/>
  <c r="AA359" i="10" s="1"/>
  <c r="N393" i="10"/>
  <c r="AK393" i="10" a="1"/>
  <c r="AK393" i="10" s="1"/>
  <c r="AI393" i="10"/>
  <c r="N425" i="10"/>
  <c r="AK436" i="10" a="1"/>
  <c r="AK436" i="10" s="1"/>
  <c r="N438" i="10"/>
  <c r="N448" i="10"/>
  <c r="AJ448" i="10"/>
  <c r="O453" i="10"/>
  <c r="O465" i="10"/>
  <c r="O466" i="10"/>
  <c r="N467" i="10"/>
  <c r="N490" i="10"/>
  <c r="AK490" i="10" a="1"/>
  <c r="AK490" i="10" s="1"/>
  <c r="AJ490" i="10"/>
  <c r="AI490" i="10"/>
  <c r="N445" i="10"/>
  <c r="O460" i="10"/>
  <c r="P460" i="10"/>
  <c r="Q460" i="10" s="1"/>
  <c r="U478" i="10"/>
  <c r="T478" i="10"/>
  <c r="S478" i="10"/>
  <c r="AG478" i="10" s="1"/>
  <c r="R478" i="10"/>
  <c r="N486" i="10"/>
  <c r="N487" i="10"/>
  <c r="P490" i="10"/>
  <c r="Q490" i="10" s="1"/>
  <c r="U457" i="10"/>
  <c r="S457" i="10"/>
  <c r="AG457" i="10" s="1"/>
  <c r="R457" i="10"/>
  <c r="X478" i="10"/>
  <c r="U481" i="10"/>
  <c r="T481" i="10"/>
  <c r="S481" i="10"/>
  <c r="AG481" i="10" s="1"/>
  <c r="R481" i="10"/>
  <c r="N488" i="10"/>
  <c r="N492" i="10"/>
  <c r="N493" i="10"/>
  <c r="P496" i="10"/>
  <c r="Q496" i="10" s="1"/>
  <c r="P499" i="10"/>
  <c r="Q499" i="10" s="1"/>
  <c r="N502" i="10"/>
  <c r="S421" i="10"/>
  <c r="AG421" i="10" s="1"/>
  <c r="R421" i="10"/>
  <c r="AK427" i="10" a="1"/>
  <c r="AK427" i="10" s="1"/>
  <c r="U430" i="10"/>
  <c r="S430" i="10"/>
  <c r="AG430" i="10" s="1"/>
  <c r="R430" i="10"/>
  <c r="P439" i="10"/>
  <c r="Q439" i="10" s="1"/>
  <c r="U460" i="10"/>
  <c r="S460" i="10"/>
  <c r="AG460" i="10" s="1"/>
  <c r="R460" i="10"/>
  <c r="U493" i="10"/>
  <c r="T493" i="10"/>
  <c r="S493" i="10"/>
  <c r="AG493" i="10" s="1"/>
  <c r="R493" i="10"/>
  <c r="O498" i="10"/>
  <c r="O499" i="10"/>
  <c r="O502" i="10"/>
  <c r="U502" i="10"/>
  <c r="T502" i="10"/>
  <c r="S502" i="10"/>
  <c r="AG502" i="10" s="1"/>
  <c r="R502" i="10"/>
  <c r="X502" i="10"/>
  <c r="N453" i="10"/>
  <c r="O468" i="10"/>
  <c r="N468" i="10"/>
  <c r="N469" i="10"/>
  <c r="AJ424" i="10"/>
  <c r="AJ442" i="10"/>
  <c r="O454" i="10"/>
  <c r="R377" i="10"/>
  <c r="R380" i="10"/>
  <c r="R383" i="10"/>
  <c r="R386" i="10"/>
  <c r="R389" i="10"/>
  <c r="R392" i="10"/>
  <c r="R395" i="10"/>
  <c r="AI396" i="10"/>
  <c r="R398" i="10"/>
  <c r="AI399" i="10"/>
  <c r="R401" i="10"/>
  <c r="AI402" i="10"/>
  <c r="R404" i="10"/>
  <c r="AI405" i="10"/>
  <c r="R407" i="10"/>
  <c r="AI408" i="10"/>
  <c r="R410" i="10"/>
  <c r="AI411" i="10"/>
  <c r="R413" i="10"/>
  <c r="AI414" i="10"/>
  <c r="R416" i="10"/>
  <c r="AI417" i="10"/>
  <c r="R419" i="10"/>
  <c r="AK424" i="10" a="1"/>
  <c r="AK424" i="10" s="1"/>
  <c r="AI429" i="10"/>
  <c r="R432" i="10"/>
  <c r="N454" i="10"/>
  <c r="O469" i="10"/>
  <c r="N471" i="10"/>
  <c r="N472" i="10"/>
  <c r="U439" i="10"/>
  <c r="S439" i="10"/>
  <c r="AG439" i="10" s="1"/>
  <c r="R439" i="10"/>
  <c r="U451" i="10"/>
  <c r="S451" i="10"/>
  <c r="AG451" i="10" s="1"/>
  <c r="R451" i="10"/>
  <c r="U466" i="10"/>
  <c r="T466" i="10"/>
  <c r="S466" i="10"/>
  <c r="AG466" i="10" s="1"/>
  <c r="R466" i="10"/>
  <c r="N470" i="10"/>
  <c r="T377" i="10"/>
  <c r="T380" i="10"/>
  <c r="T383" i="10"/>
  <c r="T386" i="10"/>
  <c r="T389" i="10"/>
  <c r="T392" i="10"/>
  <c r="T395" i="10"/>
  <c r="AK396" i="10" a="1"/>
  <c r="AK396" i="10" s="1"/>
  <c r="T398" i="10"/>
  <c r="AK399" i="10" a="1"/>
  <c r="AK399" i="10" s="1"/>
  <c r="T401" i="10"/>
  <c r="AK402" i="10" a="1"/>
  <c r="AK402" i="10" s="1"/>
  <c r="T404" i="10"/>
  <c r="AK405" i="10" a="1"/>
  <c r="AK405" i="10" s="1"/>
  <c r="T407" i="10"/>
  <c r="AK408" i="10" a="1"/>
  <c r="AK408" i="10" s="1"/>
  <c r="T410" i="10"/>
  <c r="AK411" i="10" a="1"/>
  <c r="AK411" i="10" s="1"/>
  <c r="T413" i="10"/>
  <c r="AK414" i="10" a="1"/>
  <c r="AK414" i="10" s="1"/>
  <c r="T416" i="10"/>
  <c r="AK417" i="10" a="1"/>
  <c r="AK417" i="10" s="1"/>
  <c r="T419" i="10"/>
  <c r="R423" i="10"/>
  <c r="U427" i="10"/>
  <c r="S427" i="10"/>
  <c r="AG427" i="10" s="1"/>
  <c r="R427" i="10"/>
  <c r="T432" i="10"/>
  <c r="AI436" i="10"/>
  <c r="Z438" i="10"/>
  <c r="AA438" i="10" s="1"/>
  <c r="X438" i="10"/>
  <c r="O471" i="10"/>
  <c r="O472" i="10"/>
  <c r="O470" i="10"/>
  <c r="N474" i="10"/>
  <c r="N475" i="10"/>
  <c r="AI487" i="10"/>
  <c r="S423" i="10"/>
  <c r="AG423" i="10" s="1"/>
  <c r="U433" i="10"/>
  <c r="S433" i="10"/>
  <c r="AG433" i="10" s="1"/>
  <c r="R433" i="10"/>
  <c r="AJ436" i="10"/>
  <c r="X439" i="10"/>
  <c r="P442" i="10"/>
  <c r="Q442" i="10" s="1"/>
  <c r="AI445" i="10"/>
  <c r="X451" i="10"/>
  <c r="N456" i="10"/>
  <c r="X466" i="10"/>
  <c r="U469" i="10"/>
  <c r="T469" i="10"/>
  <c r="S469" i="10"/>
  <c r="AG469" i="10" s="1"/>
  <c r="R469" i="10"/>
  <c r="N473" i="10"/>
  <c r="P478" i="10"/>
  <c r="Q478" i="10" s="1"/>
  <c r="AJ487" i="10"/>
  <c r="AI502" i="10"/>
  <c r="N414" i="10"/>
  <c r="N417" i="10"/>
  <c r="T423" i="10"/>
  <c r="Z432" i="10"/>
  <c r="AA432" i="10" s="1"/>
  <c r="X432" i="10"/>
  <c r="N442" i="10"/>
  <c r="AJ445" i="10"/>
  <c r="O457" i="10"/>
  <c r="N455" i="10"/>
  <c r="P457" i="10"/>
  <c r="Q457" i="10" s="1"/>
  <c r="O475" i="10"/>
  <c r="O473" i="10"/>
  <c r="N477" i="10"/>
  <c r="N478" i="10"/>
  <c r="AI486" i="10"/>
  <c r="AK487" i="10" a="1"/>
  <c r="AK487" i="10" s="1"/>
  <c r="AI493" i="10"/>
  <c r="AJ502" i="10"/>
  <c r="U423" i="10"/>
  <c r="AJ425" i="10"/>
  <c r="AI425" i="10"/>
  <c r="P436" i="10"/>
  <c r="Q436" i="10" s="1"/>
  <c r="Z439" i="10"/>
  <c r="AA439" i="10" s="1"/>
  <c r="AK445" i="10" a="1"/>
  <c r="AK445" i="10" s="1"/>
  <c r="Z451" i="10"/>
  <c r="AA451" i="10" s="1"/>
  <c r="N457" i="10"/>
  <c r="Z466" i="10"/>
  <c r="AA466" i="10" s="1"/>
  <c r="U472" i="10"/>
  <c r="T472" i="10"/>
  <c r="S472" i="10"/>
  <c r="AG472" i="10" s="1"/>
  <c r="R472" i="10"/>
  <c r="N476" i="10"/>
  <c r="P481" i="10"/>
  <c r="Q481" i="10" s="1"/>
  <c r="AJ486" i="10"/>
  <c r="AJ493" i="10"/>
  <c r="AK502" i="10" a="1"/>
  <c r="AK502" i="10" s="1"/>
  <c r="U454" i="10"/>
  <c r="S454" i="10"/>
  <c r="AG454" i="10" s="1"/>
  <c r="R454" i="10"/>
  <c r="O478" i="10"/>
  <c r="O476" i="10"/>
  <c r="N480" i="10"/>
  <c r="N481" i="10"/>
  <c r="AK486" i="10" a="1"/>
  <c r="AK486" i="10" s="1"/>
  <c r="AI492" i="10"/>
  <c r="AK493" i="10" a="1"/>
  <c r="AK493" i="10" s="1"/>
  <c r="X441" i="10"/>
  <c r="X444" i="10"/>
  <c r="X447" i="10"/>
  <c r="X450" i="10"/>
  <c r="X453" i="10"/>
  <c r="X456" i="10"/>
  <c r="X459" i="10"/>
  <c r="X462" i="10"/>
  <c r="X465" i="10"/>
  <c r="X468" i="10"/>
  <c r="X471" i="10"/>
  <c r="X474" i="10"/>
  <c r="X477" i="10"/>
  <c r="X480" i="10"/>
  <c r="X483" i="10"/>
  <c r="X486" i="10"/>
  <c r="X489" i="10"/>
  <c r="X492" i="10"/>
  <c r="X495" i="10"/>
  <c r="X498" i="10"/>
  <c r="X501" i="10"/>
  <c r="AI428" i="10"/>
  <c r="AI431" i="10"/>
  <c r="AI434" i="10"/>
  <c r="AI437" i="10"/>
  <c r="AI440" i="10"/>
  <c r="AI443" i="10"/>
  <c r="AI446" i="10"/>
  <c r="AI449" i="10"/>
  <c r="AI452" i="10"/>
  <c r="AI455" i="10"/>
  <c r="AI458" i="10"/>
  <c r="AI461" i="10"/>
  <c r="AI464" i="10"/>
  <c r="AI467" i="10"/>
  <c r="AI470" i="10"/>
  <c r="AI473" i="10"/>
  <c r="AI476" i="10"/>
  <c r="AI479" i="10"/>
  <c r="AI482" i="10"/>
  <c r="AI485" i="10"/>
  <c r="AI488" i="10"/>
  <c r="AI491" i="10"/>
  <c r="AI494" i="10"/>
  <c r="AI497" i="10"/>
  <c r="AI500" i="10"/>
  <c r="AI503" i="10"/>
  <c r="AJ503" i="10"/>
  <c r="W4" i="11" l="1" a="1"/>
  <c r="W4" i="11" s="1"/>
  <c r="W3" i="11" s="1"/>
  <c r="T4" i="11" s="1"/>
  <c r="W7" i="11" a="1"/>
  <c r="W7" i="11" s="1"/>
  <c r="T1" i="11"/>
  <c r="W2" i="11"/>
  <c r="R9" i="11"/>
  <c r="T9" i="11" s="1"/>
  <c r="M3" i="11"/>
  <c r="S9" i="11"/>
  <c r="P3" i="11"/>
  <c r="T2" i="11"/>
  <c r="O3" i="11"/>
  <c r="T17" i="11"/>
  <c r="T15" i="11"/>
  <c r="K3" i="11"/>
  <c r="T10" i="11"/>
  <c r="T14" i="11"/>
  <c r="N3" i="11"/>
  <c r="AK7" i="10" a="1"/>
  <c r="AK7" i="10" s="1"/>
  <c r="W7" i="10"/>
  <c r="Y7" i="10" s="1"/>
  <c r="V7" i="10"/>
  <c r="B9" i="10"/>
  <c r="E8" i="10"/>
  <c r="P6" i="10"/>
  <c r="Q6" i="10" s="1"/>
  <c r="AF6" i="10"/>
  <c r="E84" i="10"/>
  <c r="B85" i="10"/>
  <c r="T6" i="10"/>
  <c r="U6" i="10" s="1"/>
  <c r="N117" i="10"/>
  <c r="AJ117" i="10"/>
  <c r="AI117" i="10"/>
  <c r="I117" i="10" s="1"/>
  <c r="A305" i="10"/>
  <c r="A306" i="10" s="1"/>
  <c r="A307" i="10" s="1"/>
  <c r="A308" i="10" s="1"/>
  <c r="A309" i="10" s="1"/>
  <c r="A310" i="10" s="1"/>
  <c r="A311" i="10" s="1"/>
  <c r="A312" i="10" s="1"/>
  <c r="A313" i="10" s="1"/>
  <c r="A314" i="10" s="1"/>
  <c r="A315" i="10" s="1"/>
  <c r="A316" i="10" s="1"/>
  <c r="A317" i="10" s="1"/>
  <c r="A318" i="10" s="1"/>
  <c r="A319" i="10" s="1"/>
  <c r="A320" i="10" s="1"/>
  <c r="A321" i="10" s="1"/>
  <c r="A322" i="10" s="1"/>
  <c r="A323" i="10" s="1"/>
  <c r="A324" i="10" s="1"/>
  <c r="A325" i="10" s="1"/>
  <c r="A326" i="10" s="1"/>
  <c r="A327" i="10" s="1"/>
  <c r="A328" i="10" s="1"/>
  <c r="A329" i="10" s="1"/>
  <c r="A330" i="10" s="1"/>
  <c r="A331" i="10" s="1"/>
  <c r="A332" i="10" s="1"/>
  <c r="A333" i="10" s="1"/>
  <c r="A334" i="10" s="1"/>
  <c r="A335" i="10" s="1"/>
  <c r="A336" i="10" s="1"/>
  <c r="A337" i="10" s="1"/>
  <c r="A338" i="10" s="1"/>
  <c r="A339" i="10" s="1"/>
  <c r="A344" i="10"/>
  <c r="A345" i="10" s="1"/>
  <c r="A346" i="10" s="1"/>
  <c r="A347" i="10" s="1"/>
  <c r="A348" i="10" s="1"/>
  <c r="A349" i="10" s="1"/>
  <c r="A350" i="10" s="1"/>
  <c r="A351" i="10" s="1"/>
  <c r="A352" i="10" s="1"/>
  <c r="A353" i="10" s="1"/>
  <c r="A354" i="10" s="1"/>
  <c r="A355" i="10" s="1"/>
  <c r="A356" i="10" s="1"/>
  <c r="A357" i="10" s="1"/>
  <c r="A358" i="10" s="1"/>
  <c r="A359" i="10" s="1"/>
  <c r="A360" i="10" s="1"/>
  <c r="A361" i="10" s="1"/>
  <c r="A362" i="10" s="1"/>
  <c r="A363" i="10" s="1"/>
  <c r="A364" i="10" s="1"/>
  <c r="A365" i="10" s="1"/>
  <c r="A366" i="10" s="1"/>
  <c r="A367" i="10" s="1"/>
  <c r="A368" i="10" s="1"/>
  <c r="A369" i="10" s="1"/>
  <c r="A370" i="10" s="1"/>
  <c r="A371" i="10" s="1"/>
  <c r="A372" i="10" s="1"/>
  <c r="A373" i="10" s="1"/>
  <c r="A374" i="10" s="1"/>
  <c r="A375" i="10" s="1"/>
  <c r="A376" i="10" s="1"/>
  <c r="A377" i="10" s="1"/>
  <c r="A378" i="10" s="1"/>
  <c r="A379" i="10" s="1"/>
  <c r="A380" i="10" s="1"/>
  <c r="A381" i="10" s="1"/>
  <c r="A382" i="10" s="1"/>
  <c r="B119" i="10"/>
  <c r="E118" i="10"/>
  <c r="W82" i="10"/>
  <c r="Y82" i="10" s="1"/>
  <c r="V82" i="10"/>
  <c r="N83" i="10"/>
  <c r="AJ83" i="10"/>
  <c r="AI83" i="10"/>
  <c r="I83" i="10" s="1"/>
  <c r="AJ80" i="10"/>
  <c r="AI80" i="10"/>
  <c r="I80" i="10" s="1"/>
  <c r="N81" i="10"/>
  <c r="AI81" i="10"/>
  <c r="I81" i="10" s="1"/>
  <c r="N80" i="10"/>
  <c r="X7" i="11" l="1" a="1"/>
  <c r="X7" i="11" s="1"/>
  <c r="U5" i="11" a="1"/>
  <c r="U5" i="11" s="1"/>
  <c r="T3" i="11" s="1"/>
  <c r="W117" i="10"/>
  <c r="Y117" i="10" s="1"/>
  <c r="V117" i="10"/>
  <c r="B86" i="10"/>
  <c r="E85" i="10"/>
  <c r="X82" i="10"/>
  <c r="P82" i="10" s="1"/>
  <c r="Q82" i="10" s="1"/>
  <c r="Z82" i="10"/>
  <c r="AA82" i="10" s="1"/>
  <c r="S82" i="10"/>
  <c r="AG82" i="10" s="1"/>
  <c r="N118" i="10"/>
  <c r="AJ118" i="10"/>
  <c r="AI118" i="10"/>
  <c r="I118" i="10" s="1"/>
  <c r="O118" i="10"/>
  <c r="W80" i="10"/>
  <c r="Y80" i="10" s="1"/>
  <c r="V80" i="10"/>
  <c r="AF81" i="10"/>
  <c r="B10" i="10"/>
  <c r="E9" i="10"/>
  <c r="W81" i="10"/>
  <c r="Y81" i="10" s="1"/>
  <c r="V81" i="10"/>
  <c r="AF80" i="10"/>
  <c r="X7" i="10"/>
  <c r="P7" i="10" s="1"/>
  <c r="Q7" i="10" s="1"/>
  <c r="Z7" i="10"/>
  <c r="AA7" i="10" s="1"/>
  <c r="S7" i="10"/>
  <c r="AG7" i="10" s="1"/>
  <c r="U7" i="10" s="1"/>
  <c r="R7" i="10"/>
  <c r="AF83" i="10"/>
  <c r="N84" i="10"/>
  <c r="AJ84" i="10"/>
  <c r="AI84" i="10"/>
  <c r="I84" i="10" s="1"/>
  <c r="O84" i="10"/>
  <c r="O8" i="10"/>
  <c r="N8" i="10"/>
  <c r="AJ8" i="10"/>
  <c r="AI8" i="10"/>
  <c r="E119" i="10"/>
  <c r="B120" i="10"/>
  <c r="AF117" i="10"/>
  <c r="W83" i="10"/>
  <c r="Y83" i="10" s="1"/>
  <c r="V83" i="10"/>
  <c r="AJ9" i="10" l="1"/>
  <c r="O9" i="10"/>
  <c r="N9" i="10"/>
  <c r="AI9" i="10"/>
  <c r="I9" i="10" s="1"/>
  <c r="N119" i="10"/>
  <c r="AI119" i="10"/>
  <c r="I119" i="10" s="1"/>
  <c r="AJ119" i="10"/>
  <c r="O119" i="10"/>
  <c r="I8" i="10"/>
  <c r="H8" i="10"/>
  <c r="AF84" i="10"/>
  <c r="AJ85" i="10"/>
  <c r="AI85" i="10"/>
  <c r="I85" i="10" s="1"/>
  <c r="N85" i="10"/>
  <c r="O85" i="10"/>
  <c r="S81" i="10"/>
  <c r="AG81" i="10" s="1"/>
  <c r="Z81" i="10"/>
  <c r="AA81" i="10" s="1"/>
  <c r="X81" i="10"/>
  <c r="P81" i="10" s="1"/>
  <c r="Q81" i="10" s="1"/>
  <c r="B11" i="10"/>
  <c r="E10" i="10"/>
  <c r="AF118" i="10"/>
  <c r="B87" i="10"/>
  <c r="E86" i="10"/>
  <c r="B121" i="10"/>
  <c r="E120" i="10"/>
  <c r="X80" i="10"/>
  <c r="P80" i="10" s="1"/>
  <c r="Q80" i="10" s="1"/>
  <c r="S80" i="10"/>
  <c r="AG80" i="10" s="1"/>
  <c r="Z80" i="10"/>
  <c r="AA80" i="10" s="1"/>
  <c r="V84" i="10"/>
  <c r="W84" i="10"/>
  <c r="Y84" i="10" s="1"/>
  <c r="S117" i="10"/>
  <c r="AG117" i="10" s="1"/>
  <c r="Z117" i="10"/>
  <c r="AA117" i="10" s="1"/>
  <c r="X117" i="10"/>
  <c r="P117" i="10" s="1"/>
  <c r="Q117" i="10" s="1"/>
  <c r="V8" i="10"/>
  <c r="W8" i="10"/>
  <c r="Y8" i="10" s="1"/>
  <c r="W118" i="10"/>
  <c r="Y118" i="10" s="1"/>
  <c r="Z83" i="10"/>
  <c r="AA83" i="10" s="1"/>
  <c r="X83" i="10"/>
  <c r="P83" i="10" s="1"/>
  <c r="Q83" i="10" s="1"/>
  <c r="S83" i="10"/>
  <c r="AG83" i="10" s="1"/>
  <c r="W85" i="10" l="1"/>
  <c r="Y85" i="10" s="1"/>
  <c r="V85" i="10"/>
  <c r="W119" i="10"/>
  <c r="Y119" i="10" s="1"/>
  <c r="V119" i="10"/>
  <c r="AF9" i="10"/>
  <c r="Z84" i="10"/>
  <c r="AA84" i="10" s="1"/>
  <c r="S84" i="10"/>
  <c r="AG84" i="10" s="1"/>
  <c r="X84" i="10"/>
  <c r="P84" i="10" s="1"/>
  <c r="Q84" i="10" s="1"/>
  <c r="H9" i="10"/>
  <c r="AK8" i="10" a="1"/>
  <c r="AK8" i="10" s="1"/>
  <c r="W9" i="10"/>
  <c r="Y9" i="10" s="1"/>
  <c r="V9" i="10"/>
  <c r="N10" i="10"/>
  <c r="AJ10" i="10"/>
  <c r="AI10" i="10"/>
  <c r="I10" i="10" s="1"/>
  <c r="O10" i="10"/>
  <c r="AF85" i="10"/>
  <c r="N120" i="10"/>
  <c r="AJ120" i="10"/>
  <c r="AI120" i="10"/>
  <c r="I120" i="10" s="1"/>
  <c r="O120" i="10"/>
  <c r="AF119" i="10"/>
  <c r="E87" i="10"/>
  <c r="B88" i="10"/>
  <c r="E11" i="10"/>
  <c r="B12" i="10"/>
  <c r="B122" i="10"/>
  <c r="E121" i="10"/>
  <c r="AJ86" i="10"/>
  <c r="AI86" i="10"/>
  <c r="I86" i="10" s="1"/>
  <c r="N86" i="10"/>
  <c r="O86" i="10"/>
  <c r="AF8" i="10"/>
  <c r="P8" i="10"/>
  <c r="Q8" i="10" s="1"/>
  <c r="S8" i="10"/>
  <c r="AG8" i="10" s="1"/>
  <c r="R8" i="10"/>
  <c r="X8" i="10"/>
  <c r="Z8" i="10"/>
  <c r="AA8" i="10" s="1"/>
  <c r="X9" i="10" l="1"/>
  <c r="P9" i="10" s="1"/>
  <c r="Q9" i="10" s="1"/>
  <c r="S9" i="10"/>
  <c r="AG9" i="10" s="1"/>
  <c r="Z9" i="10"/>
  <c r="AA9" i="10" s="1"/>
  <c r="R9" i="10"/>
  <c r="X85" i="10"/>
  <c r="P85" i="10" s="1"/>
  <c r="Q85" i="10" s="1"/>
  <c r="Z85" i="10"/>
  <c r="AA85" i="10" s="1"/>
  <c r="S85" i="10"/>
  <c r="AG85" i="10" s="1"/>
  <c r="W86" i="10"/>
  <c r="Y86" i="10" s="1"/>
  <c r="V86" i="10"/>
  <c r="H10" i="10"/>
  <c r="AK9" i="10" a="1"/>
  <c r="AK9" i="10" s="1"/>
  <c r="B123" i="10"/>
  <c r="E122" i="10"/>
  <c r="Z119" i="10"/>
  <c r="AA119" i="10" s="1"/>
  <c r="X119" i="10"/>
  <c r="P119" i="10" s="1"/>
  <c r="Q119" i="10" s="1"/>
  <c r="S119" i="10"/>
  <c r="AG119" i="10" s="1"/>
  <c r="W120" i="10"/>
  <c r="Y120" i="10" s="1"/>
  <c r="AF10" i="10"/>
  <c r="AF86" i="10"/>
  <c r="N121" i="10"/>
  <c r="AJ121" i="10"/>
  <c r="AI121" i="10"/>
  <c r="I121" i="10" s="1"/>
  <c r="O121" i="10"/>
  <c r="B13" i="10"/>
  <c r="E12" i="10"/>
  <c r="V10" i="10"/>
  <c r="W10" i="10"/>
  <c r="Y10" i="10" s="1"/>
  <c r="AI11" i="10"/>
  <c r="I11" i="10" s="1"/>
  <c r="O11" i="10"/>
  <c r="AJ11" i="10"/>
  <c r="N11" i="10"/>
  <c r="AJ87" i="10"/>
  <c r="AI87" i="10"/>
  <c r="I87" i="10" s="1"/>
  <c r="O87" i="10"/>
  <c r="N87" i="10"/>
  <c r="AF120" i="10"/>
  <c r="T8" i="10"/>
  <c r="U8" i="10" s="1"/>
  <c r="B89" i="10"/>
  <c r="E88" i="10"/>
  <c r="AJ88" i="10" l="1"/>
  <c r="AI88" i="10"/>
  <c r="I88" i="10" s="1"/>
  <c r="N88" i="10"/>
  <c r="O88" i="10"/>
  <c r="B90" i="10"/>
  <c r="E89" i="10"/>
  <c r="U9" i="10"/>
  <c r="AJ122" i="10"/>
  <c r="AI122" i="10"/>
  <c r="I122" i="10" s="1"/>
  <c r="N122" i="10"/>
  <c r="O122" i="10"/>
  <c r="H11" i="10"/>
  <c r="AK10" i="10" a="1"/>
  <c r="AK10" i="10" s="1"/>
  <c r="W121" i="10"/>
  <c r="Y121" i="10" s="1"/>
  <c r="V11" i="10"/>
  <c r="W11" i="10"/>
  <c r="Y11" i="10" s="1"/>
  <c r="N12" i="10"/>
  <c r="AI12" i="10"/>
  <c r="I12" i="10" s="1"/>
  <c r="AJ12" i="10"/>
  <c r="O12" i="10"/>
  <c r="B124" i="10"/>
  <c r="E123" i="10"/>
  <c r="AF121" i="10"/>
  <c r="S10" i="10"/>
  <c r="AG10" i="10" s="1"/>
  <c r="R10" i="10"/>
  <c r="Z10" i="10"/>
  <c r="AA10" i="10" s="1"/>
  <c r="X10" i="10"/>
  <c r="P10" i="10" s="1"/>
  <c r="Q10" i="10" s="1"/>
  <c r="W87" i="10"/>
  <c r="Y87" i="10" s="1"/>
  <c r="V87" i="10"/>
  <c r="X86" i="10"/>
  <c r="P86" i="10" s="1"/>
  <c r="Q86" i="10" s="1"/>
  <c r="S86" i="10"/>
  <c r="AG86" i="10" s="1"/>
  <c r="Z86" i="10"/>
  <c r="AA86" i="10" s="1"/>
  <c r="B14" i="10"/>
  <c r="E13" i="10"/>
  <c r="AF11" i="10"/>
  <c r="AF87" i="10"/>
  <c r="AJ13" i="10" l="1"/>
  <c r="N13" i="10"/>
  <c r="AI13" i="10"/>
  <c r="I13" i="10" s="1"/>
  <c r="O13" i="10"/>
  <c r="V12" i="10"/>
  <c r="W12" i="10"/>
  <c r="Y12" i="10" s="1"/>
  <c r="AF12" i="10"/>
  <c r="X87" i="10"/>
  <c r="P87" i="10" s="1"/>
  <c r="Q87" i="10" s="1"/>
  <c r="S87" i="10"/>
  <c r="AG87" i="10" s="1"/>
  <c r="Z87" i="10"/>
  <c r="AA87" i="10" s="1"/>
  <c r="W122" i="10"/>
  <c r="Y122" i="10" s="1"/>
  <c r="V122" i="10"/>
  <c r="Z11" i="10"/>
  <c r="AA11" i="10" s="1"/>
  <c r="S11" i="10"/>
  <c r="AG11" i="10" s="1"/>
  <c r="R11" i="10"/>
  <c r="X11" i="10"/>
  <c r="P11" i="10" s="1"/>
  <c r="Q11" i="10" s="1"/>
  <c r="W88" i="10"/>
  <c r="Y88" i="10" s="1"/>
  <c r="V88" i="10"/>
  <c r="B125" i="10"/>
  <c r="E124" i="10"/>
  <c r="H12" i="10"/>
  <c r="AK11" i="10" a="1"/>
  <c r="AK11" i="10" s="1"/>
  <c r="AJ89" i="10"/>
  <c r="AI89" i="10"/>
  <c r="I89" i="10" s="1"/>
  <c r="N89" i="10"/>
  <c r="O89" i="10"/>
  <c r="T10" i="10"/>
  <c r="U10" i="10" s="1"/>
  <c r="E90" i="10"/>
  <c r="B91" i="10"/>
  <c r="B15" i="10"/>
  <c r="E14" i="10"/>
  <c r="AF122" i="10"/>
  <c r="AF88" i="10"/>
  <c r="N123" i="10"/>
  <c r="AI123" i="10"/>
  <c r="I123" i="10" s="1"/>
  <c r="AJ123" i="10"/>
  <c r="O123" i="10"/>
  <c r="T11" i="10" l="1"/>
  <c r="U11" i="10" s="1"/>
  <c r="N14" i="10"/>
  <c r="AI14" i="10"/>
  <c r="I14" i="10" s="1"/>
  <c r="AJ14" i="10"/>
  <c r="O14" i="10"/>
  <c r="B92" i="10"/>
  <c r="E91" i="10"/>
  <c r="AJ90" i="10"/>
  <c r="AI90" i="10"/>
  <c r="I90" i="10" s="1"/>
  <c r="N90" i="10"/>
  <c r="O90" i="10"/>
  <c r="Z12" i="10"/>
  <c r="AA12" i="10" s="1"/>
  <c r="S12" i="10"/>
  <c r="AG12" i="10" s="1"/>
  <c r="R12" i="10"/>
  <c r="X12" i="10"/>
  <c r="P12" i="10" s="1"/>
  <c r="Q12" i="10" s="1"/>
  <c r="AF123" i="10"/>
  <c r="B16" i="10"/>
  <c r="E15" i="10"/>
  <c r="H13" i="10"/>
  <c r="AK12" i="10" a="1"/>
  <c r="AK12" i="10" s="1"/>
  <c r="V89" i="10"/>
  <c r="W89" i="10"/>
  <c r="Y89" i="10" s="1"/>
  <c r="W123" i="10"/>
  <c r="Y123" i="10" s="1"/>
  <c r="AF89" i="10"/>
  <c r="W13" i="10"/>
  <c r="Y13" i="10" s="1"/>
  <c r="V13" i="10"/>
  <c r="Z122" i="10"/>
  <c r="AA122" i="10" s="1"/>
  <c r="X122" i="10"/>
  <c r="P122" i="10" s="1"/>
  <c r="Q122" i="10" s="1"/>
  <c r="S122" i="10"/>
  <c r="AG122" i="10" s="1"/>
  <c r="AF13" i="10"/>
  <c r="N124" i="10"/>
  <c r="AJ124" i="10"/>
  <c r="AI124" i="10"/>
  <c r="I124" i="10" s="1"/>
  <c r="O124" i="10"/>
  <c r="E125" i="10"/>
  <c r="B126" i="10"/>
  <c r="X88" i="10"/>
  <c r="P88" i="10" s="1"/>
  <c r="Q88" i="10" s="1"/>
  <c r="Z88" i="10"/>
  <c r="AA88" i="10" s="1"/>
  <c r="S88" i="10"/>
  <c r="AG88" i="10" s="1"/>
  <c r="AF124" i="10" l="1"/>
  <c r="X13" i="10"/>
  <c r="P13" i="10" s="1"/>
  <c r="Q13" i="10" s="1"/>
  <c r="S13" i="10"/>
  <c r="AG13" i="10" s="1"/>
  <c r="R13" i="10"/>
  <c r="Z13" i="10"/>
  <c r="AA13" i="10" s="1"/>
  <c r="B93" i="10"/>
  <c r="E92" i="10"/>
  <c r="W90" i="10"/>
  <c r="Y90" i="10" s="1"/>
  <c r="V90" i="10"/>
  <c r="S89" i="10"/>
  <c r="AG89" i="10" s="1"/>
  <c r="Z89" i="10"/>
  <c r="AA89" i="10" s="1"/>
  <c r="X89" i="10"/>
  <c r="P89" i="10" s="1"/>
  <c r="Q89" i="10" s="1"/>
  <c r="W124" i="10"/>
  <c r="Y124" i="10" s="1"/>
  <c r="AF14" i="10"/>
  <c r="T12" i="10"/>
  <c r="U12" i="10" s="1"/>
  <c r="AJ91" i="10"/>
  <c r="AI91" i="10"/>
  <c r="I91" i="10" s="1"/>
  <c r="N91" i="10"/>
  <c r="O91" i="10"/>
  <c r="W14" i="10"/>
  <c r="Y14" i="10" s="1"/>
  <c r="V14" i="10"/>
  <c r="H14" i="10"/>
  <c r="AK13" i="10" a="1"/>
  <c r="AK13" i="10" s="1"/>
  <c r="E16" i="10"/>
  <c r="B17" i="10"/>
  <c r="AF90" i="10"/>
  <c r="E126" i="10"/>
  <c r="B127" i="10"/>
  <c r="AJ125" i="10"/>
  <c r="AI125" i="10"/>
  <c r="I125" i="10" s="1"/>
  <c r="N125" i="10"/>
  <c r="O125" i="10"/>
  <c r="N15" i="10"/>
  <c r="AI15" i="10"/>
  <c r="I15" i="10" s="1"/>
  <c r="AJ15" i="10"/>
  <c r="O15" i="10"/>
  <c r="B128" i="10" l="1"/>
  <c r="E127" i="10"/>
  <c r="H15" i="10"/>
  <c r="AK14" i="10" a="1"/>
  <c r="AK14" i="10" s="1"/>
  <c r="W15" i="10"/>
  <c r="Y15" i="10" s="1"/>
  <c r="V15" i="10"/>
  <c r="W91" i="10"/>
  <c r="Y91" i="10" s="1"/>
  <c r="V91" i="10"/>
  <c r="AF15" i="10"/>
  <c r="AJ126" i="10"/>
  <c r="O126" i="10"/>
  <c r="AI126" i="10"/>
  <c r="I126" i="10" s="1"/>
  <c r="N126" i="10"/>
  <c r="B18" i="10"/>
  <c r="E17" i="10"/>
  <c r="AF125" i="10"/>
  <c r="E93" i="10"/>
  <c r="B94" i="10"/>
  <c r="T13" i="10"/>
  <c r="U13" i="10" s="1"/>
  <c r="AF91" i="10"/>
  <c r="W125" i="10"/>
  <c r="Y125" i="10" s="1"/>
  <c r="V125" i="10"/>
  <c r="S90" i="10"/>
  <c r="AG90" i="10" s="1"/>
  <c r="X90" i="10"/>
  <c r="P90" i="10" s="1"/>
  <c r="Q90" i="10" s="1"/>
  <c r="Z90" i="10"/>
  <c r="AA90" i="10" s="1"/>
  <c r="AI92" i="10"/>
  <c r="I92" i="10" s="1"/>
  <c r="N92" i="10"/>
  <c r="AJ92" i="10"/>
  <c r="O92" i="10"/>
  <c r="N16" i="10"/>
  <c r="AI16" i="10"/>
  <c r="I16" i="10" s="1"/>
  <c r="AJ16" i="10"/>
  <c r="O16" i="10"/>
  <c r="Z14" i="10"/>
  <c r="AA14" i="10" s="1"/>
  <c r="S14" i="10"/>
  <c r="AG14" i="10" s="1"/>
  <c r="R14" i="10"/>
  <c r="X14" i="10"/>
  <c r="P14" i="10" s="1"/>
  <c r="Q14" i="10" s="1"/>
  <c r="U14" i="10" l="1"/>
  <c r="E94" i="10"/>
  <c r="B95" i="10"/>
  <c r="AJ93" i="10"/>
  <c r="AI93" i="10"/>
  <c r="I93" i="10" s="1"/>
  <c r="N93" i="10"/>
  <c r="O93" i="10"/>
  <c r="AF16" i="10"/>
  <c r="E18" i="10"/>
  <c r="B19" i="10"/>
  <c r="AJ17" i="10"/>
  <c r="AI17" i="10"/>
  <c r="I17" i="10" s="1"/>
  <c r="N17" i="10"/>
  <c r="O17" i="10"/>
  <c r="H16" i="10"/>
  <c r="AK15" i="10" a="1"/>
  <c r="AK15" i="10" s="1"/>
  <c r="W92" i="10"/>
  <c r="Y92" i="10" s="1"/>
  <c r="V92" i="10"/>
  <c r="X91" i="10"/>
  <c r="P91" i="10" s="1"/>
  <c r="Q91" i="10" s="1"/>
  <c r="Z91" i="10"/>
  <c r="AA91" i="10" s="1"/>
  <c r="S91" i="10"/>
  <c r="AG91" i="10" s="1"/>
  <c r="R15" i="10"/>
  <c r="S15" i="10"/>
  <c r="AG15" i="10" s="1"/>
  <c r="Z15" i="10"/>
  <c r="AA15" i="10" s="1"/>
  <c r="T15" i="10"/>
  <c r="X15" i="10"/>
  <c r="P15" i="10" s="1"/>
  <c r="Q15" i="10" s="1"/>
  <c r="U15" i="10"/>
  <c r="Z125" i="10"/>
  <c r="AA125" i="10" s="1"/>
  <c r="X125" i="10"/>
  <c r="P125" i="10" s="1"/>
  <c r="Q125" i="10" s="1"/>
  <c r="S125" i="10"/>
  <c r="AG125" i="10" s="1"/>
  <c r="N127" i="10"/>
  <c r="AJ127" i="10"/>
  <c r="AI127" i="10"/>
  <c r="I127" i="10" s="1"/>
  <c r="O127" i="10"/>
  <c r="W126" i="10"/>
  <c r="Y126" i="10" s="1"/>
  <c r="AF126" i="10"/>
  <c r="B129" i="10"/>
  <c r="E128" i="10"/>
  <c r="T14" i="10"/>
  <c r="V16" i="10"/>
  <c r="W16" i="10"/>
  <c r="Y16" i="10" s="1"/>
  <c r="AF92" i="10"/>
  <c r="Z92" i="10" l="1"/>
  <c r="AA92" i="10" s="1"/>
  <c r="X92" i="10"/>
  <c r="P92" i="10" s="1"/>
  <c r="Q92" i="10" s="1"/>
  <c r="S92" i="10"/>
  <c r="AG92" i="10" s="1"/>
  <c r="AF93" i="10"/>
  <c r="H17" i="10"/>
  <c r="AK16" i="10" a="1"/>
  <c r="AK16" i="10" s="1"/>
  <c r="W93" i="10"/>
  <c r="Y93" i="10" s="1"/>
  <c r="V93" i="10"/>
  <c r="W17" i="10"/>
  <c r="Y17" i="10" s="1"/>
  <c r="V17" i="10"/>
  <c r="N18" i="10"/>
  <c r="AJ18" i="10"/>
  <c r="AI18" i="10"/>
  <c r="I18" i="10" s="1"/>
  <c r="O18" i="10"/>
  <c r="Z16" i="10"/>
  <c r="AA16" i="10" s="1"/>
  <c r="X16" i="10"/>
  <c r="P16" i="10" s="1"/>
  <c r="Q16" i="10" s="1"/>
  <c r="S16" i="10"/>
  <c r="AG16" i="10" s="1"/>
  <c r="R16" i="10"/>
  <c r="W127" i="10"/>
  <c r="Y127" i="10" s="1"/>
  <c r="B20" i="10"/>
  <c r="E19" i="10"/>
  <c r="B96" i="10"/>
  <c r="E95" i="10"/>
  <c r="AF127" i="10"/>
  <c r="AI94" i="10"/>
  <c r="I94" i="10" s="1"/>
  <c r="AJ94" i="10"/>
  <c r="N94" i="10"/>
  <c r="O94" i="10"/>
  <c r="AF17" i="10"/>
  <c r="AJ128" i="10"/>
  <c r="AI128" i="10"/>
  <c r="I128" i="10" s="1"/>
  <c r="N128" i="10"/>
  <c r="O128" i="10"/>
  <c r="B130" i="10"/>
  <c r="E129" i="10"/>
  <c r="AJ129" i="10" l="1"/>
  <c r="AI129" i="10"/>
  <c r="I129" i="10" s="1"/>
  <c r="O129" i="10"/>
  <c r="N129" i="10"/>
  <c r="T16" i="10"/>
  <c r="U16" i="10" s="1"/>
  <c r="AF18" i="10"/>
  <c r="X17" i="10"/>
  <c r="P17" i="10" s="1"/>
  <c r="Q17" i="10" s="1"/>
  <c r="S17" i="10"/>
  <c r="AG17" i="10" s="1"/>
  <c r="T17" i="10" s="1"/>
  <c r="R17" i="10"/>
  <c r="Z17" i="10"/>
  <c r="AA17" i="10" s="1"/>
  <c r="B131" i="10"/>
  <c r="E130" i="10"/>
  <c r="AF128" i="10"/>
  <c r="AI19" i="10"/>
  <c r="I19" i="10" s="1"/>
  <c r="AJ19" i="10"/>
  <c r="N19" i="10"/>
  <c r="O19" i="10"/>
  <c r="B21" i="10"/>
  <c r="E20" i="10"/>
  <c r="W128" i="10"/>
  <c r="Y128" i="10" s="1"/>
  <c r="V128" i="10"/>
  <c r="AF94" i="10"/>
  <c r="H18" i="10"/>
  <c r="AK17" i="10" a="1"/>
  <c r="AK17" i="10" s="1"/>
  <c r="AJ95" i="10"/>
  <c r="AI95" i="10"/>
  <c r="I95" i="10" s="1"/>
  <c r="N95" i="10"/>
  <c r="O95" i="10"/>
  <c r="W94" i="10"/>
  <c r="Y94" i="10" s="1"/>
  <c r="V94" i="10"/>
  <c r="E96" i="10"/>
  <c r="B97" i="10"/>
  <c r="W18" i="10"/>
  <c r="Y18" i="10" s="1"/>
  <c r="V18" i="10"/>
  <c r="Z93" i="10"/>
  <c r="AA93" i="10" s="1"/>
  <c r="S93" i="10"/>
  <c r="AG93" i="10" s="1"/>
  <c r="X93" i="10"/>
  <c r="P93" i="10" s="1"/>
  <c r="Q93" i="10" s="1"/>
  <c r="B98" i="10" l="1"/>
  <c r="E97" i="10"/>
  <c r="N130" i="10"/>
  <c r="AJ130" i="10"/>
  <c r="AI130" i="10"/>
  <c r="I130" i="10" s="1"/>
  <c r="O130" i="10"/>
  <c r="AJ96" i="10"/>
  <c r="AI96" i="10"/>
  <c r="I96" i="10" s="1"/>
  <c r="N96" i="10"/>
  <c r="O96" i="10"/>
  <c r="V19" i="10"/>
  <c r="W19" i="10"/>
  <c r="Y19" i="10" s="1"/>
  <c r="AF19" i="10"/>
  <c r="Z18" i="10"/>
  <c r="AA18" i="10" s="1"/>
  <c r="U18" i="10"/>
  <c r="T18" i="10"/>
  <c r="R18" i="10"/>
  <c r="X18" i="10"/>
  <c r="P18" i="10" s="1"/>
  <c r="Q18" i="10" s="1"/>
  <c r="S18" i="10"/>
  <c r="AG18" i="10" s="1"/>
  <c r="E131" i="10"/>
  <c r="B132" i="10"/>
  <c r="X94" i="10"/>
  <c r="P94" i="10" s="1"/>
  <c r="Q94" i="10" s="1"/>
  <c r="Z94" i="10"/>
  <c r="AA94" i="10" s="1"/>
  <c r="S94" i="10"/>
  <c r="AG94" i="10" s="1"/>
  <c r="U17" i="10"/>
  <c r="H19" i="10"/>
  <c r="AK18" i="10" a="1"/>
  <c r="AK18" i="10" s="1"/>
  <c r="V95" i="10"/>
  <c r="W95" i="10"/>
  <c r="Y95" i="10" s="1"/>
  <c r="W129" i="10"/>
  <c r="Y129" i="10" s="1"/>
  <c r="V129" i="10"/>
  <c r="Z128" i="10"/>
  <c r="AA128" i="10" s="1"/>
  <c r="X128" i="10"/>
  <c r="P128" i="10" s="1"/>
  <c r="Q128" i="10" s="1"/>
  <c r="S128" i="10"/>
  <c r="AG128" i="10" s="1"/>
  <c r="AF129" i="10"/>
  <c r="AF95" i="10"/>
  <c r="AJ20" i="10"/>
  <c r="AI20" i="10"/>
  <c r="I20" i="10" s="1"/>
  <c r="N20" i="10"/>
  <c r="O20" i="10"/>
  <c r="B22" i="10"/>
  <c r="E21" i="10"/>
  <c r="E132" i="10" l="1"/>
  <c r="B133" i="10"/>
  <c r="AJ131" i="10"/>
  <c r="AI131" i="10"/>
  <c r="I131" i="10" s="1"/>
  <c r="N131" i="10"/>
  <c r="O131" i="10"/>
  <c r="Z19" i="10"/>
  <c r="AA19" i="10" s="1"/>
  <c r="X19" i="10"/>
  <c r="P19" i="10" s="1"/>
  <c r="Q19" i="10" s="1"/>
  <c r="S19" i="10"/>
  <c r="AG19" i="10" s="1"/>
  <c r="R19" i="10"/>
  <c r="T19" i="10"/>
  <c r="U19" i="10" s="1"/>
  <c r="S129" i="10"/>
  <c r="AG129" i="10" s="1"/>
  <c r="X129" i="10"/>
  <c r="P129" i="10" s="1"/>
  <c r="Q129" i="10" s="1"/>
  <c r="Z129" i="10"/>
  <c r="AA129" i="10" s="1"/>
  <c r="W96" i="10"/>
  <c r="Y96" i="10" s="1"/>
  <c r="V96" i="10"/>
  <c r="H20" i="10"/>
  <c r="AK19" i="10" a="1"/>
  <c r="AK19" i="10" s="1"/>
  <c r="AJ21" i="10"/>
  <c r="N21" i="10"/>
  <c r="AI21" i="10"/>
  <c r="I21" i="10" s="1"/>
  <c r="O21" i="10"/>
  <c r="AF130" i="10"/>
  <c r="E22" i="10"/>
  <c r="B23" i="10"/>
  <c r="AF96" i="10"/>
  <c r="V20" i="10"/>
  <c r="W20" i="10"/>
  <c r="Y20" i="10" s="1"/>
  <c r="W130" i="10"/>
  <c r="Y130" i="10" s="1"/>
  <c r="AF20" i="10"/>
  <c r="AI97" i="10"/>
  <c r="I97" i="10" s="1"/>
  <c r="AJ97" i="10"/>
  <c r="N97" i="10"/>
  <c r="O97" i="10"/>
  <c r="Z95" i="10"/>
  <c r="AA95" i="10" s="1"/>
  <c r="S95" i="10"/>
  <c r="AG95" i="10" s="1"/>
  <c r="X95" i="10"/>
  <c r="P95" i="10" s="1"/>
  <c r="Q95" i="10" s="1"/>
  <c r="B99" i="10"/>
  <c r="E98" i="10"/>
  <c r="W97" i="10" l="1"/>
  <c r="Y97" i="10" s="1"/>
  <c r="V97" i="10"/>
  <c r="E23" i="10"/>
  <c r="B24" i="10"/>
  <c r="AF97" i="10"/>
  <c r="W131" i="10"/>
  <c r="Y131" i="10" s="1"/>
  <c r="N22" i="10"/>
  <c r="AI22" i="10"/>
  <c r="I22" i="10" s="1"/>
  <c r="AJ22" i="10"/>
  <c r="O22" i="10"/>
  <c r="AF131" i="10"/>
  <c r="AJ98" i="10"/>
  <c r="AI98" i="10"/>
  <c r="I98" i="10" s="1"/>
  <c r="N98" i="10"/>
  <c r="O98" i="10"/>
  <c r="E99" i="10"/>
  <c r="B100" i="10"/>
  <c r="W21" i="10"/>
  <c r="Y21" i="10" s="1"/>
  <c r="V21" i="10"/>
  <c r="B134" i="10"/>
  <c r="E133" i="10"/>
  <c r="H21" i="10"/>
  <c r="AK20" i="10" a="1"/>
  <c r="AK20" i="10" s="1"/>
  <c r="Z20" i="10"/>
  <c r="AA20" i="10" s="1"/>
  <c r="S20" i="10"/>
  <c r="AG20" i="10" s="1"/>
  <c r="R20" i="10"/>
  <c r="X20" i="10"/>
  <c r="P20" i="10" s="1"/>
  <c r="Q20" i="10" s="1"/>
  <c r="O132" i="10"/>
  <c r="AI132" i="10"/>
  <c r="I132" i="10" s="1"/>
  <c r="N132" i="10"/>
  <c r="AJ132" i="10"/>
  <c r="S96" i="10"/>
  <c r="AG96" i="10" s="1"/>
  <c r="X96" i="10"/>
  <c r="P96" i="10" s="1"/>
  <c r="Q96" i="10" s="1"/>
  <c r="Z96" i="10"/>
  <c r="AA96" i="10" s="1"/>
  <c r="AF21" i="10"/>
  <c r="E100" i="10" l="1"/>
  <c r="B101" i="10"/>
  <c r="AJ99" i="10"/>
  <c r="N99" i="10"/>
  <c r="AI99" i="10"/>
  <c r="I99" i="10" s="1"/>
  <c r="O99" i="10"/>
  <c r="W98" i="10"/>
  <c r="Y98" i="10" s="1"/>
  <c r="V98" i="10"/>
  <c r="AF98" i="10"/>
  <c r="W132" i="10"/>
  <c r="Y132" i="10" s="1"/>
  <c r="AF132" i="10"/>
  <c r="T20" i="10"/>
  <c r="U20" i="10" s="1"/>
  <c r="W22" i="10"/>
  <c r="Y22" i="10" s="1"/>
  <c r="V22" i="10"/>
  <c r="E24" i="10"/>
  <c r="B25" i="10"/>
  <c r="H22" i="10"/>
  <c r="AK21" i="10" a="1"/>
  <c r="AK21" i="10" s="1"/>
  <c r="N23" i="10"/>
  <c r="AI23" i="10"/>
  <c r="I23" i="10" s="1"/>
  <c r="O23" i="10"/>
  <c r="AJ23" i="10"/>
  <c r="AF22" i="10"/>
  <c r="N133" i="10"/>
  <c r="AJ133" i="10"/>
  <c r="AI133" i="10"/>
  <c r="I133" i="10" s="1"/>
  <c r="O133" i="10"/>
  <c r="X97" i="10"/>
  <c r="P97" i="10" s="1"/>
  <c r="Q97" i="10" s="1"/>
  <c r="S97" i="10"/>
  <c r="AG97" i="10" s="1"/>
  <c r="Z97" i="10"/>
  <c r="AA97" i="10" s="1"/>
  <c r="B135" i="10"/>
  <c r="E134" i="10"/>
  <c r="X21" i="10"/>
  <c r="P21" i="10" s="1"/>
  <c r="Q21" i="10" s="1"/>
  <c r="T21" i="10"/>
  <c r="U21" i="10" s="1"/>
  <c r="Z21" i="10"/>
  <c r="AA21" i="10" s="1"/>
  <c r="S21" i="10"/>
  <c r="AG21" i="10" s="1"/>
  <c r="R21" i="10"/>
  <c r="B26" i="10" l="1"/>
  <c r="E25" i="10"/>
  <c r="AI24" i="10"/>
  <c r="I24" i="10" s="1"/>
  <c r="N24" i="10"/>
  <c r="AJ24" i="10"/>
  <c r="O24" i="10"/>
  <c r="H23" i="10"/>
  <c r="AK22" i="10" a="1"/>
  <c r="AK22" i="10" s="1"/>
  <c r="O134" i="10"/>
  <c r="N134" i="10"/>
  <c r="AJ134" i="10"/>
  <c r="AI134" i="10"/>
  <c r="I134" i="10" s="1"/>
  <c r="Z22" i="10"/>
  <c r="AA22" i="10" s="1"/>
  <c r="S22" i="10"/>
  <c r="AG22" i="10" s="1"/>
  <c r="U22" i="10" s="1"/>
  <c r="X22" i="10"/>
  <c r="P22" i="10" s="1"/>
  <c r="Q22" i="10" s="1"/>
  <c r="T22" i="10"/>
  <c r="R22" i="10"/>
  <c r="B136" i="10"/>
  <c r="E135" i="10"/>
  <c r="AF133" i="10"/>
  <c r="Z98" i="10"/>
  <c r="AA98" i="10" s="1"/>
  <c r="X98" i="10"/>
  <c r="P98" i="10" s="1"/>
  <c r="Q98" i="10" s="1"/>
  <c r="S98" i="10"/>
  <c r="AG98" i="10" s="1"/>
  <c r="W133" i="10"/>
  <c r="Y133" i="10" s="1"/>
  <c r="V133" i="10"/>
  <c r="AF99" i="10"/>
  <c r="W99" i="10"/>
  <c r="Y99" i="10" s="1"/>
  <c r="V99" i="10"/>
  <c r="B102" i="10"/>
  <c r="E101" i="10"/>
  <c r="AF23" i="10"/>
  <c r="AJ100" i="10"/>
  <c r="AI100" i="10"/>
  <c r="I100" i="10" s="1"/>
  <c r="N100" i="10"/>
  <c r="O100" i="10"/>
  <c r="V23" i="10"/>
  <c r="W23" i="10"/>
  <c r="Y23" i="10" s="1"/>
  <c r="O135" i="10" l="1"/>
  <c r="N135" i="10"/>
  <c r="AJ135" i="10"/>
  <c r="AI135" i="10"/>
  <c r="I135" i="10" s="1"/>
  <c r="B137" i="10"/>
  <c r="E136" i="10"/>
  <c r="AF100" i="10"/>
  <c r="R23" i="10"/>
  <c r="T23" i="10"/>
  <c r="S23" i="10"/>
  <c r="AG23" i="10" s="1"/>
  <c r="U23" i="10" s="1"/>
  <c r="Z23" i="10"/>
  <c r="AA23" i="10" s="1"/>
  <c r="X23" i="10"/>
  <c r="P23" i="10" s="1"/>
  <c r="Q23" i="10" s="1"/>
  <c r="N101" i="10"/>
  <c r="AI101" i="10"/>
  <c r="I101" i="10" s="1"/>
  <c r="AJ101" i="10"/>
  <c r="O101" i="10"/>
  <c r="AF134" i="10"/>
  <c r="W100" i="10"/>
  <c r="Y100" i="10" s="1"/>
  <c r="V100" i="10"/>
  <c r="X133" i="10"/>
  <c r="P133" i="10" s="1"/>
  <c r="Q133" i="10" s="1"/>
  <c r="S133" i="10"/>
  <c r="AG133" i="10" s="1"/>
  <c r="Z133" i="10"/>
  <c r="AA133" i="10" s="1"/>
  <c r="H24" i="10"/>
  <c r="AK23" i="10" a="1"/>
  <c r="AK23" i="10" s="1"/>
  <c r="V24" i="10"/>
  <c r="W24" i="10"/>
  <c r="Y24" i="10" s="1"/>
  <c r="S99" i="10"/>
  <c r="AG99" i="10" s="1"/>
  <c r="Z99" i="10"/>
  <c r="AA99" i="10" s="1"/>
  <c r="X99" i="10"/>
  <c r="P99" i="10" s="1"/>
  <c r="Q99" i="10" s="1"/>
  <c r="AF24" i="10"/>
  <c r="W134" i="10"/>
  <c r="Y134" i="10" s="1"/>
  <c r="N25" i="10"/>
  <c r="AJ25" i="10"/>
  <c r="AI25" i="10"/>
  <c r="I25" i="10" s="1"/>
  <c r="O25" i="10"/>
  <c r="E26" i="10"/>
  <c r="B27" i="10"/>
  <c r="B103" i="10"/>
  <c r="E102" i="10"/>
  <c r="V25" i="10" l="1"/>
  <c r="W25" i="10"/>
  <c r="Y25" i="10" s="1"/>
  <c r="AF101" i="10"/>
  <c r="Z24" i="10"/>
  <c r="AA24" i="10" s="1"/>
  <c r="S24" i="10"/>
  <c r="AG24" i="10" s="1"/>
  <c r="T24" i="10" s="1"/>
  <c r="R24" i="10"/>
  <c r="X24" i="10"/>
  <c r="P24" i="10" s="1"/>
  <c r="Q24" i="10" s="1"/>
  <c r="H25" i="10"/>
  <c r="AK24" i="10" a="1"/>
  <c r="AK24" i="10" s="1"/>
  <c r="N136" i="10"/>
  <c r="AJ136" i="10"/>
  <c r="AI136" i="10"/>
  <c r="I136" i="10" s="1"/>
  <c r="O136" i="10"/>
  <c r="B138" i="10"/>
  <c r="E137" i="10"/>
  <c r="W101" i="10"/>
  <c r="Y101" i="10" s="1"/>
  <c r="V101" i="10"/>
  <c r="AJ102" i="10"/>
  <c r="AI102" i="10"/>
  <c r="I102" i="10" s="1"/>
  <c r="N102" i="10"/>
  <c r="O102" i="10"/>
  <c r="AF135" i="10"/>
  <c r="B104" i="10"/>
  <c r="E103" i="10"/>
  <c r="E27" i="10"/>
  <c r="B28" i="10"/>
  <c r="W135" i="10"/>
  <c r="Y135" i="10" s="1"/>
  <c r="N26" i="10"/>
  <c r="AI26" i="10"/>
  <c r="I26" i="10" s="1"/>
  <c r="AJ26" i="10"/>
  <c r="O26" i="10"/>
  <c r="AF25" i="10"/>
  <c r="X100" i="10"/>
  <c r="P100" i="10" s="1"/>
  <c r="Q100" i="10" s="1"/>
  <c r="Z100" i="10"/>
  <c r="AA100" i="10" s="1"/>
  <c r="S100" i="10"/>
  <c r="AG100" i="10" s="1"/>
  <c r="AI137" i="10" l="1"/>
  <c r="I137" i="10" s="1"/>
  <c r="N137" i="10"/>
  <c r="AJ137" i="10"/>
  <c r="O137" i="10"/>
  <c r="V102" i="10"/>
  <c r="W102" i="10"/>
  <c r="Y102" i="10" s="1"/>
  <c r="E138" i="10"/>
  <c r="B139" i="10"/>
  <c r="AF136" i="10"/>
  <c r="W136" i="10"/>
  <c r="Y136" i="10" s="1"/>
  <c r="H26" i="10"/>
  <c r="AK25" i="10" a="1"/>
  <c r="AK25" i="10" s="1"/>
  <c r="U24" i="10"/>
  <c r="E28" i="10"/>
  <c r="B29" i="10"/>
  <c r="AF26" i="10"/>
  <c r="AI27" i="10"/>
  <c r="I27" i="10" s="1"/>
  <c r="N27" i="10"/>
  <c r="AJ27" i="10"/>
  <c r="O27" i="10"/>
  <c r="Z101" i="10"/>
  <c r="AA101" i="10" s="1"/>
  <c r="X101" i="10"/>
  <c r="P101" i="10" s="1"/>
  <c r="Q101" i="10" s="1"/>
  <c r="S101" i="10"/>
  <c r="AG101" i="10" s="1"/>
  <c r="V26" i="10"/>
  <c r="W26" i="10"/>
  <c r="Y26" i="10" s="1"/>
  <c r="AI103" i="10"/>
  <c r="I103" i="10" s="1"/>
  <c r="N103" i="10"/>
  <c r="AJ103" i="10"/>
  <c r="O103" i="10"/>
  <c r="B105" i="10"/>
  <c r="E104" i="10"/>
  <c r="AF102" i="10"/>
  <c r="Z25" i="10"/>
  <c r="AA25" i="10" s="1"/>
  <c r="R25" i="10"/>
  <c r="S25" i="10"/>
  <c r="AG25" i="10" s="1"/>
  <c r="T25" i="10" s="1"/>
  <c r="X25" i="10"/>
  <c r="P25" i="10" s="1"/>
  <c r="Q25" i="10" s="1"/>
  <c r="U25" i="10" l="1"/>
  <c r="B30" i="10"/>
  <c r="E29" i="10"/>
  <c r="AJ28" i="10"/>
  <c r="AI28" i="10"/>
  <c r="I28" i="10" s="1"/>
  <c r="N28" i="10"/>
  <c r="O28" i="10"/>
  <c r="AJ104" i="10"/>
  <c r="AI104" i="10"/>
  <c r="I104" i="10" s="1"/>
  <c r="O104" i="10"/>
  <c r="N104" i="10"/>
  <c r="E105" i="10"/>
  <c r="B106" i="10"/>
  <c r="H27" i="10"/>
  <c r="AK26" i="10" a="1"/>
  <c r="AK26" i="10" s="1"/>
  <c r="W103" i="10"/>
  <c r="Y103" i="10" s="1"/>
  <c r="V103" i="10"/>
  <c r="AF103" i="10"/>
  <c r="AF27" i="10"/>
  <c r="B140" i="10"/>
  <c r="E139" i="10"/>
  <c r="R26" i="10"/>
  <c r="Z26" i="10"/>
  <c r="AA26" i="10" s="1"/>
  <c r="S26" i="10"/>
  <c r="AG26" i="10" s="1"/>
  <c r="X26" i="10"/>
  <c r="P26" i="10" s="1"/>
  <c r="Q26" i="10" s="1"/>
  <c r="AJ138" i="10"/>
  <c r="AI138" i="10"/>
  <c r="I138" i="10" s="1"/>
  <c r="N138" i="10"/>
  <c r="O138" i="10"/>
  <c r="S102" i="10"/>
  <c r="AG102" i="10" s="1"/>
  <c r="Z102" i="10"/>
  <c r="AA102" i="10" s="1"/>
  <c r="X102" i="10"/>
  <c r="P102" i="10" s="1"/>
  <c r="Q102" i="10" s="1"/>
  <c r="V27" i="10"/>
  <c r="W27" i="10"/>
  <c r="Y27" i="10" s="1"/>
  <c r="W137" i="10"/>
  <c r="Y137" i="10" s="1"/>
  <c r="V137" i="10"/>
  <c r="AF137" i="10"/>
  <c r="U26" i="10" l="1"/>
  <c r="Z137" i="10"/>
  <c r="AA137" i="10" s="1"/>
  <c r="X137" i="10"/>
  <c r="P137" i="10" s="1"/>
  <c r="Q137" i="10" s="1"/>
  <c r="S137" i="10"/>
  <c r="AG137" i="10" s="1"/>
  <c r="Z27" i="10"/>
  <c r="AA27" i="10" s="1"/>
  <c r="S27" i="10"/>
  <c r="AG27" i="10" s="1"/>
  <c r="U27" i="10" s="1"/>
  <c r="R27" i="10"/>
  <c r="X27" i="10"/>
  <c r="P27" i="10" s="1"/>
  <c r="Q27" i="10" s="1"/>
  <c r="T27" i="10"/>
  <c r="Z103" i="10"/>
  <c r="AA103" i="10" s="1"/>
  <c r="X103" i="10"/>
  <c r="P103" i="10" s="1"/>
  <c r="Q103" i="10" s="1"/>
  <c r="S103" i="10"/>
  <c r="AG103" i="10" s="1"/>
  <c r="B107" i="10"/>
  <c r="E106" i="10"/>
  <c r="AF138" i="10"/>
  <c r="AF104" i="10"/>
  <c r="V28" i="10"/>
  <c r="W28" i="10"/>
  <c r="Y28" i="10" s="1"/>
  <c r="AF28" i="10"/>
  <c r="W138" i="10"/>
  <c r="Y138" i="10" s="1"/>
  <c r="T26" i="10"/>
  <c r="N105" i="10"/>
  <c r="AI105" i="10"/>
  <c r="I105" i="10" s="1"/>
  <c r="AJ105" i="10"/>
  <c r="O105" i="10"/>
  <c r="N29" i="10"/>
  <c r="AJ29" i="10"/>
  <c r="AI29" i="10"/>
  <c r="I29" i="10" s="1"/>
  <c r="O29" i="10"/>
  <c r="H28" i="10"/>
  <c r="AK27" i="10" a="1"/>
  <c r="AK27" i="10" s="1"/>
  <c r="V104" i="10"/>
  <c r="W104" i="10"/>
  <c r="Y104" i="10" s="1"/>
  <c r="E30" i="10"/>
  <c r="B31" i="10"/>
  <c r="N139" i="10"/>
  <c r="AJ139" i="10"/>
  <c r="AI139" i="10"/>
  <c r="I139" i="10" s="1"/>
  <c r="O139" i="10"/>
  <c r="B141" i="10"/>
  <c r="E140" i="10"/>
  <c r="E31" i="10" l="1"/>
  <c r="B32" i="10"/>
  <c r="AF29" i="10"/>
  <c r="N140" i="10"/>
  <c r="AJ140" i="10"/>
  <c r="AI140" i="10"/>
  <c r="I140" i="10" s="1"/>
  <c r="O140" i="10"/>
  <c r="Z104" i="10"/>
  <c r="AA104" i="10" s="1"/>
  <c r="X104" i="10"/>
  <c r="P104" i="10" s="1"/>
  <c r="Q104" i="10" s="1"/>
  <c r="S104" i="10"/>
  <c r="AG104" i="10" s="1"/>
  <c r="W105" i="10"/>
  <c r="Y105" i="10" s="1"/>
  <c r="V105" i="10"/>
  <c r="E141" i="10"/>
  <c r="B142" i="10"/>
  <c r="V139" i="10"/>
  <c r="W139" i="10"/>
  <c r="Y139" i="10" s="1"/>
  <c r="W29" i="10"/>
  <c r="Y29" i="10" s="1"/>
  <c r="V29" i="10"/>
  <c r="AF139" i="10"/>
  <c r="B108" i="10"/>
  <c r="E107" i="10"/>
  <c r="AJ30" i="10"/>
  <c r="AI30" i="10"/>
  <c r="I30" i="10" s="1"/>
  <c r="N30" i="10"/>
  <c r="O30" i="10"/>
  <c r="AI106" i="10"/>
  <c r="I106" i="10" s="1"/>
  <c r="N106" i="10"/>
  <c r="AJ106" i="10"/>
  <c r="O106" i="10"/>
  <c r="H29" i="10"/>
  <c r="AK28" i="10" a="1"/>
  <c r="AK28" i="10" s="1"/>
  <c r="AF105" i="10"/>
  <c r="Z28" i="10"/>
  <c r="AA28" i="10" s="1"/>
  <c r="R28" i="10"/>
  <c r="X28" i="10"/>
  <c r="P28" i="10" s="1"/>
  <c r="Q28" i="10" s="1"/>
  <c r="S28" i="10"/>
  <c r="AG28" i="10" s="1"/>
  <c r="S29" i="10" l="1"/>
  <c r="AG29" i="10" s="1"/>
  <c r="R29" i="10"/>
  <c r="Z29" i="10"/>
  <c r="AA29" i="10" s="1"/>
  <c r="X29" i="10"/>
  <c r="P29" i="10" s="1"/>
  <c r="Q29" i="10" s="1"/>
  <c r="U29" i="10"/>
  <c r="T29" i="10"/>
  <c r="B143" i="10"/>
  <c r="E142" i="10"/>
  <c r="H30" i="10"/>
  <c r="AK29" i="10" a="1"/>
  <c r="AK29" i="10" s="1"/>
  <c r="AF140" i="10"/>
  <c r="AF106" i="10"/>
  <c r="W140" i="10"/>
  <c r="Y140" i="10" s="1"/>
  <c r="V140" i="10"/>
  <c r="X139" i="10"/>
  <c r="P139" i="10" s="1"/>
  <c r="Q139" i="10" s="1"/>
  <c r="S139" i="10"/>
  <c r="AG139" i="10" s="1"/>
  <c r="Z139" i="10"/>
  <c r="AA139" i="10" s="1"/>
  <c r="W106" i="10"/>
  <c r="Y106" i="10" s="1"/>
  <c r="V106" i="10"/>
  <c r="T28" i="10"/>
  <c r="U28" i="10" s="1"/>
  <c r="AI141" i="10"/>
  <c r="I141" i="10" s="1"/>
  <c r="O141" i="10"/>
  <c r="N141" i="10"/>
  <c r="AJ141" i="10"/>
  <c r="X105" i="10"/>
  <c r="P105" i="10" s="1"/>
  <c r="Q105" i="10" s="1"/>
  <c r="S105" i="10"/>
  <c r="AG105" i="10" s="1"/>
  <c r="Z105" i="10"/>
  <c r="AA105" i="10" s="1"/>
  <c r="W30" i="10"/>
  <c r="Y30" i="10" s="1"/>
  <c r="V30" i="10"/>
  <c r="AF30" i="10"/>
  <c r="AJ107" i="10"/>
  <c r="AI107" i="10"/>
  <c r="I107" i="10" s="1"/>
  <c r="AK107" i="10" a="1"/>
  <c r="AK107" i="10" s="1"/>
  <c r="N107" i="10"/>
  <c r="O107" i="10"/>
  <c r="B109" i="10"/>
  <c r="E108" i="10"/>
  <c r="B33" i="10"/>
  <c r="E32" i="10"/>
  <c r="AJ31" i="10"/>
  <c r="AI31" i="10"/>
  <c r="I31" i="10" s="1"/>
  <c r="N31" i="10"/>
  <c r="O31" i="10"/>
  <c r="H31" i="10" l="1"/>
  <c r="AK30" i="10" a="1"/>
  <c r="AK30" i="10" s="1"/>
  <c r="N142" i="10"/>
  <c r="AI142" i="10"/>
  <c r="I142" i="10" s="1"/>
  <c r="AJ142" i="10"/>
  <c r="O142" i="10"/>
  <c r="B144" i="10"/>
  <c r="E143" i="10"/>
  <c r="AF31" i="10"/>
  <c r="W107" i="10"/>
  <c r="Y107" i="10" s="1"/>
  <c r="V107" i="10"/>
  <c r="W141" i="10"/>
  <c r="Y141" i="10" s="1"/>
  <c r="AF141" i="10"/>
  <c r="E109" i="10"/>
  <c r="B110" i="10"/>
  <c r="R30" i="10"/>
  <c r="Z30" i="10"/>
  <c r="AA30" i="10" s="1"/>
  <c r="X30" i="10"/>
  <c r="P30" i="10" s="1"/>
  <c r="Q30" i="10" s="1"/>
  <c r="U30" i="10"/>
  <c r="S30" i="10"/>
  <c r="AG30" i="10" s="1"/>
  <c r="T30" i="10"/>
  <c r="Z140" i="10"/>
  <c r="AA140" i="10" s="1"/>
  <c r="X140" i="10"/>
  <c r="P140" i="10" s="1"/>
  <c r="Q140" i="10" s="1"/>
  <c r="S140" i="10"/>
  <c r="AG140" i="10" s="1"/>
  <c r="N32" i="10"/>
  <c r="AJ32" i="10"/>
  <c r="AI32" i="10"/>
  <c r="I32" i="10" s="1"/>
  <c r="O32" i="10"/>
  <c r="B34" i="10"/>
  <c r="E33" i="10"/>
  <c r="X106" i="10"/>
  <c r="P106" i="10" s="1"/>
  <c r="Q106" i="10" s="1"/>
  <c r="Z106" i="10"/>
  <c r="AA106" i="10" s="1"/>
  <c r="S106" i="10"/>
  <c r="AG106" i="10" s="1"/>
  <c r="AF107" i="10"/>
  <c r="W31" i="10"/>
  <c r="Y31" i="10" s="1"/>
  <c r="V31" i="10"/>
  <c r="AI108" i="10"/>
  <c r="AJ108" i="10"/>
  <c r="N108" i="10"/>
  <c r="O108" i="10"/>
  <c r="AJ33" i="10" l="1"/>
  <c r="AI33" i="10"/>
  <c r="I33" i="10" s="1"/>
  <c r="N33" i="10"/>
  <c r="O33" i="10"/>
  <c r="N109" i="10"/>
  <c r="AJ109" i="10"/>
  <c r="AI109" i="10"/>
  <c r="I109" i="10" s="1"/>
  <c r="O109" i="10"/>
  <c r="B35" i="10"/>
  <c r="E34" i="10"/>
  <c r="S107" i="10"/>
  <c r="AG107" i="10" s="1"/>
  <c r="R107" i="10"/>
  <c r="U107" i="10"/>
  <c r="T107" i="10"/>
  <c r="Z107" i="10"/>
  <c r="AA107" i="10" s="1"/>
  <c r="X107" i="10"/>
  <c r="P107" i="10" s="1"/>
  <c r="Q107" i="10" s="1"/>
  <c r="W32" i="10"/>
  <c r="Y32" i="10" s="1"/>
  <c r="V32" i="10"/>
  <c r="B145" i="10"/>
  <c r="E144" i="10"/>
  <c r="AF32" i="10"/>
  <c r="AJ143" i="10"/>
  <c r="N143" i="10"/>
  <c r="AI143" i="10"/>
  <c r="I143" i="10" s="1"/>
  <c r="O143" i="10"/>
  <c r="E110" i="10"/>
  <c r="B111" i="10"/>
  <c r="W108" i="10"/>
  <c r="Y108" i="10" s="1"/>
  <c r="V108" i="10"/>
  <c r="AF142" i="10"/>
  <c r="W142" i="10"/>
  <c r="Y142" i="10" s="1"/>
  <c r="H32" i="10"/>
  <c r="AK31" i="10" a="1"/>
  <c r="AK31" i="10" s="1"/>
  <c r="I108" i="10"/>
  <c r="H108" i="10"/>
  <c r="Z31" i="10"/>
  <c r="AA31" i="10" s="1"/>
  <c r="S31" i="10"/>
  <c r="AG31" i="10" s="1"/>
  <c r="T31" i="10" s="1"/>
  <c r="X31" i="10"/>
  <c r="P31" i="10" s="1"/>
  <c r="Q31" i="10" s="1"/>
  <c r="R31" i="10"/>
  <c r="B146" i="10" l="1"/>
  <c r="E145" i="10"/>
  <c r="H109" i="10"/>
  <c r="AK108" i="10" a="1"/>
  <c r="AK108" i="10" s="1"/>
  <c r="O34" i="10"/>
  <c r="AJ34" i="10"/>
  <c r="AI34" i="10"/>
  <c r="I34" i="10" s="1"/>
  <c r="N34" i="10"/>
  <c r="B112" i="10"/>
  <c r="E111" i="10"/>
  <c r="N144" i="10"/>
  <c r="AI144" i="10"/>
  <c r="I144" i="10" s="1"/>
  <c r="AJ144" i="10"/>
  <c r="O144" i="10"/>
  <c r="W109" i="10"/>
  <c r="Y109" i="10" s="1"/>
  <c r="V109" i="10"/>
  <c r="U31" i="10"/>
  <c r="W33" i="10"/>
  <c r="Y33" i="10" s="1"/>
  <c r="V33" i="10"/>
  <c r="W143" i="10"/>
  <c r="Y143" i="10" s="1"/>
  <c r="V143" i="10"/>
  <c r="S32" i="10"/>
  <c r="AG32" i="10" s="1"/>
  <c r="R32" i="10"/>
  <c r="X32" i="10"/>
  <c r="P32" i="10" s="1"/>
  <c r="Q32" i="10" s="1"/>
  <c r="Z32" i="10"/>
  <c r="AA32" i="10" s="1"/>
  <c r="AF108" i="10"/>
  <c r="AF109" i="10"/>
  <c r="O110" i="10"/>
  <c r="N110" i="10"/>
  <c r="AJ110" i="10"/>
  <c r="AI110" i="10"/>
  <c r="I110" i="10" s="1"/>
  <c r="B36" i="10"/>
  <c r="E35" i="10"/>
  <c r="S108" i="10"/>
  <c r="AG108" i="10" s="1"/>
  <c r="U108" i="10" s="1"/>
  <c r="Z108" i="10"/>
  <c r="AA108" i="10" s="1"/>
  <c r="X108" i="10"/>
  <c r="P108" i="10" s="1"/>
  <c r="Q108" i="10" s="1"/>
  <c r="T108" i="10"/>
  <c r="R108" i="10"/>
  <c r="H33" i="10"/>
  <c r="AK32" i="10" a="1"/>
  <c r="AK32" i="10" s="1"/>
  <c r="AF143" i="10"/>
  <c r="AF33" i="10"/>
  <c r="W110" i="10" l="1"/>
  <c r="Y110" i="10" s="1"/>
  <c r="V110" i="10"/>
  <c r="AF144" i="10"/>
  <c r="Z33" i="10"/>
  <c r="AA33" i="10" s="1"/>
  <c r="X33" i="10"/>
  <c r="P33" i="10" s="1"/>
  <c r="Q33" i="10" s="1"/>
  <c r="R33" i="10"/>
  <c r="S33" i="10"/>
  <c r="AG33" i="10" s="1"/>
  <c r="T33" i="10" s="1"/>
  <c r="Z109" i="10"/>
  <c r="AA109" i="10" s="1"/>
  <c r="S109" i="10"/>
  <c r="AG109" i="10" s="1"/>
  <c r="R109" i="10"/>
  <c r="X109" i="10"/>
  <c r="P109" i="10" s="1"/>
  <c r="Q109" i="10" s="1"/>
  <c r="N35" i="10"/>
  <c r="AJ35" i="10"/>
  <c r="AI35" i="10"/>
  <c r="I35" i="10" s="1"/>
  <c r="O35" i="10"/>
  <c r="W144" i="10"/>
  <c r="Y144" i="10" s="1"/>
  <c r="N111" i="10"/>
  <c r="AJ111" i="10"/>
  <c r="AI111" i="10"/>
  <c r="I111" i="10" s="1"/>
  <c r="O111" i="10"/>
  <c r="E112" i="10"/>
  <c r="B113" i="10"/>
  <c r="Z143" i="10"/>
  <c r="AA143" i="10" s="1"/>
  <c r="S143" i="10"/>
  <c r="AG143" i="10" s="1"/>
  <c r="X143" i="10"/>
  <c r="P143" i="10" s="1"/>
  <c r="Q143" i="10" s="1"/>
  <c r="H34" i="10"/>
  <c r="AK33" i="10" a="1"/>
  <c r="AK33" i="10" s="1"/>
  <c r="B37" i="10"/>
  <c r="E36" i="10"/>
  <c r="W34" i="10"/>
  <c r="Y34" i="10" s="1"/>
  <c r="V34" i="10"/>
  <c r="AF34" i="10"/>
  <c r="T32" i="10"/>
  <c r="U32" i="10" s="1"/>
  <c r="AJ145" i="10"/>
  <c r="AI145" i="10"/>
  <c r="I145" i="10" s="1"/>
  <c r="N145" i="10"/>
  <c r="O145" i="10"/>
  <c r="AF110" i="10"/>
  <c r="H110" i="10"/>
  <c r="AK109" i="10" a="1"/>
  <c r="AK109" i="10" s="1"/>
  <c r="E146" i="10"/>
  <c r="B147" i="10"/>
  <c r="Z34" i="10" l="1"/>
  <c r="AA34" i="10" s="1"/>
  <c r="S34" i="10"/>
  <c r="AG34" i="10" s="1"/>
  <c r="T34" i="10"/>
  <c r="U34" i="10" s="1"/>
  <c r="R34" i="10"/>
  <c r="X34" i="10"/>
  <c r="P34" i="10" s="1"/>
  <c r="Q34" i="10" s="1"/>
  <c r="U33" i="10"/>
  <c r="H111" i="10"/>
  <c r="AK110" i="10" a="1"/>
  <c r="AK110" i="10" s="1"/>
  <c r="AF35" i="10"/>
  <c r="AJ36" i="10"/>
  <c r="AI36" i="10"/>
  <c r="I36" i="10" s="1"/>
  <c r="N36" i="10"/>
  <c r="O36" i="10"/>
  <c r="E113" i="10"/>
  <c r="B114" i="10"/>
  <c r="W35" i="10"/>
  <c r="Y35" i="10" s="1"/>
  <c r="V35" i="10"/>
  <c r="T109" i="10"/>
  <c r="U109" i="10" s="1"/>
  <c r="B38" i="10"/>
  <c r="E37" i="10"/>
  <c r="H35" i="10"/>
  <c r="AK34" i="10" a="1"/>
  <c r="AK34" i="10" s="1"/>
  <c r="B148" i="10"/>
  <c r="E147" i="10"/>
  <c r="AJ146" i="10"/>
  <c r="AI146" i="10"/>
  <c r="I146" i="10" s="1"/>
  <c r="N146" i="10"/>
  <c r="O146" i="10"/>
  <c r="N112" i="10"/>
  <c r="AJ112" i="10"/>
  <c r="AI112" i="10"/>
  <c r="I112" i="10" s="1"/>
  <c r="O112" i="10"/>
  <c r="AF111" i="10"/>
  <c r="Z110" i="10"/>
  <c r="AA110" i="10" s="1"/>
  <c r="X110" i="10"/>
  <c r="P110" i="10" s="1"/>
  <c r="Q110" i="10" s="1"/>
  <c r="S110" i="10"/>
  <c r="AG110" i="10" s="1"/>
  <c r="T110" i="10" s="1"/>
  <c r="U110" i="10" s="1"/>
  <c r="R110" i="10"/>
  <c r="V145" i="10"/>
  <c r="W145" i="10"/>
  <c r="Y145" i="10" s="1"/>
  <c r="AF145" i="10"/>
  <c r="V111" i="10"/>
  <c r="W111" i="10"/>
  <c r="Y111" i="10" s="1"/>
  <c r="Z145" i="10" l="1"/>
  <c r="AA145" i="10" s="1"/>
  <c r="X145" i="10"/>
  <c r="P145" i="10" s="1"/>
  <c r="Q145" i="10" s="1"/>
  <c r="S145" i="10"/>
  <c r="AG145" i="10" s="1"/>
  <c r="S35" i="10"/>
  <c r="AG35" i="10" s="1"/>
  <c r="R35" i="10"/>
  <c r="Z35" i="10"/>
  <c r="AA35" i="10" s="1"/>
  <c r="T35" i="10"/>
  <c r="X35" i="10"/>
  <c r="P35" i="10" s="1"/>
  <c r="Q35" i="10" s="1"/>
  <c r="U35" i="10"/>
  <c r="N113" i="10"/>
  <c r="AI113" i="10"/>
  <c r="I113" i="10" s="1"/>
  <c r="AJ113" i="10"/>
  <c r="O113" i="10"/>
  <c r="B39" i="10"/>
  <c r="E38" i="10"/>
  <c r="AF112" i="10"/>
  <c r="N147" i="10"/>
  <c r="AJ147" i="10"/>
  <c r="AI147" i="10"/>
  <c r="I147" i="10" s="1"/>
  <c r="O147" i="10"/>
  <c r="B115" i="10"/>
  <c r="E115" i="10" s="1"/>
  <c r="E114" i="10"/>
  <c r="AF36" i="10"/>
  <c r="W146" i="10"/>
  <c r="Y146" i="10" s="1"/>
  <c r="AF146" i="10"/>
  <c r="V112" i="10"/>
  <c r="W112" i="10"/>
  <c r="Y112" i="10" s="1"/>
  <c r="H112" i="10"/>
  <c r="AK111" i="10" a="1"/>
  <c r="AK111" i="10" s="1"/>
  <c r="S111" i="10"/>
  <c r="AG111" i="10" s="1"/>
  <c r="T111" i="10" s="1"/>
  <c r="X111" i="10"/>
  <c r="P111" i="10" s="1"/>
  <c r="Q111" i="10" s="1"/>
  <c r="Z111" i="10"/>
  <c r="AA111" i="10" s="1"/>
  <c r="R111" i="10"/>
  <c r="H36" i="10"/>
  <c r="AK35" i="10" a="1"/>
  <c r="AK35" i="10" s="1"/>
  <c r="W36" i="10"/>
  <c r="Y36" i="10" s="1"/>
  <c r="V36" i="10"/>
  <c r="B149" i="10"/>
  <c r="E148" i="10"/>
  <c r="AJ37" i="10"/>
  <c r="AI37" i="10"/>
  <c r="I37" i="10" s="1"/>
  <c r="N37" i="10"/>
  <c r="O37" i="10"/>
  <c r="E39" i="10" l="1"/>
  <c r="B40" i="10"/>
  <c r="H113" i="10"/>
  <c r="AK112" i="10" a="1"/>
  <c r="AK112" i="10" s="1"/>
  <c r="AF147" i="10"/>
  <c r="U111" i="10"/>
  <c r="H37" i="10"/>
  <c r="AK36" i="10" a="1"/>
  <c r="AK36" i="10" s="1"/>
  <c r="W147" i="10"/>
  <c r="Y147" i="10" s="1"/>
  <c r="N38" i="10"/>
  <c r="AJ38" i="10"/>
  <c r="AI38" i="10"/>
  <c r="I38" i="10" s="1"/>
  <c r="O38" i="10"/>
  <c r="AF37" i="10"/>
  <c r="N114" i="10"/>
  <c r="AJ114" i="10"/>
  <c r="AI114" i="10"/>
  <c r="I114" i="10" s="1"/>
  <c r="O114" i="10"/>
  <c r="AF113" i="10"/>
  <c r="W37" i="10"/>
  <c r="Y37" i="10" s="1"/>
  <c r="V37" i="10"/>
  <c r="N115" i="10"/>
  <c r="AJ115" i="10"/>
  <c r="AI115" i="10"/>
  <c r="I115" i="10" s="1"/>
  <c r="AI116" i="10"/>
  <c r="I116" i="10" s="1"/>
  <c r="O115" i="10"/>
  <c r="N116" i="10"/>
  <c r="W113" i="10"/>
  <c r="Y113" i="10" s="1"/>
  <c r="V113" i="10"/>
  <c r="Z112" i="10"/>
  <c r="AA112" i="10" s="1"/>
  <c r="R112" i="10"/>
  <c r="X112" i="10"/>
  <c r="P112" i="10" s="1"/>
  <c r="Q112" i="10" s="1"/>
  <c r="S112" i="10"/>
  <c r="AG112" i="10" s="1"/>
  <c r="T112" i="10" s="1"/>
  <c r="Z36" i="10"/>
  <c r="AA36" i="10" s="1"/>
  <c r="X36" i="10"/>
  <c r="P36" i="10" s="1"/>
  <c r="Q36" i="10" s="1"/>
  <c r="S36" i="10"/>
  <c r="AG36" i="10" s="1"/>
  <c r="T36" i="10" s="1"/>
  <c r="U36" i="10" s="1"/>
  <c r="R36" i="10"/>
  <c r="AJ148" i="10"/>
  <c r="AI148" i="10"/>
  <c r="I148" i="10" s="1"/>
  <c r="N148" i="10"/>
  <c r="O148" i="10"/>
  <c r="E149" i="10"/>
  <c r="B150" i="10"/>
  <c r="X113" i="10" l="1"/>
  <c r="P113" i="10" s="1"/>
  <c r="Q113" i="10" s="1"/>
  <c r="Z113" i="10"/>
  <c r="AA113" i="10" s="1"/>
  <c r="S113" i="10"/>
  <c r="AG113" i="10" s="1"/>
  <c r="T113" i="10" s="1"/>
  <c r="U113" i="10" s="1"/>
  <c r="R113" i="10"/>
  <c r="AJ149" i="10"/>
  <c r="AI149" i="10"/>
  <c r="I149" i="10" s="1"/>
  <c r="N149" i="10"/>
  <c r="O149" i="10"/>
  <c r="AF38" i="10"/>
  <c r="H38" i="10"/>
  <c r="AK37" i="10" a="1"/>
  <c r="AK37" i="10" s="1"/>
  <c r="V38" i="10"/>
  <c r="W38" i="10"/>
  <c r="Y38" i="10" s="1"/>
  <c r="AF116" i="10"/>
  <c r="B151" i="10"/>
  <c r="E150" i="10"/>
  <c r="U112" i="10"/>
  <c r="AF148" i="10"/>
  <c r="Z37" i="10"/>
  <c r="AA37" i="10" s="1"/>
  <c r="S37" i="10"/>
  <c r="AG37" i="10" s="1"/>
  <c r="U37" i="10" s="1"/>
  <c r="X37" i="10"/>
  <c r="P37" i="10" s="1"/>
  <c r="Q37" i="10" s="1"/>
  <c r="T37" i="10"/>
  <c r="R37" i="10"/>
  <c r="H114" i="10"/>
  <c r="AK113" i="10" a="1"/>
  <c r="AK113" i="10" s="1"/>
  <c r="V114" i="10"/>
  <c r="W114" i="10"/>
  <c r="Y114" i="10" s="1"/>
  <c r="W115" i="10"/>
  <c r="Y115" i="10" s="1"/>
  <c r="V115" i="10"/>
  <c r="E40" i="10"/>
  <c r="B41" i="10"/>
  <c r="W148" i="10"/>
  <c r="Y148" i="10" s="1"/>
  <c r="AJ39" i="10"/>
  <c r="AI39" i="10"/>
  <c r="I39" i="10" s="1"/>
  <c r="N39" i="10"/>
  <c r="O39" i="10"/>
  <c r="AF114" i="10"/>
  <c r="W116" i="10"/>
  <c r="Y116" i="10" s="1"/>
  <c r="V116" i="10"/>
  <c r="AF115" i="10"/>
  <c r="N150" i="10" l="1"/>
  <c r="AJ150" i="10"/>
  <c r="AI150" i="10"/>
  <c r="I150" i="10" s="1"/>
  <c r="O150" i="10"/>
  <c r="B42" i="10"/>
  <c r="E41" i="10"/>
  <c r="AF39" i="10"/>
  <c r="S114" i="10"/>
  <c r="AG114" i="10" s="1"/>
  <c r="Z114" i="10"/>
  <c r="AA114" i="10" s="1"/>
  <c r="R114" i="10"/>
  <c r="X114" i="10"/>
  <c r="P114" i="10" s="1"/>
  <c r="Q114" i="10" s="1"/>
  <c r="W39" i="10"/>
  <c r="Y39" i="10" s="1"/>
  <c r="V39" i="10"/>
  <c r="H39" i="10"/>
  <c r="AK38" i="10" a="1"/>
  <c r="AK38" i="10" s="1"/>
  <c r="AF149" i="10"/>
  <c r="H115" i="10"/>
  <c r="AK114" i="10" a="1"/>
  <c r="AK114" i="10" s="1"/>
  <c r="W149" i="10"/>
  <c r="Y149" i="10" s="1"/>
  <c r="V149" i="10"/>
  <c r="B152" i="10"/>
  <c r="E151" i="10"/>
  <c r="S38" i="10"/>
  <c r="AG38" i="10" s="1"/>
  <c r="R38" i="10"/>
  <c r="Z38" i="10"/>
  <c r="AA38" i="10" s="1"/>
  <c r="X38" i="10"/>
  <c r="P38" i="10" s="1"/>
  <c r="Q38" i="10" s="1"/>
  <c r="T38" i="10"/>
  <c r="U38" i="10" s="1"/>
  <c r="N40" i="10"/>
  <c r="AJ40" i="10"/>
  <c r="AI40" i="10"/>
  <c r="I40" i="10" s="1"/>
  <c r="O40" i="10"/>
  <c r="X115" i="10"/>
  <c r="P115" i="10" s="1"/>
  <c r="Q115" i="10" s="1"/>
  <c r="S115" i="10"/>
  <c r="AG115" i="10" s="1"/>
  <c r="Z115" i="10"/>
  <c r="AA115" i="10" s="1"/>
  <c r="Z116" i="10"/>
  <c r="AA116" i="10" s="1"/>
  <c r="X116" i="10"/>
  <c r="P116" i="10" s="1"/>
  <c r="Q116" i="10" s="1"/>
  <c r="S116" i="10"/>
  <c r="AG116" i="10" s="1"/>
  <c r="V118" i="10"/>
  <c r="E42" i="10" l="1"/>
  <c r="B43" i="10"/>
  <c r="H116" i="10"/>
  <c r="AK115" i="10" a="1"/>
  <c r="AK115" i="10" s="1"/>
  <c r="R115" i="10"/>
  <c r="H40" i="10"/>
  <c r="AK39" i="10" a="1"/>
  <c r="AK39" i="10" s="1"/>
  <c r="T115" i="10"/>
  <c r="U115" i="10" s="1"/>
  <c r="T114" i="10"/>
  <c r="U114" i="10" s="1"/>
  <c r="N41" i="10"/>
  <c r="AJ41" i="10"/>
  <c r="AI41" i="10"/>
  <c r="I41" i="10" s="1"/>
  <c r="O41" i="10"/>
  <c r="Z39" i="10"/>
  <c r="AA39" i="10" s="1"/>
  <c r="X39" i="10"/>
  <c r="P39" i="10" s="1"/>
  <c r="Q39" i="10" s="1"/>
  <c r="S39" i="10"/>
  <c r="AG39" i="10" s="1"/>
  <c r="R39" i="10"/>
  <c r="U39" i="10"/>
  <c r="T39" i="10"/>
  <c r="AF40" i="10"/>
  <c r="X118" i="10"/>
  <c r="P118" i="10" s="1"/>
  <c r="Q118" i="10" s="1"/>
  <c r="S118" i="10"/>
  <c r="AG118" i="10" s="1"/>
  <c r="Z118" i="10"/>
  <c r="AA118" i="10" s="1"/>
  <c r="V120" i="10"/>
  <c r="N151" i="10"/>
  <c r="AI151" i="10"/>
  <c r="I151" i="10" s="1"/>
  <c r="AJ151" i="10"/>
  <c r="O151" i="10"/>
  <c r="AF150" i="10"/>
  <c r="W40" i="10"/>
  <c r="Y40" i="10" s="1"/>
  <c r="V40" i="10"/>
  <c r="E152" i="10"/>
  <c r="B153" i="10"/>
  <c r="X149" i="10"/>
  <c r="P149" i="10" s="1"/>
  <c r="Q149" i="10" s="1"/>
  <c r="S149" i="10"/>
  <c r="AG149" i="10" s="1"/>
  <c r="Z149" i="10"/>
  <c r="AA149" i="10" s="1"/>
  <c r="W150" i="10"/>
  <c r="Y150" i="10" s="1"/>
  <c r="AF41" i="10" l="1"/>
  <c r="W41" i="10"/>
  <c r="Y41" i="10" s="1"/>
  <c r="V41" i="10"/>
  <c r="H117" i="10"/>
  <c r="AK116" i="10" a="1"/>
  <c r="AK116" i="10" s="1"/>
  <c r="R116" i="10"/>
  <c r="T116" i="10"/>
  <c r="U116" i="10" s="1"/>
  <c r="H41" i="10"/>
  <c r="AK40" i="10" a="1"/>
  <c r="AK40" i="10" s="1"/>
  <c r="E43" i="10"/>
  <c r="B44" i="10"/>
  <c r="B154" i="10"/>
  <c r="E153" i="10"/>
  <c r="Z40" i="10"/>
  <c r="AA40" i="10" s="1"/>
  <c r="S40" i="10"/>
  <c r="AG40" i="10" s="1"/>
  <c r="X40" i="10"/>
  <c r="P40" i="10" s="1"/>
  <c r="Q40" i="10" s="1"/>
  <c r="R40" i="10"/>
  <c r="AF151" i="10"/>
  <c r="S120" i="10"/>
  <c r="AG120" i="10" s="1"/>
  <c r="Z120" i="10"/>
  <c r="AA120" i="10" s="1"/>
  <c r="X120" i="10"/>
  <c r="P120" i="10" s="1"/>
  <c r="Q120" i="10" s="1"/>
  <c r="V121" i="10"/>
  <c r="AJ42" i="10"/>
  <c r="AI42" i="10"/>
  <c r="I42" i="10" s="1"/>
  <c r="N42" i="10"/>
  <c r="O42" i="10"/>
  <c r="AI152" i="10"/>
  <c r="I152" i="10" s="1"/>
  <c r="N152" i="10"/>
  <c r="AJ152" i="10"/>
  <c r="O152" i="10"/>
  <c r="W151" i="10"/>
  <c r="Y151" i="10" s="1"/>
  <c r="T40" i="10" l="1"/>
  <c r="U40" i="10" s="1"/>
  <c r="N153" i="10"/>
  <c r="AJ153" i="10"/>
  <c r="AI153" i="10"/>
  <c r="I153" i="10" s="1"/>
  <c r="O153" i="10"/>
  <c r="H42" i="10"/>
  <c r="AK41" i="10" a="1"/>
  <c r="AK41" i="10" s="1"/>
  <c r="W152" i="10"/>
  <c r="Y152" i="10" s="1"/>
  <c r="B155" i="10"/>
  <c r="E154" i="10"/>
  <c r="B45" i="10"/>
  <c r="E44" i="10"/>
  <c r="AJ43" i="10"/>
  <c r="AI43" i="10"/>
  <c r="I43" i="10" s="1"/>
  <c r="O43" i="10"/>
  <c r="N43" i="10"/>
  <c r="AF42" i="10"/>
  <c r="AF152" i="10"/>
  <c r="H118" i="10"/>
  <c r="AK117" i="10" a="1"/>
  <c r="AK117" i="10" s="1"/>
  <c r="T117" i="10"/>
  <c r="U117" i="10" s="1"/>
  <c r="R117" i="10"/>
  <c r="S41" i="10"/>
  <c r="AG41" i="10" s="1"/>
  <c r="R41" i="10"/>
  <c r="Z41" i="10"/>
  <c r="AA41" i="10" s="1"/>
  <c r="X41" i="10"/>
  <c r="P41" i="10" s="1"/>
  <c r="Q41" i="10" s="1"/>
  <c r="T41" i="10"/>
  <c r="U41" i="10" s="1"/>
  <c r="W42" i="10"/>
  <c r="Y42" i="10" s="1"/>
  <c r="V42" i="10"/>
  <c r="X121" i="10"/>
  <c r="P121" i="10" s="1"/>
  <c r="Q121" i="10" s="1"/>
  <c r="S121" i="10"/>
  <c r="AG121" i="10" s="1"/>
  <c r="Z121" i="10"/>
  <c r="AA121" i="10" s="1"/>
  <c r="V123" i="10"/>
  <c r="AF43" i="10" l="1"/>
  <c r="N154" i="10"/>
  <c r="AJ154" i="10"/>
  <c r="AI154" i="10"/>
  <c r="I154" i="10" s="1"/>
  <c r="O154" i="10"/>
  <c r="S123" i="10"/>
  <c r="AG123" i="10" s="1"/>
  <c r="X123" i="10"/>
  <c r="P123" i="10" s="1"/>
  <c r="Q123" i="10" s="1"/>
  <c r="Z123" i="10"/>
  <c r="AA123" i="10" s="1"/>
  <c r="V124" i="10"/>
  <c r="E45" i="10"/>
  <c r="B46" i="10"/>
  <c r="E155" i="10"/>
  <c r="B156" i="10"/>
  <c r="W153" i="10"/>
  <c r="Y153" i="10" s="1"/>
  <c r="W43" i="10"/>
  <c r="Y43" i="10" s="1"/>
  <c r="V43" i="10"/>
  <c r="N44" i="10"/>
  <c r="AJ44" i="10"/>
  <c r="AI44" i="10"/>
  <c r="I44" i="10" s="1"/>
  <c r="O44" i="10"/>
  <c r="X42" i="10"/>
  <c r="P42" i="10" s="1"/>
  <c r="Q42" i="10" s="1"/>
  <c r="S42" i="10"/>
  <c r="AG42" i="10" s="1"/>
  <c r="T42" i="10" s="1"/>
  <c r="R42" i="10"/>
  <c r="Z42" i="10"/>
  <c r="AA42" i="10" s="1"/>
  <c r="H43" i="10"/>
  <c r="AK42" i="10" a="1"/>
  <c r="AK42" i="10" s="1"/>
  <c r="H119" i="10"/>
  <c r="AK118" i="10" a="1"/>
  <c r="AK118" i="10" s="1"/>
  <c r="T118" i="10"/>
  <c r="U118" i="10" s="1"/>
  <c r="R118" i="10"/>
  <c r="AF153" i="10"/>
  <c r="W44" i="10" l="1"/>
  <c r="Y44" i="10" s="1"/>
  <c r="V44" i="10"/>
  <c r="AJ45" i="10"/>
  <c r="AI45" i="10"/>
  <c r="I45" i="10" s="1"/>
  <c r="N45" i="10"/>
  <c r="O45" i="10"/>
  <c r="H44" i="10"/>
  <c r="AK43" i="10" a="1"/>
  <c r="AK43" i="10" s="1"/>
  <c r="Z124" i="10"/>
  <c r="AA124" i="10" s="1"/>
  <c r="X124" i="10"/>
  <c r="P124" i="10" s="1"/>
  <c r="Q124" i="10" s="1"/>
  <c r="S124" i="10"/>
  <c r="AG124" i="10" s="1"/>
  <c r="V126" i="10"/>
  <c r="W154" i="10"/>
  <c r="Y154" i="10" s="1"/>
  <c r="N155" i="10"/>
  <c r="AJ155" i="10"/>
  <c r="AI155" i="10"/>
  <c r="I155" i="10" s="1"/>
  <c r="O155" i="10"/>
  <c r="H120" i="10"/>
  <c r="AK119" i="10" a="1"/>
  <c r="AK119" i="10" s="1"/>
  <c r="R119" i="10"/>
  <c r="T119" i="10"/>
  <c r="U119" i="10" s="1"/>
  <c r="AF154" i="10"/>
  <c r="U42" i="10"/>
  <c r="AF44" i="10"/>
  <c r="Z43" i="10"/>
  <c r="AA43" i="10" s="1"/>
  <c r="S43" i="10"/>
  <c r="AG43" i="10" s="1"/>
  <c r="U43" i="10" s="1"/>
  <c r="X43" i="10"/>
  <c r="P43" i="10" s="1"/>
  <c r="Q43" i="10" s="1"/>
  <c r="T43" i="10"/>
  <c r="R43" i="10"/>
  <c r="B157" i="10"/>
  <c r="E156" i="10"/>
  <c r="B47" i="10"/>
  <c r="E46" i="10"/>
  <c r="W45" i="10" l="1"/>
  <c r="Y45" i="10" s="1"/>
  <c r="V45" i="10"/>
  <c r="AF155" i="10"/>
  <c r="N46" i="10"/>
  <c r="AJ46" i="10"/>
  <c r="AI46" i="10"/>
  <c r="I46" i="10" s="1"/>
  <c r="O46" i="10"/>
  <c r="AF45" i="10"/>
  <c r="S44" i="10"/>
  <c r="AG44" i="10" s="1"/>
  <c r="R44" i="10"/>
  <c r="X44" i="10"/>
  <c r="P44" i="10" s="1"/>
  <c r="Q44" i="10" s="1"/>
  <c r="T44" i="10"/>
  <c r="U44" i="10" s="1"/>
  <c r="Z44" i="10"/>
  <c r="AA44" i="10" s="1"/>
  <c r="B48" i="10"/>
  <c r="E47" i="10"/>
  <c r="N156" i="10"/>
  <c r="AJ156" i="10"/>
  <c r="AI156" i="10"/>
  <c r="I156" i="10" s="1"/>
  <c r="O156" i="10"/>
  <c r="E157" i="10"/>
  <c r="B158" i="10"/>
  <c r="W155" i="10"/>
  <c r="Y155" i="10" s="1"/>
  <c r="V155" i="10"/>
  <c r="S126" i="10"/>
  <c r="AG126" i="10" s="1"/>
  <c r="Z126" i="10"/>
  <c r="AA126" i="10" s="1"/>
  <c r="X126" i="10"/>
  <c r="P126" i="10" s="1"/>
  <c r="Q126" i="10" s="1"/>
  <c r="V127" i="10"/>
  <c r="H45" i="10"/>
  <c r="AK44" i="10" a="1"/>
  <c r="AK44" i="10" s="1"/>
  <c r="H121" i="10"/>
  <c r="AK120" i="10" a="1"/>
  <c r="AK120" i="10" s="1"/>
  <c r="T120" i="10"/>
  <c r="U120" i="10" s="1"/>
  <c r="R120" i="10"/>
  <c r="AF156" i="10" l="1"/>
  <c r="Z127" i="10"/>
  <c r="AA127" i="10" s="1"/>
  <c r="S127" i="10"/>
  <c r="AG127" i="10" s="1"/>
  <c r="X127" i="10"/>
  <c r="P127" i="10" s="1"/>
  <c r="Q127" i="10" s="1"/>
  <c r="V130" i="10"/>
  <c r="N47" i="10"/>
  <c r="AJ47" i="10"/>
  <c r="AI47" i="10"/>
  <c r="I47" i="10" s="1"/>
  <c r="O47" i="10"/>
  <c r="AF46" i="10"/>
  <c r="H122" i="10"/>
  <c r="AK121" i="10" a="1"/>
  <c r="AK121" i="10" s="1"/>
  <c r="T121" i="10"/>
  <c r="U121" i="10" s="1"/>
  <c r="R121" i="10"/>
  <c r="W46" i="10"/>
  <c r="Y46" i="10" s="1"/>
  <c r="V46" i="10"/>
  <c r="E158" i="10"/>
  <c r="B159" i="10"/>
  <c r="X155" i="10"/>
  <c r="P155" i="10" s="1"/>
  <c r="Q155" i="10" s="1"/>
  <c r="S155" i="10"/>
  <c r="AG155" i="10" s="1"/>
  <c r="Z155" i="10"/>
  <c r="AA155" i="10" s="1"/>
  <c r="S45" i="10"/>
  <c r="AG45" i="10" s="1"/>
  <c r="T45" i="10" s="1"/>
  <c r="R45" i="10"/>
  <c r="Z45" i="10"/>
  <c r="AA45" i="10" s="1"/>
  <c r="X45" i="10"/>
  <c r="P45" i="10" s="1"/>
  <c r="Q45" i="10" s="1"/>
  <c r="N157" i="10"/>
  <c r="AI157" i="10"/>
  <c r="I157" i="10" s="1"/>
  <c r="AJ157" i="10"/>
  <c r="O157" i="10"/>
  <c r="W156" i="10"/>
  <c r="Y156" i="10" s="1"/>
  <c r="B49" i="10"/>
  <c r="E48" i="10"/>
  <c r="H46" i="10"/>
  <c r="AK45" i="10" a="1"/>
  <c r="AK45" i="10" s="1"/>
  <c r="N158" i="10" l="1"/>
  <c r="AI158" i="10"/>
  <c r="I158" i="10" s="1"/>
  <c r="AJ158" i="10"/>
  <c r="O158" i="10"/>
  <c r="W157" i="10"/>
  <c r="Y157" i="10" s="1"/>
  <c r="H47" i="10"/>
  <c r="AK46" i="10" a="1"/>
  <c r="AK46" i="10" s="1"/>
  <c r="X130" i="10"/>
  <c r="P130" i="10" s="1"/>
  <c r="Q130" i="10" s="1"/>
  <c r="Z130" i="10"/>
  <c r="AA130" i="10" s="1"/>
  <c r="S130" i="10"/>
  <c r="AG130" i="10" s="1"/>
  <c r="V131" i="10"/>
  <c r="U45" i="10"/>
  <c r="W47" i="10"/>
  <c r="Y47" i="10" s="1"/>
  <c r="V47" i="10"/>
  <c r="AF47" i="10"/>
  <c r="Z46" i="10"/>
  <c r="AA46" i="10" s="1"/>
  <c r="S46" i="10"/>
  <c r="AG46" i="10" s="1"/>
  <c r="R46" i="10"/>
  <c r="X46" i="10"/>
  <c r="P46" i="10" s="1"/>
  <c r="Q46" i="10" s="1"/>
  <c r="AJ48" i="10"/>
  <c r="AI48" i="10"/>
  <c r="I48" i="10" s="1"/>
  <c r="N48" i="10"/>
  <c r="O48" i="10"/>
  <c r="E49" i="10"/>
  <c r="B50" i="10"/>
  <c r="H123" i="10"/>
  <c r="AK122" i="10" a="1"/>
  <c r="AK122" i="10" s="1"/>
  <c r="R122" i="10"/>
  <c r="T122" i="10"/>
  <c r="U122" i="10" s="1"/>
  <c r="AF157" i="10"/>
  <c r="B160" i="10"/>
  <c r="E159" i="10"/>
  <c r="S47" i="10" l="1"/>
  <c r="AG47" i="10" s="1"/>
  <c r="R47" i="10"/>
  <c r="T47" i="10"/>
  <c r="U47" i="10" s="1"/>
  <c r="Z47" i="10"/>
  <c r="AA47" i="10" s="1"/>
  <c r="X47" i="10"/>
  <c r="P47" i="10" s="1"/>
  <c r="Q47" i="10" s="1"/>
  <c r="N159" i="10"/>
  <c r="AJ159" i="10"/>
  <c r="AI159" i="10"/>
  <c r="I159" i="10" s="1"/>
  <c r="O159" i="10"/>
  <c r="H124" i="10"/>
  <c r="AK123" i="10" a="1"/>
  <c r="AK123" i="10" s="1"/>
  <c r="T123" i="10"/>
  <c r="U123" i="10" s="1"/>
  <c r="R123" i="10"/>
  <c r="Z131" i="10"/>
  <c r="AA131" i="10" s="1"/>
  <c r="X131" i="10"/>
  <c r="P131" i="10" s="1"/>
  <c r="Q131" i="10" s="1"/>
  <c r="S131" i="10"/>
  <c r="AG131" i="10" s="1"/>
  <c r="V132" i="10"/>
  <c r="B51" i="10"/>
  <c r="E50" i="10"/>
  <c r="N49" i="10"/>
  <c r="AJ49" i="10"/>
  <c r="AI49" i="10"/>
  <c r="I49" i="10" s="1"/>
  <c r="O49" i="10"/>
  <c r="H48" i="10"/>
  <c r="AK47" i="10" a="1"/>
  <c r="AK47" i="10" s="1"/>
  <c r="AF158" i="10"/>
  <c r="W158" i="10"/>
  <c r="Y158" i="10" s="1"/>
  <c r="AF48" i="10"/>
  <c r="B161" i="10"/>
  <c r="E160" i="10"/>
  <c r="V48" i="10"/>
  <c r="W48" i="10"/>
  <c r="Y48" i="10" s="1"/>
  <c r="T46" i="10"/>
  <c r="U46" i="10" s="1"/>
  <c r="S48" i="10" l="1"/>
  <c r="AG48" i="10" s="1"/>
  <c r="R48" i="10"/>
  <c r="Z48" i="10"/>
  <c r="AA48" i="10" s="1"/>
  <c r="X48" i="10"/>
  <c r="P48" i="10" s="1"/>
  <c r="Q48" i="10" s="1"/>
  <c r="B162" i="10"/>
  <c r="E161" i="10"/>
  <c r="AF159" i="10"/>
  <c r="W159" i="10"/>
  <c r="Y159" i="10" s="1"/>
  <c r="V159" i="10"/>
  <c r="AF49" i="10"/>
  <c r="S132" i="10"/>
  <c r="AG132" i="10" s="1"/>
  <c r="X132" i="10"/>
  <c r="P132" i="10" s="1"/>
  <c r="Q132" i="10" s="1"/>
  <c r="Z132" i="10"/>
  <c r="AA132" i="10" s="1"/>
  <c r="V134" i="10"/>
  <c r="N160" i="10"/>
  <c r="AI160" i="10"/>
  <c r="I160" i="10" s="1"/>
  <c r="AJ160" i="10"/>
  <c r="O160" i="10"/>
  <c r="H125" i="10"/>
  <c r="AK124" i="10" a="1"/>
  <c r="AK124" i="10" s="1"/>
  <c r="T124" i="10"/>
  <c r="U124" i="10" s="1"/>
  <c r="R124" i="10"/>
  <c r="H49" i="10"/>
  <c r="AK48" i="10" a="1"/>
  <c r="AK48" i="10" s="1"/>
  <c r="N50" i="10"/>
  <c r="AJ50" i="10"/>
  <c r="AI50" i="10"/>
  <c r="I50" i="10" s="1"/>
  <c r="O50" i="10"/>
  <c r="W49" i="10"/>
  <c r="Y49" i="10" s="1"/>
  <c r="V49" i="10"/>
  <c r="E51" i="10"/>
  <c r="B52" i="10"/>
  <c r="Z134" i="10" l="1"/>
  <c r="AA134" i="10" s="1"/>
  <c r="X134" i="10"/>
  <c r="P134" i="10" s="1"/>
  <c r="Q134" i="10" s="1"/>
  <c r="S134" i="10"/>
  <c r="AG134" i="10" s="1"/>
  <c r="V135" i="10"/>
  <c r="E52" i="10"/>
  <c r="B53" i="10"/>
  <c r="N161" i="10"/>
  <c r="AJ161" i="10"/>
  <c r="AI161" i="10"/>
  <c r="I161" i="10" s="1"/>
  <c r="O161" i="10"/>
  <c r="Z49" i="10"/>
  <c r="AA49" i="10" s="1"/>
  <c r="S49" i="10"/>
  <c r="AG49" i="10" s="1"/>
  <c r="U49" i="10" s="1"/>
  <c r="X49" i="10"/>
  <c r="P49" i="10" s="1"/>
  <c r="Q49" i="10" s="1"/>
  <c r="T49" i="10"/>
  <c r="R49" i="10"/>
  <c r="AJ51" i="10"/>
  <c r="AI51" i="10"/>
  <c r="I51" i="10" s="1"/>
  <c r="N51" i="10"/>
  <c r="O51" i="10"/>
  <c r="S159" i="10"/>
  <c r="AG159" i="10" s="1"/>
  <c r="Z159" i="10"/>
  <c r="AA159" i="10" s="1"/>
  <c r="X159" i="10"/>
  <c r="P159" i="10" s="1"/>
  <c r="Q159" i="10" s="1"/>
  <c r="W160" i="10"/>
  <c r="Y160" i="10" s="1"/>
  <c r="AF50" i="10"/>
  <c r="H126" i="10"/>
  <c r="AK125" i="10" a="1"/>
  <c r="AK125" i="10" s="1"/>
  <c r="T125" i="10"/>
  <c r="U125" i="10" s="1"/>
  <c r="R125" i="10"/>
  <c r="T48" i="10"/>
  <c r="U48" i="10" s="1"/>
  <c r="W50" i="10"/>
  <c r="Y50" i="10" s="1"/>
  <c r="V50" i="10"/>
  <c r="H50" i="10"/>
  <c r="AK49" i="10" a="1"/>
  <c r="AK49" i="10" s="1"/>
  <c r="B163" i="10"/>
  <c r="E162" i="10"/>
  <c r="AF160" i="10"/>
  <c r="AF161" i="10" l="1"/>
  <c r="H127" i="10"/>
  <c r="AK126" i="10" a="1"/>
  <c r="AK126" i="10" s="1"/>
  <c r="T126" i="10"/>
  <c r="U126" i="10" s="1"/>
  <c r="R126" i="10"/>
  <c r="AF51" i="10"/>
  <c r="N52" i="10"/>
  <c r="AJ52" i="10"/>
  <c r="AI52" i="10"/>
  <c r="I52" i="10" s="1"/>
  <c r="O52" i="10"/>
  <c r="S135" i="10"/>
  <c r="AG135" i="10" s="1"/>
  <c r="Z135" i="10"/>
  <c r="AA135" i="10" s="1"/>
  <c r="X135" i="10"/>
  <c r="P135" i="10" s="1"/>
  <c r="Q135" i="10" s="1"/>
  <c r="V136" i="10"/>
  <c r="W161" i="10"/>
  <c r="Y161" i="10" s="1"/>
  <c r="B54" i="10"/>
  <c r="E53" i="10"/>
  <c r="E163" i="10"/>
  <c r="B164" i="10"/>
  <c r="H51" i="10"/>
  <c r="AK50" i="10" a="1"/>
  <c r="AK50" i="10" s="1"/>
  <c r="N162" i="10"/>
  <c r="AJ162" i="10"/>
  <c r="AI162" i="10"/>
  <c r="I162" i="10" s="1"/>
  <c r="O162" i="10"/>
  <c r="S50" i="10"/>
  <c r="AG50" i="10" s="1"/>
  <c r="R50" i="10"/>
  <c r="T50" i="10"/>
  <c r="U50" i="10" s="1"/>
  <c r="Z50" i="10"/>
  <c r="AA50" i="10" s="1"/>
  <c r="X50" i="10"/>
  <c r="P50" i="10" s="1"/>
  <c r="Q50" i="10" s="1"/>
  <c r="V51" i="10"/>
  <c r="W51" i="10"/>
  <c r="Y51" i="10" s="1"/>
  <c r="AF52" i="10" l="1"/>
  <c r="Z136" i="10"/>
  <c r="AA136" i="10" s="1"/>
  <c r="X136" i="10"/>
  <c r="P136" i="10" s="1"/>
  <c r="Q136" i="10" s="1"/>
  <c r="S136" i="10"/>
  <c r="AG136" i="10" s="1"/>
  <c r="V138" i="10"/>
  <c r="S51" i="10"/>
  <c r="AG51" i="10" s="1"/>
  <c r="R51" i="10"/>
  <c r="X51" i="10"/>
  <c r="P51" i="10" s="1"/>
  <c r="Q51" i="10" s="1"/>
  <c r="Z51" i="10"/>
  <c r="AA51" i="10" s="1"/>
  <c r="U51" i="10"/>
  <c r="T51" i="10"/>
  <c r="W162" i="10"/>
  <c r="Y162" i="10" s="1"/>
  <c r="V162" i="10"/>
  <c r="W52" i="10"/>
  <c r="Y52" i="10" s="1"/>
  <c r="V52" i="10"/>
  <c r="AF162" i="10"/>
  <c r="H128" i="10"/>
  <c r="AK127" i="10" a="1"/>
  <c r="AK127" i="10" s="1"/>
  <c r="T127" i="10"/>
  <c r="U127" i="10" s="1"/>
  <c r="R127" i="10"/>
  <c r="N53" i="10"/>
  <c r="AJ53" i="10"/>
  <c r="AI53" i="10"/>
  <c r="I53" i="10" s="1"/>
  <c r="O53" i="10"/>
  <c r="H52" i="10"/>
  <c r="AK51" i="10" a="1"/>
  <c r="AK51" i="10" s="1"/>
  <c r="B165" i="10"/>
  <c r="E164" i="10"/>
  <c r="AJ163" i="10"/>
  <c r="AI163" i="10"/>
  <c r="I163" i="10" s="1"/>
  <c r="N163" i="10"/>
  <c r="O163" i="10"/>
  <c r="B55" i="10"/>
  <c r="E54" i="10"/>
  <c r="Z52" i="10" l="1"/>
  <c r="AA52" i="10" s="1"/>
  <c r="S52" i="10"/>
  <c r="AG52" i="10" s="1"/>
  <c r="U52" i="10" s="1"/>
  <c r="X52" i="10"/>
  <c r="P52" i="10" s="1"/>
  <c r="Q52" i="10" s="1"/>
  <c r="T52" i="10"/>
  <c r="R52" i="10"/>
  <c r="B56" i="10"/>
  <c r="E55" i="10"/>
  <c r="N164" i="10"/>
  <c r="AJ164" i="10"/>
  <c r="AI164" i="10"/>
  <c r="I164" i="10" s="1"/>
  <c r="O164" i="10"/>
  <c r="S138" i="10"/>
  <c r="AG138" i="10" s="1"/>
  <c r="Z138" i="10"/>
  <c r="AA138" i="10" s="1"/>
  <c r="X138" i="10"/>
  <c r="P138" i="10" s="1"/>
  <c r="Q138" i="10" s="1"/>
  <c r="V141" i="10"/>
  <c r="AF163" i="10"/>
  <c r="AJ54" i="10"/>
  <c r="AI54" i="10"/>
  <c r="I54" i="10" s="1"/>
  <c r="N54" i="10"/>
  <c r="O54" i="10"/>
  <c r="B166" i="10"/>
  <c r="E165" i="10"/>
  <c r="V53" i="10"/>
  <c r="W53" i="10"/>
  <c r="Y53" i="10" s="1"/>
  <c r="W163" i="10"/>
  <c r="Y163" i="10" s="1"/>
  <c r="H53" i="10"/>
  <c r="AK52" i="10" a="1"/>
  <c r="AK52" i="10" s="1"/>
  <c r="AF53" i="10"/>
  <c r="H129" i="10"/>
  <c r="AK128" i="10" a="1"/>
  <c r="AK128" i="10" s="1"/>
  <c r="R128" i="10"/>
  <c r="T128" i="10"/>
  <c r="U128" i="10" s="1"/>
  <c r="Z162" i="10"/>
  <c r="AA162" i="10" s="1"/>
  <c r="X162" i="10"/>
  <c r="P162" i="10" s="1"/>
  <c r="Q162" i="10" s="1"/>
  <c r="S162" i="10"/>
  <c r="AG162" i="10" s="1"/>
  <c r="H130" i="10" l="1"/>
  <c r="AK129" i="10" a="1"/>
  <c r="AK129" i="10" s="1"/>
  <c r="T129" i="10"/>
  <c r="U129" i="10" s="1"/>
  <c r="R129" i="10"/>
  <c r="S141" i="10"/>
  <c r="AG141" i="10" s="1"/>
  <c r="X141" i="10"/>
  <c r="P141" i="10" s="1"/>
  <c r="Q141" i="10" s="1"/>
  <c r="Z141" i="10"/>
  <c r="AA141" i="10" s="1"/>
  <c r="V142" i="10"/>
  <c r="B57" i="10"/>
  <c r="E56" i="10"/>
  <c r="N165" i="10"/>
  <c r="AJ165" i="10"/>
  <c r="AI165" i="10"/>
  <c r="I165" i="10" s="1"/>
  <c r="O165" i="10"/>
  <c r="W164" i="10"/>
  <c r="Y164" i="10" s="1"/>
  <c r="AI55" i="10"/>
  <c r="I55" i="10" s="1"/>
  <c r="AJ55" i="10"/>
  <c r="N55" i="10"/>
  <c r="O55" i="10"/>
  <c r="S53" i="10"/>
  <c r="AG53" i="10" s="1"/>
  <c r="R53" i="10"/>
  <c r="X53" i="10"/>
  <c r="P53" i="10" s="1"/>
  <c r="Q53" i="10" s="1"/>
  <c r="Z53" i="10"/>
  <c r="AA53" i="10" s="1"/>
  <c r="T53" i="10"/>
  <c r="U53" i="10" s="1"/>
  <c r="E166" i="10"/>
  <c r="B167" i="10"/>
  <c r="V54" i="10"/>
  <c r="W54" i="10"/>
  <c r="Y54" i="10" s="1"/>
  <c r="AF164" i="10"/>
  <c r="H54" i="10"/>
  <c r="AK53" i="10" a="1"/>
  <c r="AK53" i="10" s="1"/>
  <c r="AF54" i="10"/>
  <c r="AF55" i="10" l="1"/>
  <c r="W165" i="10"/>
  <c r="Y165" i="10" s="1"/>
  <c r="V165" i="10"/>
  <c r="E167" i="10"/>
  <c r="B168" i="10"/>
  <c r="AF165" i="10"/>
  <c r="Z142" i="10"/>
  <c r="AA142" i="10" s="1"/>
  <c r="X142" i="10"/>
  <c r="P142" i="10" s="1"/>
  <c r="Q142" i="10" s="1"/>
  <c r="S142" i="10"/>
  <c r="AG142" i="10" s="1"/>
  <c r="V144" i="10"/>
  <c r="N56" i="10"/>
  <c r="AJ56" i="10"/>
  <c r="AI56" i="10"/>
  <c r="I56" i="10" s="1"/>
  <c r="O56" i="10"/>
  <c r="B58" i="10"/>
  <c r="E57" i="10"/>
  <c r="Z54" i="10"/>
  <c r="AA54" i="10" s="1"/>
  <c r="S54" i="10"/>
  <c r="AG54" i="10" s="1"/>
  <c r="T54" i="10" s="1"/>
  <c r="U54" i="10" s="1"/>
  <c r="R54" i="10"/>
  <c r="X54" i="10"/>
  <c r="P54" i="10" s="1"/>
  <c r="Q54" i="10" s="1"/>
  <c r="N166" i="10"/>
  <c r="AJ166" i="10"/>
  <c r="AI166" i="10"/>
  <c r="I166" i="10" s="1"/>
  <c r="O166" i="10"/>
  <c r="H131" i="10"/>
  <c r="AK130" i="10" a="1"/>
  <c r="AK130" i="10" s="1"/>
  <c r="R130" i="10"/>
  <c r="T130" i="10"/>
  <c r="U130" i="10" s="1"/>
  <c r="H55" i="10"/>
  <c r="AK54" i="10" a="1"/>
  <c r="AK54" i="10" s="1"/>
  <c r="W55" i="10"/>
  <c r="Y55" i="10" s="1"/>
  <c r="V55" i="10"/>
  <c r="S144" i="10" l="1"/>
  <c r="AG144" i="10" s="1"/>
  <c r="Z144" i="10"/>
  <c r="AA144" i="10" s="1"/>
  <c r="X144" i="10"/>
  <c r="P144" i="10" s="1"/>
  <c r="Q144" i="10" s="1"/>
  <c r="V146" i="10"/>
  <c r="Z55" i="10"/>
  <c r="AA55" i="10" s="1"/>
  <c r="S55" i="10"/>
  <c r="AG55" i="10" s="1"/>
  <c r="U55" i="10" s="1"/>
  <c r="R55" i="10"/>
  <c r="X55" i="10"/>
  <c r="P55" i="10" s="1"/>
  <c r="Q55" i="10" s="1"/>
  <c r="T55" i="10"/>
  <c r="B59" i="10"/>
  <c r="E58" i="10"/>
  <c r="H132" i="10"/>
  <c r="AK131" i="10" a="1"/>
  <c r="AK131" i="10" s="1"/>
  <c r="T131" i="10"/>
  <c r="U131" i="10" s="1"/>
  <c r="R131" i="10"/>
  <c r="AJ57" i="10"/>
  <c r="AI57" i="10"/>
  <c r="I57" i="10" s="1"/>
  <c r="N57" i="10"/>
  <c r="O57" i="10"/>
  <c r="V166" i="10"/>
  <c r="W166" i="10"/>
  <c r="Y166" i="10" s="1"/>
  <c r="AF56" i="10"/>
  <c r="H56" i="10"/>
  <c r="AK55" i="10" a="1"/>
  <c r="AK55" i="10" s="1"/>
  <c r="AF166" i="10"/>
  <c r="V56" i="10"/>
  <c r="W56" i="10"/>
  <c r="Y56" i="10" s="1"/>
  <c r="B169" i="10"/>
  <c r="E168" i="10"/>
  <c r="N167" i="10"/>
  <c r="AJ167" i="10"/>
  <c r="AI167" i="10"/>
  <c r="I167" i="10" s="1"/>
  <c r="O167" i="10"/>
  <c r="S165" i="10"/>
  <c r="AG165" i="10" s="1"/>
  <c r="Z165" i="10"/>
  <c r="AA165" i="10" s="1"/>
  <c r="X165" i="10"/>
  <c r="P165" i="10" s="1"/>
  <c r="Q165" i="10" s="1"/>
  <c r="O58" i="10" l="1"/>
  <c r="N58" i="10"/>
  <c r="AJ58" i="10"/>
  <c r="AI58" i="10"/>
  <c r="I58" i="10" s="1"/>
  <c r="N168" i="10"/>
  <c r="AJ168" i="10"/>
  <c r="AI168" i="10"/>
  <c r="I168" i="10" s="1"/>
  <c r="O168" i="10"/>
  <c r="B60" i="10"/>
  <c r="E59" i="10"/>
  <c r="S56" i="10"/>
  <c r="AG56" i="10" s="1"/>
  <c r="R56" i="10"/>
  <c r="Z56" i="10"/>
  <c r="AA56" i="10" s="1"/>
  <c r="X56" i="10"/>
  <c r="P56" i="10" s="1"/>
  <c r="Q56" i="10" s="1"/>
  <c r="T56" i="10"/>
  <c r="U56" i="10"/>
  <c r="AF57" i="10"/>
  <c r="AF167" i="10"/>
  <c r="E169" i="10"/>
  <c r="B170" i="10"/>
  <c r="S146" i="10"/>
  <c r="AG146" i="10" s="1"/>
  <c r="Z146" i="10"/>
  <c r="AA146" i="10" s="1"/>
  <c r="X146" i="10"/>
  <c r="P146" i="10" s="1"/>
  <c r="Q146" i="10" s="1"/>
  <c r="V147" i="10"/>
  <c r="V57" i="10"/>
  <c r="W57" i="10"/>
  <c r="Y57" i="10" s="1"/>
  <c r="H133" i="10"/>
  <c r="AK132" i="10" a="1"/>
  <c r="AK132" i="10" s="1"/>
  <c r="R132" i="10"/>
  <c r="T132" i="10"/>
  <c r="U132" i="10" s="1"/>
  <c r="W167" i="10"/>
  <c r="Y167" i="10" s="1"/>
  <c r="V167" i="10"/>
  <c r="Z166" i="10"/>
  <c r="AA166" i="10" s="1"/>
  <c r="S166" i="10"/>
  <c r="AG166" i="10" s="1"/>
  <c r="X166" i="10"/>
  <c r="P166" i="10" s="1"/>
  <c r="Q166" i="10" s="1"/>
  <c r="H57" i="10"/>
  <c r="AK56" i="10" a="1"/>
  <c r="AK56" i="10" s="1"/>
  <c r="N59" i="10" l="1"/>
  <c r="AJ59" i="10"/>
  <c r="AI59" i="10"/>
  <c r="I59" i="10" s="1"/>
  <c r="O59" i="10"/>
  <c r="H134" i="10"/>
  <c r="AK133" i="10" a="1"/>
  <c r="AK133" i="10" s="1"/>
  <c r="T133" i="10"/>
  <c r="U133" i="10" s="1"/>
  <c r="R133" i="10"/>
  <c r="X167" i="10"/>
  <c r="P167" i="10" s="1"/>
  <c r="Q167" i="10" s="1"/>
  <c r="S167" i="10"/>
  <c r="AG167" i="10" s="1"/>
  <c r="Z167" i="10"/>
  <c r="AA167" i="10" s="1"/>
  <c r="X147" i="10"/>
  <c r="P147" i="10" s="1"/>
  <c r="Q147" i="10" s="1"/>
  <c r="S147" i="10"/>
  <c r="AG147" i="10" s="1"/>
  <c r="Z147" i="10"/>
  <c r="AA147" i="10" s="1"/>
  <c r="V148" i="10"/>
  <c r="W168" i="10"/>
  <c r="Y168" i="10" s="1"/>
  <c r="V168" i="10"/>
  <c r="W58" i="10"/>
  <c r="Y58" i="10" s="1"/>
  <c r="V58" i="10"/>
  <c r="N169" i="10"/>
  <c r="AJ169" i="10"/>
  <c r="AI169" i="10"/>
  <c r="I169" i="10" s="1"/>
  <c r="O169" i="10"/>
  <c r="AF168" i="10"/>
  <c r="H58" i="10"/>
  <c r="AK57" i="10" a="1"/>
  <c r="AK57" i="10" s="1"/>
  <c r="B61" i="10"/>
  <c r="E60" i="10"/>
  <c r="S57" i="10"/>
  <c r="AG57" i="10" s="1"/>
  <c r="R57" i="10"/>
  <c r="Z57" i="10"/>
  <c r="AA57" i="10" s="1"/>
  <c r="X57" i="10"/>
  <c r="P57" i="10" s="1"/>
  <c r="Q57" i="10" s="1"/>
  <c r="AF58" i="10"/>
  <c r="E170" i="10"/>
  <c r="B171" i="10"/>
  <c r="N170" i="10" l="1"/>
  <c r="O170" i="10"/>
  <c r="AJ170" i="10"/>
  <c r="AI170" i="10"/>
  <c r="I170" i="10" s="1"/>
  <c r="Z148" i="10"/>
  <c r="AA148" i="10" s="1"/>
  <c r="X148" i="10"/>
  <c r="P148" i="10" s="1"/>
  <c r="Q148" i="10" s="1"/>
  <c r="S148" i="10"/>
  <c r="AG148" i="10" s="1"/>
  <c r="V150" i="10"/>
  <c r="AF169" i="10"/>
  <c r="T57" i="10"/>
  <c r="U57" i="10" s="1"/>
  <c r="AF59" i="10"/>
  <c r="V169" i="10"/>
  <c r="W169" i="10"/>
  <c r="Y169" i="10" s="1"/>
  <c r="H135" i="10"/>
  <c r="AK134" i="10" a="1"/>
  <c r="AK134" i="10" s="1"/>
  <c r="R134" i="10"/>
  <c r="T134" i="10"/>
  <c r="U134" i="10" s="1"/>
  <c r="Z58" i="10"/>
  <c r="AA58" i="10" s="1"/>
  <c r="S58" i="10"/>
  <c r="AG58" i="10" s="1"/>
  <c r="U58" i="10" s="1"/>
  <c r="R58" i="10"/>
  <c r="T58" i="10"/>
  <c r="X58" i="10"/>
  <c r="P58" i="10" s="1"/>
  <c r="Q58" i="10" s="1"/>
  <c r="W59" i="10"/>
  <c r="Y59" i="10" s="1"/>
  <c r="V59" i="10"/>
  <c r="B172" i="10"/>
  <c r="E171" i="10"/>
  <c r="AJ60" i="10"/>
  <c r="AI60" i="10"/>
  <c r="I60" i="10" s="1"/>
  <c r="N60" i="10"/>
  <c r="O60" i="10"/>
  <c r="B62" i="10"/>
  <c r="E61" i="10"/>
  <c r="H59" i="10"/>
  <c r="AK58" i="10" a="1"/>
  <c r="AK58" i="10" s="1"/>
  <c r="S168" i="10"/>
  <c r="AG168" i="10" s="1"/>
  <c r="Z168" i="10"/>
  <c r="AA168" i="10" s="1"/>
  <c r="X168" i="10"/>
  <c r="P168" i="10" s="1"/>
  <c r="Q168" i="10" s="1"/>
  <c r="B63" i="10" l="1"/>
  <c r="E62" i="10"/>
  <c r="AJ61" i="10"/>
  <c r="AI61" i="10"/>
  <c r="I61" i="10" s="1"/>
  <c r="N61" i="10"/>
  <c r="O61" i="10"/>
  <c r="Z150" i="10"/>
  <c r="AA150" i="10" s="1"/>
  <c r="X150" i="10"/>
  <c r="P150" i="10" s="1"/>
  <c r="Q150" i="10" s="1"/>
  <c r="S150" i="10"/>
  <c r="AG150" i="10" s="1"/>
  <c r="V151" i="10"/>
  <c r="N171" i="10"/>
  <c r="AJ171" i="10"/>
  <c r="AI171" i="10"/>
  <c r="I171" i="10" s="1"/>
  <c r="O171" i="10"/>
  <c r="H60" i="10"/>
  <c r="AK59" i="10" a="1"/>
  <c r="AK59" i="10" s="1"/>
  <c r="AF60" i="10"/>
  <c r="H136" i="10"/>
  <c r="AK135" i="10" a="1"/>
  <c r="AK135" i="10" s="1"/>
  <c r="T135" i="10"/>
  <c r="U135" i="10" s="1"/>
  <c r="R135" i="10"/>
  <c r="Z169" i="10"/>
  <c r="AA169" i="10" s="1"/>
  <c r="S169" i="10"/>
  <c r="AG169" i="10" s="1"/>
  <c r="X169" i="10"/>
  <c r="P169" i="10" s="1"/>
  <c r="Q169" i="10" s="1"/>
  <c r="E172" i="10"/>
  <c r="B173" i="10"/>
  <c r="W170" i="10"/>
  <c r="Y170" i="10" s="1"/>
  <c r="V170" i="10"/>
  <c r="W60" i="10"/>
  <c r="Y60" i="10" s="1"/>
  <c r="V60" i="10"/>
  <c r="S59" i="10"/>
  <c r="AG59" i="10" s="1"/>
  <c r="R59" i="10"/>
  <c r="T59" i="10"/>
  <c r="Z59" i="10"/>
  <c r="AA59" i="10" s="1"/>
  <c r="U59" i="10"/>
  <c r="X59" i="10"/>
  <c r="P59" i="10" s="1"/>
  <c r="Q59" i="10" s="1"/>
  <c r="AF170" i="10"/>
  <c r="AF171" i="10" l="1"/>
  <c r="R60" i="10"/>
  <c r="S60" i="10"/>
  <c r="AG60" i="10" s="1"/>
  <c r="T60" i="10" s="1"/>
  <c r="U60" i="10" s="1"/>
  <c r="X60" i="10"/>
  <c r="P60" i="10" s="1"/>
  <c r="Q60" i="10" s="1"/>
  <c r="Z60" i="10"/>
  <c r="AA60" i="10" s="1"/>
  <c r="B174" i="10"/>
  <c r="E173" i="10"/>
  <c r="W61" i="10"/>
  <c r="Y61" i="10" s="1"/>
  <c r="V61" i="10"/>
  <c r="N62" i="10"/>
  <c r="AJ62" i="10"/>
  <c r="AI62" i="10"/>
  <c r="I62" i="10" s="1"/>
  <c r="O62" i="10"/>
  <c r="X170" i="10"/>
  <c r="P170" i="10" s="1"/>
  <c r="Q170" i="10" s="1"/>
  <c r="S170" i="10"/>
  <c r="AG170" i="10" s="1"/>
  <c r="Z170" i="10"/>
  <c r="AA170" i="10" s="1"/>
  <c r="E63" i="10"/>
  <c r="B64" i="10"/>
  <c r="W171" i="10"/>
  <c r="Y171" i="10" s="1"/>
  <c r="V171" i="10"/>
  <c r="AF61" i="10"/>
  <c r="H137" i="10"/>
  <c r="AK136" i="10" a="1"/>
  <c r="AK136" i="10" s="1"/>
  <c r="T136" i="10"/>
  <c r="U136" i="10" s="1"/>
  <c r="R136" i="10"/>
  <c r="H61" i="10"/>
  <c r="AK60" i="10" a="1"/>
  <c r="AK60" i="10" s="1"/>
  <c r="Z151" i="10"/>
  <c r="AA151" i="10" s="1"/>
  <c r="X151" i="10"/>
  <c r="P151" i="10" s="1"/>
  <c r="Q151" i="10" s="1"/>
  <c r="S151" i="10"/>
  <c r="AG151" i="10" s="1"/>
  <c r="V152" i="10"/>
  <c r="AI172" i="10"/>
  <c r="I172" i="10" s="1"/>
  <c r="AJ172" i="10"/>
  <c r="N172" i="10"/>
  <c r="O172" i="10"/>
  <c r="AF172" i="10" l="1"/>
  <c r="X152" i="10"/>
  <c r="P152" i="10" s="1"/>
  <c r="Q152" i="10" s="1"/>
  <c r="S152" i="10"/>
  <c r="AG152" i="10" s="1"/>
  <c r="Z152" i="10"/>
  <c r="AA152" i="10" s="1"/>
  <c r="V153" i="10"/>
  <c r="W172" i="10"/>
  <c r="Y172" i="10" s="1"/>
  <c r="V172" i="10"/>
  <c r="B175" i="10"/>
  <c r="E174" i="10"/>
  <c r="H138" i="10"/>
  <c r="AK137" i="10" a="1"/>
  <c r="AK137" i="10" s="1"/>
  <c r="T137" i="10"/>
  <c r="U137" i="10" s="1"/>
  <c r="R137" i="10"/>
  <c r="AF62" i="10"/>
  <c r="H62" i="10"/>
  <c r="AK61" i="10" a="1"/>
  <c r="AK61" i="10" s="1"/>
  <c r="AJ173" i="10"/>
  <c r="AI173" i="10"/>
  <c r="I173" i="10" s="1"/>
  <c r="N173" i="10"/>
  <c r="O173" i="10"/>
  <c r="B65" i="10"/>
  <c r="E64" i="10"/>
  <c r="V62" i="10"/>
  <c r="W62" i="10"/>
  <c r="Y62" i="10" s="1"/>
  <c r="Z171" i="10"/>
  <c r="AA171" i="10" s="1"/>
  <c r="X171" i="10"/>
  <c r="P171" i="10" s="1"/>
  <c r="Q171" i="10" s="1"/>
  <c r="S171" i="10"/>
  <c r="AG171" i="10" s="1"/>
  <c r="AJ63" i="10"/>
  <c r="AI63" i="10"/>
  <c r="I63" i="10" s="1"/>
  <c r="O63" i="10"/>
  <c r="N63" i="10"/>
  <c r="Z61" i="10"/>
  <c r="AA61" i="10" s="1"/>
  <c r="S61" i="10"/>
  <c r="AG61" i="10" s="1"/>
  <c r="U61" i="10" s="1"/>
  <c r="T61" i="10"/>
  <c r="R61" i="10"/>
  <c r="X61" i="10"/>
  <c r="P61" i="10" s="1"/>
  <c r="Q61" i="10" s="1"/>
  <c r="W63" i="10" l="1"/>
  <c r="Y63" i="10" s="1"/>
  <c r="V63" i="10"/>
  <c r="H139" i="10"/>
  <c r="AK138" i="10" a="1"/>
  <c r="AK138" i="10" s="1"/>
  <c r="T138" i="10"/>
  <c r="U138" i="10" s="1"/>
  <c r="R138" i="10"/>
  <c r="E175" i="10"/>
  <c r="B176" i="10"/>
  <c r="N174" i="10"/>
  <c r="AJ174" i="10"/>
  <c r="AI174" i="10"/>
  <c r="I174" i="10" s="1"/>
  <c r="O174" i="10"/>
  <c r="Z172" i="10"/>
  <c r="AA172" i="10" s="1"/>
  <c r="X172" i="10"/>
  <c r="P172" i="10" s="1"/>
  <c r="Q172" i="10" s="1"/>
  <c r="S172" i="10"/>
  <c r="AG172" i="10" s="1"/>
  <c r="H63" i="10"/>
  <c r="AK62" i="10" a="1"/>
  <c r="AK62" i="10" s="1"/>
  <c r="AF63" i="10"/>
  <c r="W173" i="10"/>
  <c r="Y173" i="10" s="1"/>
  <c r="V173" i="10"/>
  <c r="Z153" i="10"/>
  <c r="AA153" i="10" s="1"/>
  <c r="X153" i="10"/>
  <c r="P153" i="10" s="1"/>
  <c r="Q153" i="10" s="1"/>
  <c r="S153" i="10"/>
  <c r="AG153" i="10" s="1"/>
  <c r="V154" i="10"/>
  <c r="S62" i="10"/>
  <c r="AG62" i="10" s="1"/>
  <c r="R62" i="10"/>
  <c r="T62" i="10"/>
  <c r="U62" i="10" s="1"/>
  <c r="Z62" i="10"/>
  <c r="AA62" i="10" s="1"/>
  <c r="X62" i="10"/>
  <c r="P62" i="10" s="1"/>
  <c r="Q62" i="10" s="1"/>
  <c r="AJ64" i="10"/>
  <c r="AI64" i="10"/>
  <c r="I64" i="10" s="1"/>
  <c r="N64" i="10"/>
  <c r="O64" i="10"/>
  <c r="B66" i="10"/>
  <c r="E65" i="10"/>
  <c r="AF173" i="10"/>
  <c r="H64" i="10" l="1"/>
  <c r="AK63" i="10" a="1"/>
  <c r="AK63" i="10" s="1"/>
  <c r="AF174" i="10"/>
  <c r="B177" i="10"/>
  <c r="E176" i="10"/>
  <c r="Z154" i="10"/>
  <c r="AA154" i="10" s="1"/>
  <c r="X154" i="10"/>
  <c r="P154" i="10" s="1"/>
  <c r="Q154" i="10" s="1"/>
  <c r="S154" i="10"/>
  <c r="AG154" i="10" s="1"/>
  <c r="V156" i="10"/>
  <c r="H140" i="10"/>
  <c r="AK139" i="10" a="1"/>
  <c r="AK139" i="10" s="1"/>
  <c r="R139" i="10"/>
  <c r="T139" i="10"/>
  <c r="U139" i="10" s="1"/>
  <c r="W174" i="10"/>
  <c r="Y174" i="10" s="1"/>
  <c r="V174" i="10"/>
  <c r="AI175" i="10"/>
  <c r="I175" i="10" s="1"/>
  <c r="N175" i="10"/>
  <c r="AJ175" i="10"/>
  <c r="O175" i="10"/>
  <c r="S63" i="10"/>
  <c r="AG63" i="10" s="1"/>
  <c r="Z63" i="10"/>
  <c r="AA63" i="10" s="1"/>
  <c r="X63" i="10"/>
  <c r="P63" i="10" s="1"/>
  <c r="Q63" i="10" s="1"/>
  <c r="R63" i="10"/>
  <c r="T63" i="10"/>
  <c r="U63" i="10" s="1"/>
  <c r="W64" i="10"/>
  <c r="Y64" i="10" s="1"/>
  <c r="V64" i="10"/>
  <c r="Z173" i="10"/>
  <c r="AA173" i="10" s="1"/>
  <c r="X173" i="10"/>
  <c r="P173" i="10" s="1"/>
  <c r="Q173" i="10" s="1"/>
  <c r="S173" i="10"/>
  <c r="AG173" i="10" s="1"/>
  <c r="N65" i="10"/>
  <c r="AJ65" i="10"/>
  <c r="AI65" i="10"/>
  <c r="I65" i="10" s="1"/>
  <c r="O65" i="10"/>
  <c r="E66" i="10"/>
  <c r="B67" i="10"/>
  <c r="AF64" i="10"/>
  <c r="AF175" i="10" l="1"/>
  <c r="W65" i="10"/>
  <c r="Y65" i="10" s="1"/>
  <c r="V65" i="10"/>
  <c r="E67" i="10"/>
  <c r="B68" i="10"/>
  <c r="S156" i="10"/>
  <c r="AG156" i="10" s="1"/>
  <c r="X156" i="10"/>
  <c r="P156" i="10" s="1"/>
  <c r="Q156" i="10" s="1"/>
  <c r="Z156" i="10"/>
  <c r="AA156" i="10" s="1"/>
  <c r="V157" i="10"/>
  <c r="B178" i="10"/>
  <c r="E177" i="10"/>
  <c r="W175" i="10"/>
  <c r="Y175" i="10" s="1"/>
  <c r="V175" i="10"/>
  <c r="S174" i="10"/>
  <c r="AG174" i="10" s="1"/>
  <c r="Z174" i="10"/>
  <c r="AA174" i="10" s="1"/>
  <c r="X174" i="10"/>
  <c r="P174" i="10" s="1"/>
  <c r="Q174" i="10" s="1"/>
  <c r="H141" i="10"/>
  <c r="AK140" i="10" a="1"/>
  <c r="AK140" i="10" s="1"/>
  <c r="T140" i="10"/>
  <c r="U140" i="10" s="1"/>
  <c r="R140" i="10"/>
  <c r="Z64" i="10"/>
  <c r="AA64" i="10" s="1"/>
  <c r="S64" i="10"/>
  <c r="AG64" i="10" s="1"/>
  <c r="U64" i="10" s="1"/>
  <c r="X64" i="10"/>
  <c r="P64" i="10" s="1"/>
  <c r="Q64" i="10" s="1"/>
  <c r="T64" i="10"/>
  <c r="R64" i="10"/>
  <c r="N176" i="10"/>
  <c r="AJ176" i="10"/>
  <c r="AI176" i="10"/>
  <c r="I176" i="10" s="1"/>
  <c r="O176" i="10"/>
  <c r="AF65" i="10"/>
  <c r="AJ66" i="10"/>
  <c r="AI66" i="10"/>
  <c r="I66" i="10" s="1"/>
  <c r="N66" i="10"/>
  <c r="O66" i="10"/>
  <c r="H65" i="10"/>
  <c r="AK64" i="10" a="1"/>
  <c r="AK64" i="10" s="1"/>
  <c r="W66" i="10" l="1"/>
  <c r="Y66" i="10" s="1"/>
  <c r="V66" i="10"/>
  <c r="E178" i="10"/>
  <c r="B179" i="10"/>
  <c r="AF176" i="10"/>
  <c r="AF66" i="10"/>
  <c r="Z175" i="10"/>
  <c r="AA175" i="10" s="1"/>
  <c r="X175" i="10"/>
  <c r="P175" i="10" s="1"/>
  <c r="Q175" i="10" s="1"/>
  <c r="S175" i="10"/>
  <c r="AG175" i="10" s="1"/>
  <c r="Z157" i="10"/>
  <c r="AA157" i="10" s="1"/>
  <c r="X157" i="10"/>
  <c r="P157" i="10" s="1"/>
  <c r="Q157" i="10" s="1"/>
  <c r="S157" i="10"/>
  <c r="AG157" i="10" s="1"/>
  <c r="V158" i="10"/>
  <c r="N67" i="10"/>
  <c r="AJ67" i="10"/>
  <c r="AI67" i="10"/>
  <c r="I67" i="10" s="1"/>
  <c r="O67" i="10"/>
  <c r="H66" i="10"/>
  <c r="AK65" i="10" a="1"/>
  <c r="AK65" i="10" s="1"/>
  <c r="N177" i="10"/>
  <c r="AJ177" i="10"/>
  <c r="AI177" i="10"/>
  <c r="I177" i="10" s="1"/>
  <c r="O177" i="10"/>
  <c r="B69" i="10"/>
  <c r="E68" i="10"/>
  <c r="S65" i="10"/>
  <c r="AG65" i="10" s="1"/>
  <c r="R65" i="10"/>
  <c r="Z65" i="10"/>
  <c r="AA65" i="10" s="1"/>
  <c r="T65" i="10"/>
  <c r="U65" i="10"/>
  <c r="X65" i="10"/>
  <c r="P65" i="10" s="1"/>
  <c r="Q65" i="10" s="1"/>
  <c r="H142" i="10"/>
  <c r="AK141" i="10" a="1"/>
  <c r="AK141" i="10" s="1"/>
  <c r="T141" i="10"/>
  <c r="U141" i="10" s="1"/>
  <c r="R141" i="10"/>
  <c r="W176" i="10"/>
  <c r="Y176" i="10" s="1"/>
  <c r="V176" i="10"/>
  <c r="W67" i="10" l="1"/>
  <c r="Y67" i="10" s="1"/>
  <c r="V67" i="10"/>
  <c r="H143" i="10"/>
  <c r="AK142" i="10" a="1"/>
  <c r="AK142" i="10" s="1"/>
  <c r="T142" i="10"/>
  <c r="U142" i="10" s="1"/>
  <c r="R142" i="10"/>
  <c r="AF177" i="10"/>
  <c r="Z176" i="10"/>
  <c r="AA176" i="10" s="1"/>
  <c r="X176" i="10"/>
  <c r="P176" i="10" s="1"/>
  <c r="Q176" i="10" s="1"/>
  <c r="S176" i="10"/>
  <c r="AG176" i="10" s="1"/>
  <c r="X158" i="10"/>
  <c r="P158" i="10" s="1"/>
  <c r="Q158" i="10" s="1"/>
  <c r="S158" i="10"/>
  <c r="AG158" i="10" s="1"/>
  <c r="Z158" i="10"/>
  <c r="AA158" i="10" s="1"/>
  <c r="V160" i="10"/>
  <c r="N68" i="10"/>
  <c r="AJ68" i="10"/>
  <c r="AI68" i="10"/>
  <c r="I68" i="10" s="1"/>
  <c r="O68" i="10"/>
  <c r="B180" i="10"/>
  <c r="E179" i="10"/>
  <c r="W177" i="10"/>
  <c r="Y177" i="10" s="1"/>
  <c r="V177" i="10"/>
  <c r="H67" i="10"/>
  <c r="AK66" i="10" a="1"/>
  <c r="AK66" i="10" s="1"/>
  <c r="AI178" i="10"/>
  <c r="I178" i="10" s="1"/>
  <c r="AJ178" i="10"/>
  <c r="O178" i="10"/>
  <c r="N178" i="10"/>
  <c r="Z66" i="10"/>
  <c r="AA66" i="10" s="1"/>
  <c r="X66" i="10"/>
  <c r="P66" i="10" s="1"/>
  <c r="Q66" i="10" s="1"/>
  <c r="R66" i="10"/>
  <c r="S66" i="10"/>
  <c r="AG66" i="10" s="1"/>
  <c r="AF67" i="10"/>
  <c r="E69" i="10"/>
  <c r="B70" i="10"/>
  <c r="AJ69" i="10" l="1"/>
  <c r="AI69" i="10"/>
  <c r="I69" i="10" s="1"/>
  <c r="N69" i="10"/>
  <c r="O69" i="10"/>
  <c r="T66" i="10"/>
  <c r="U66" i="10" s="1"/>
  <c r="W68" i="10"/>
  <c r="Y68" i="10" s="1"/>
  <c r="V68" i="10"/>
  <c r="Z177" i="10"/>
  <c r="AA177" i="10" s="1"/>
  <c r="X177" i="10"/>
  <c r="P177" i="10" s="1"/>
  <c r="Q177" i="10" s="1"/>
  <c r="S177" i="10"/>
  <c r="AG177" i="10" s="1"/>
  <c r="AJ179" i="10"/>
  <c r="AI179" i="10"/>
  <c r="I179" i="10" s="1"/>
  <c r="N179" i="10"/>
  <c r="O179" i="10"/>
  <c r="Z67" i="10"/>
  <c r="AA67" i="10" s="1"/>
  <c r="U67" i="10"/>
  <c r="S67" i="10"/>
  <c r="AG67" i="10" s="1"/>
  <c r="X67" i="10"/>
  <c r="P67" i="10" s="1"/>
  <c r="Q67" i="10" s="1"/>
  <c r="T67" i="10"/>
  <c r="R67" i="10"/>
  <c r="H144" i="10"/>
  <c r="AK143" i="10" a="1"/>
  <c r="AK143" i="10" s="1"/>
  <c r="T143" i="10"/>
  <c r="U143" i="10" s="1"/>
  <c r="R143" i="10"/>
  <c r="Z160" i="10"/>
  <c r="AA160" i="10" s="1"/>
  <c r="X160" i="10"/>
  <c r="P160" i="10" s="1"/>
  <c r="Q160" i="10" s="1"/>
  <c r="S160" i="10"/>
  <c r="AG160" i="10" s="1"/>
  <c r="V161" i="10"/>
  <c r="AF178" i="10"/>
  <c r="W178" i="10"/>
  <c r="Y178" i="10" s="1"/>
  <c r="V178" i="10"/>
  <c r="H68" i="10"/>
  <c r="AK67" i="10" a="1"/>
  <c r="AK67" i="10" s="1"/>
  <c r="B181" i="10"/>
  <c r="E180" i="10"/>
  <c r="AF68" i="10"/>
  <c r="B71" i="10"/>
  <c r="E70" i="10"/>
  <c r="X161" i="10" l="1"/>
  <c r="P161" i="10" s="1"/>
  <c r="Q161" i="10" s="1"/>
  <c r="S161" i="10"/>
  <c r="AG161" i="10" s="1"/>
  <c r="Z161" i="10"/>
  <c r="AA161" i="10" s="1"/>
  <c r="V163" i="10"/>
  <c r="N180" i="10"/>
  <c r="AJ180" i="10"/>
  <c r="AI180" i="10"/>
  <c r="I180" i="10" s="1"/>
  <c r="O180" i="10"/>
  <c r="E181" i="10"/>
  <c r="B182" i="10"/>
  <c r="H69" i="10"/>
  <c r="AK68" i="10" a="1"/>
  <c r="AK68" i="10" s="1"/>
  <c r="H145" i="10"/>
  <c r="AK144" i="10" a="1"/>
  <c r="AK144" i="10" s="1"/>
  <c r="T144" i="10"/>
  <c r="U144" i="10" s="1"/>
  <c r="R144" i="10"/>
  <c r="AF179" i="10"/>
  <c r="S68" i="10"/>
  <c r="AG68" i="10" s="1"/>
  <c r="R68" i="10"/>
  <c r="Z68" i="10"/>
  <c r="AA68" i="10" s="1"/>
  <c r="T68" i="10"/>
  <c r="U68" i="10" s="1"/>
  <c r="X68" i="10"/>
  <c r="P68" i="10" s="1"/>
  <c r="Q68" i="10" s="1"/>
  <c r="W69" i="10"/>
  <c r="Y69" i="10" s="1"/>
  <c r="V69" i="10"/>
  <c r="AJ70" i="10"/>
  <c r="AI70" i="10"/>
  <c r="I70" i="10" s="1"/>
  <c r="O70" i="10"/>
  <c r="N70" i="10"/>
  <c r="Z178" i="10"/>
  <c r="AA178" i="10" s="1"/>
  <c r="X178" i="10"/>
  <c r="P178" i="10" s="1"/>
  <c r="Q178" i="10" s="1"/>
  <c r="S178" i="10"/>
  <c r="AG178" i="10" s="1"/>
  <c r="W179" i="10"/>
  <c r="Y179" i="10" s="1"/>
  <c r="V179" i="10"/>
  <c r="AF69" i="10"/>
  <c r="B72" i="10"/>
  <c r="E71" i="10"/>
  <c r="H146" i="10" l="1"/>
  <c r="AK145" i="10" a="1"/>
  <c r="AK145" i="10" s="1"/>
  <c r="R145" i="10"/>
  <c r="T145" i="10"/>
  <c r="U145" i="10" s="1"/>
  <c r="Z179" i="10"/>
  <c r="AA179" i="10" s="1"/>
  <c r="X179" i="10"/>
  <c r="P179" i="10" s="1"/>
  <c r="Q179" i="10" s="1"/>
  <c r="S179" i="10"/>
  <c r="AG179" i="10" s="1"/>
  <c r="AF70" i="10"/>
  <c r="Z163" i="10"/>
  <c r="AA163" i="10" s="1"/>
  <c r="X163" i="10"/>
  <c r="P163" i="10" s="1"/>
  <c r="Q163" i="10" s="1"/>
  <c r="S163" i="10"/>
  <c r="AG163" i="10" s="1"/>
  <c r="V164" i="10"/>
  <c r="W180" i="10"/>
  <c r="Y180" i="10" s="1"/>
  <c r="V180" i="10"/>
  <c r="E72" i="10"/>
  <c r="B73" i="10"/>
  <c r="E182" i="10"/>
  <c r="B183" i="10"/>
  <c r="W70" i="10"/>
  <c r="Y70" i="10" s="1"/>
  <c r="V70" i="10"/>
  <c r="Z69" i="10"/>
  <c r="AA69" i="10" s="1"/>
  <c r="X69" i="10"/>
  <c r="P69" i="10" s="1"/>
  <c r="Q69" i="10" s="1"/>
  <c r="S69" i="10"/>
  <c r="AG69" i="10" s="1"/>
  <c r="U69" i="10" s="1"/>
  <c r="R69" i="10"/>
  <c r="T69" i="10"/>
  <c r="H70" i="10"/>
  <c r="AK69" i="10" a="1"/>
  <c r="AK69" i="10" s="1"/>
  <c r="AJ181" i="10"/>
  <c r="AI181" i="10"/>
  <c r="I181" i="10" s="1"/>
  <c r="N181" i="10"/>
  <c r="O181" i="10"/>
  <c r="AF180" i="10"/>
  <c r="N71" i="10"/>
  <c r="AJ71" i="10"/>
  <c r="AI71" i="10"/>
  <c r="I71" i="10" s="1"/>
  <c r="O71" i="10"/>
  <c r="Z180" i="10" l="1"/>
  <c r="AA180" i="10" s="1"/>
  <c r="S180" i="10"/>
  <c r="AG180" i="10" s="1"/>
  <c r="X180" i="10"/>
  <c r="P180" i="10" s="1"/>
  <c r="Q180" i="10" s="1"/>
  <c r="AF181" i="10"/>
  <c r="AF71" i="10"/>
  <c r="X164" i="10"/>
  <c r="P164" i="10" s="1"/>
  <c r="Q164" i="10" s="1"/>
  <c r="S164" i="10"/>
  <c r="AG164" i="10" s="1"/>
  <c r="Z164" i="10"/>
  <c r="AA164" i="10" s="1"/>
  <c r="H71" i="10"/>
  <c r="AK70" i="10" a="1"/>
  <c r="AK70" i="10" s="1"/>
  <c r="Z70" i="10"/>
  <c r="AA70" i="10" s="1"/>
  <c r="S70" i="10"/>
  <c r="AG70" i="10" s="1"/>
  <c r="T70" i="10" s="1"/>
  <c r="X70" i="10"/>
  <c r="P70" i="10" s="1"/>
  <c r="Q70" i="10" s="1"/>
  <c r="R70" i="10"/>
  <c r="AJ72" i="10"/>
  <c r="AI72" i="10"/>
  <c r="I72" i="10" s="1"/>
  <c r="N72" i="10"/>
  <c r="O72" i="10"/>
  <c r="B184" i="10"/>
  <c r="E183" i="10"/>
  <c r="H147" i="10"/>
  <c r="AK146" i="10" a="1"/>
  <c r="AK146" i="10" s="1"/>
  <c r="R146" i="10"/>
  <c r="T146" i="10"/>
  <c r="U146" i="10" s="1"/>
  <c r="W181" i="10"/>
  <c r="Y181" i="10" s="1"/>
  <c r="V181" i="10"/>
  <c r="N182" i="10"/>
  <c r="AJ182" i="10"/>
  <c r="AI182" i="10"/>
  <c r="I182" i="10" s="1"/>
  <c r="O182" i="10"/>
  <c r="W71" i="10"/>
  <c r="Y71" i="10" s="1"/>
  <c r="V71" i="10"/>
  <c r="B74" i="10"/>
  <c r="E73" i="10"/>
  <c r="S71" i="10" l="1"/>
  <c r="AG71" i="10" s="1"/>
  <c r="R71" i="10"/>
  <c r="Z71" i="10"/>
  <c r="AA71" i="10" s="1"/>
  <c r="X71" i="10"/>
  <c r="P71" i="10" s="1"/>
  <c r="Q71" i="10" s="1"/>
  <c r="T71" i="10"/>
  <c r="U71" i="10" s="1"/>
  <c r="B75" i="10"/>
  <c r="E74" i="10"/>
  <c r="H72" i="10"/>
  <c r="AK71" i="10" a="1"/>
  <c r="AK71" i="10" s="1"/>
  <c r="X181" i="10"/>
  <c r="P181" i="10" s="1"/>
  <c r="Q181" i="10" s="1"/>
  <c r="S181" i="10"/>
  <c r="AG181" i="10" s="1"/>
  <c r="Z181" i="10"/>
  <c r="AA181" i="10" s="1"/>
  <c r="B185" i="10"/>
  <c r="E184" i="10"/>
  <c r="AJ73" i="10"/>
  <c r="AI73" i="10"/>
  <c r="I73" i="10" s="1"/>
  <c r="O73" i="10"/>
  <c r="N73" i="10"/>
  <c r="AF182" i="10"/>
  <c r="W72" i="10"/>
  <c r="Y72" i="10" s="1"/>
  <c r="V72" i="10"/>
  <c r="W182" i="10"/>
  <c r="Y182" i="10" s="1"/>
  <c r="V182" i="10"/>
  <c r="U70" i="10"/>
  <c r="H148" i="10"/>
  <c r="AK147" i="10" a="1"/>
  <c r="AK147" i="10" s="1"/>
  <c r="R147" i="10"/>
  <c r="T147" i="10"/>
  <c r="U147" i="10" s="1"/>
  <c r="AJ183" i="10"/>
  <c r="AI183" i="10"/>
  <c r="I183" i="10" s="1"/>
  <c r="O183" i="10"/>
  <c r="N183" i="10"/>
  <c r="AF72" i="10"/>
  <c r="W73" i="10" l="1"/>
  <c r="Y73" i="10" s="1"/>
  <c r="V73" i="10"/>
  <c r="N184" i="10"/>
  <c r="AJ184" i="10"/>
  <c r="AI184" i="10"/>
  <c r="I184" i="10" s="1"/>
  <c r="O184" i="10"/>
  <c r="AF73" i="10"/>
  <c r="E185" i="10"/>
  <c r="B186" i="10"/>
  <c r="N74" i="10"/>
  <c r="AJ74" i="10"/>
  <c r="AI74" i="10"/>
  <c r="I74" i="10" s="1"/>
  <c r="O74" i="10"/>
  <c r="H73" i="10"/>
  <c r="AK72" i="10" a="1"/>
  <c r="AK72" i="10" s="1"/>
  <c r="B76" i="10"/>
  <c r="E75" i="10"/>
  <c r="S182" i="10"/>
  <c r="AG182" i="10" s="1"/>
  <c r="Z182" i="10"/>
  <c r="AA182" i="10" s="1"/>
  <c r="X182" i="10"/>
  <c r="P182" i="10" s="1"/>
  <c r="Q182" i="10" s="1"/>
  <c r="W183" i="10"/>
  <c r="Y183" i="10" s="1"/>
  <c r="V183" i="10"/>
  <c r="H149" i="10"/>
  <c r="AK148" i="10" a="1"/>
  <c r="AK148" i="10" s="1"/>
  <c r="R148" i="10"/>
  <c r="T148" i="10"/>
  <c r="U148" i="10" s="1"/>
  <c r="AF183" i="10"/>
  <c r="Z72" i="10"/>
  <c r="AA72" i="10" s="1"/>
  <c r="X72" i="10"/>
  <c r="P72" i="10" s="1"/>
  <c r="Q72" i="10" s="1"/>
  <c r="S72" i="10"/>
  <c r="AG72" i="10" s="1"/>
  <c r="T72" i="10" s="1"/>
  <c r="U72" i="10" s="1"/>
  <c r="R72" i="10"/>
  <c r="H74" i="10" l="1"/>
  <c r="AK73" i="10" a="1"/>
  <c r="AK73" i="10" s="1"/>
  <c r="E186" i="10"/>
  <c r="B187" i="10"/>
  <c r="AJ75" i="10"/>
  <c r="AI75" i="10"/>
  <c r="I75" i="10" s="1"/>
  <c r="O75" i="10"/>
  <c r="N75" i="10"/>
  <c r="W184" i="10"/>
  <c r="Y184" i="10" s="1"/>
  <c r="V184" i="10"/>
  <c r="AF74" i="10"/>
  <c r="H150" i="10"/>
  <c r="AK149" i="10" a="1"/>
  <c r="AK149" i="10" s="1"/>
  <c r="T149" i="10"/>
  <c r="U149" i="10" s="1"/>
  <c r="R149" i="10"/>
  <c r="Z73" i="10"/>
  <c r="AA73" i="10" s="1"/>
  <c r="S73" i="10"/>
  <c r="AG73" i="10" s="1"/>
  <c r="X73" i="10"/>
  <c r="P73" i="10" s="1"/>
  <c r="Q73" i="10" s="1"/>
  <c r="R73" i="10"/>
  <c r="B77" i="10"/>
  <c r="E76" i="10"/>
  <c r="AJ185" i="10"/>
  <c r="AI185" i="10"/>
  <c r="I185" i="10" s="1"/>
  <c r="O185" i="10"/>
  <c r="N185" i="10"/>
  <c r="X183" i="10"/>
  <c r="P183" i="10" s="1"/>
  <c r="Q183" i="10" s="1"/>
  <c r="S183" i="10"/>
  <c r="AG183" i="10" s="1"/>
  <c r="Z183" i="10"/>
  <c r="AA183" i="10" s="1"/>
  <c r="W74" i="10"/>
  <c r="Y74" i="10" s="1"/>
  <c r="V74" i="10"/>
  <c r="AF184" i="10"/>
  <c r="T73" i="10" l="1"/>
  <c r="U73" i="10" s="1"/>
  <c r="W75" i="10"/>
  <c r="Y75" i="10" s="1"/>
  <c r="V75" i="10"/>
  <c r="Z184" i="10"/>
  <c r="AA184" i="10" s="1"/>
  <c r="S184" i="10"/>
  <c r="AG184" i="10" s="1"/>
  <c r="X184" i="10"/>
  <c r="P184" i="10" s="1"/>
  <c r="Q184" i="10" s="1"/>
  <c r="H151" i="10"/>
  <c r="AK150" i="10" a="1"/>
  <c r="AK150" i="10" s="1"/>
  <c r="T150" i="10"/>
  <c r="U150" i="10" s="1"/>
  <c r="R150" i="10"/>
  <c r="AF75" i="10"/>
  <c r="S74" i="10"/>
  <c r="AG74" i="10" s="1"/>
  <c r="R74" i="10"/>
  <c r="Z74" i="10"/>
  <c r="AA74" i="10" s="1"/>
  <c r="X74" i="10"/>
  <c r="P74" i="10" s="1"/>
  <c r="Q74" i="10" s="1"/>
  <c r="T74" i="10"/>
  <c r="U74" i="10"/>
  <c r="W185" i="10"/>
  <c r="Y185" i="10" s="1"/>
  <c r="V185" i="10"/>
  <c r="AF185" i="10"/>
  <c r="E187" i="10"/>
  <c r="B188" i="10"/>
  <c r="AJ186" i="10"/>
  <c r="N186" i="10"/>
  <c r="O186" i="10"/>
  <c r="AI186" i="10"/>
  <c r="I186" i="10" s="1"/>
  <c r="AJ76" i="10"/>
  <c r="AI76" i="10"/>
  <c r="I76" i="10" s="1"/>
  <c r="O76" i="10"/>
  <c r="N76" i="10"/>
  <c r="H75" i="10"/>
  <c r="AK74" i="10" a="1"/>
  <c r="AK74" i="10" s="1"/>
  <c r="B78" i="10"/>
  <c r="E78" i="10" s="1"/>
  <c r="E77" i="10"/>
  <c r="H76" i="10" l="1"/>
  <c r="AK75" i="10" a="1"/>
  <c r="AK75" i="10" s="1"/>
  <c r="W76" i="10"/>
  <c r="Y76" i="10" s="1"/>
  <c r="V76" i="10"/>
  <c r="W186" i="10"/>
  <c r="Y186" i="10" s="1"/>
  <c r="V186" i="10"/>
  <c r="N77" i="10"/>
  <c r="AJ77" i="10"/>
  <c r="AI77" i="10"/>
  <c r="I77" i="10" s="1"/>
  <c r="O77" i="10"/>
  <c r="AJ78" i="10"/>
  <c r="AI78" i="10"/>
  <c r="I78" i="10" s="1"/>
  <c r="N78" i="10"/>
  <c r="AI79" i="10"/>
  <c r="I79" i="10" s="1"/>
  <c r="N79" i="10"/>
  <c r="O78" i="10"/>
  <c r="AF76" i="10"/>
  <c r="AF186" i="10"/>
  <c r="B189" i="10"/>
  <c r="E188" i="10"/>
  <c r="AJ187" i="10"/>
  <c r="O187" i="10"/>
  <c r="N187" i="10"/>
  <c r="AI187" i="10"/>
  <c r="I187" i="10" s="1"/>
  <c r="H152" i="10"/>
  <c r="AK151" i="10" a="1"/>
  <c r="AK151" i="10" s="1"/>
  <c r="R151" i="10"/>
  <c r="T151" i="10"/>
  <c r="U151" i="10" s="1"/>
  <c r="X75" i="10"/>
  <c r="P75" i="10" s="1"/>
  <c r="Q75" i="10" s="1"/>
  <c r="Z75" i="10"/>
  <c r="AA75" i="10" s="1"/>
  <c r="S75" i="10"/>
  <c r="AG75" i="10" s="1"/>
  <c r="R75" i="10"/>
  <c r="S185" i="10"/>
  <c r="AG185" i="10" s="1"/>
  <c r="Z185" i="10"/>
  <c r="AA185" i="10" s="1"/>
  <c r="X185" i="10"/>
  <c r="P185" i="10" s="1"/>
  <c r="Q185" i="10" s="1"/>
  <c r="B190" i="10" l="1"/>
  <c r="E189" i="10"/>
  <c r="AF78" i="10"/>
  <c r="H153" i="10"/>
  <c r="AK152" i="10" a="1"/>
  <c r="AK152" i="10" s="1"/>
  <c r="R152" i="10"/>
  <c r="T152" i="10"/>
  <c r="U152" i="10" s="1"/>
  <c r="Z76" i="10"/>
  <c r="AA76" i="10" s="1"/>
  <c r="S76" i="10"/>
  <c r="AG76" i="10" s="1"/>
  <c r="U76" i="10" s="1"/>
  <c r="X76" i="10"/>
  <c r="P76" i="10" s="1"/>
  <c r="Q76" i="10" s="1"/>
  <c r="T76" i="10"/>
  <c r="R76" i="10"/>
  <c r="W77" i="10"/>
  <c r="Y77" i="10" s="1"/>
  <c r="V77" i="10"/>
  <c r="Z186" i="10"/>
  <c r="AA186" i="10" s="1"/>
  <c r="X186" i="10"/>
  <c r="P186" i="10" s="1"/>
  <c r="Q186" i="10" s="1"/>
  <c r="S186" i="10"/>
  <c r="AG186" i="10" s="1"/>
  <c r="W79" i="10"/>
  <c r="Y79" i="10" s="1"/>
  <c r="V79" i="10"/>
  <c r="AF77" i="10"/>
  <c r="AF187" i="10"/>
  <c r="AF79" i="10"/>
  <c r="T75" i="10"/>
  <c r="U75" i="10" s="1"/>
  <c r="W187" i="10"/>
  <c r="Y187" i="10" s="1"/>
  <c r="V187" i="10"/>
  <c r="H77" i="10"/>
  <c r="AK76" i="10" a="1"/>
  <c r="AK76" i="10" s="1"/>
  <c r="W78" i="10"/>
  <c r="Y78" i="10" s="1"/>
  <c r="V78" i="10"/>
  <c r="N188" i="10"/>
  <c r="AJ188" i="10"/>
  <c r="AI188" i="10"/>
  <c r="I188" i="10" s="1"/>
  <c r="O188" i="10"/>
  <c r="W188" i="10" l="1"/>
  <c r="Y188" i="10" s="1"/>
  <c r="V188" i="10"/>
  <c r="S77" i="10"/>
  <c r="AG77" i="10" s="1"/>
  <c r="R77" i="10"/>
  <c r="X77" i="10"/>
  <c r="P77" i="10" s="1"/>
  <c r="Q77" i="10" s="1"/>
  <c r="T77" i="10"/>
  <c r="U77" i="10" s="1"/>
  <c r="Z77" i="10"/>
  <c r="AA77" i="10" s="1"/>
  <c r="AF188" i="10"/>
  <c r="X187" i="10"/>
  <c r="P187" i="10" s="1"/>
  <c r="Q187" i="10" s="1"/>
  <c r="S187" i="10"/>
  <c r="AG187" i="10" s="1"/>
  <c r="Z187" i="10"/>
  <c r="AA187" i="10" s="1"/>
  <c r="S78" i="10"/>
  <c r="AG78" i="10" s="1"/>
  <c r="R78" i="10"/>
  <c r="Z78" i="10"/>
  <c r="AA78" i="10" s="1"/>
  <c r="X78" i="10"/>
  <c r="P78" i="10" s="1"/>
  <c r="Q78" i="10" s="1"/>
  <c r="AJ189" i="10"/>
  <c r="AI189" i="10"/>
  <c r="I189" i="10" s="1"/>
  <c r="O189" i="10"/>
  <c r="N189" i="10"/>
  <c r="H154" i="10"/>
  <c r="AK153" i="10" a="1"/>
  <c r="AK153" i="10" s="1"/>
  <c r="R153" i="10"/>
  <c r="T153" i="10"/>
  <c r="U153" i="10" s="1"/>
  <c r="E190" i="10"/>
  <c r="B191" i="10"/>
  <c r="H78" i="10"/>
  <c r="AK77" i="10" a="1"/>
  <c r="AK77" i="10" s="1"/>
  <c r="X79" i="10"/>
  <c r="P79" i="10" s="1"/>
  <c r="Q79" i="10" s="1"/>
  <c r="S79" i="10"/>
  <c r="AG79" i="10" s="1"/>
  <c r="Z79" i="10"/>
  <c r="AA79" i="10" s="1"/>
  <c r="AJ190" i="10" l="1"/>
  <c r="AI190" i="10"/>
  <c r="I190" i="10" s="1"/>
  <c r="O190" i="10"/>
  <c r="N190" i="10"/>
  <c r="E191" i="10"/>
  <c r="B192" i="10"/>
  <c r="T78" i="10"/>
  <c r="U78" i="10" s="1"/>
  <c r="W189" i="10"/>
  <c r="Y189" i="10" s="1"/>
  <c r="V189" i="10"/>
  <c r="H79" i="10"/>
  <c r="AK78" i="10" a="1"/>
  <c r="AK78" i="10" s="1"/>
  <c r="S188" i="10"/>
  <c r="AG188" i="10" s="1"/>
  <c r="Z188" i="10"/>
  <c r="AA188" i="10" s="1"/>
  <c r="X188" i="10"/>
  <c r="P188" i="10" s="1"/>
  <c r="Q188" i="10" s="1"/>
  <c r="H155" i="10"/>
  <c r="AK154" i="10" a="1"/>
  <c r="AK154" i="10" s="1"/>
  <c r="R154" i="10"/>
  <c r="T154" i="10"/>
  <c r="U154" i="10" s="1"/>
  <c r="AF189" i="10"/>
  <c r="E192" i="10" l="1"/>
  <c r="B193" i="10"/>
  <c r="X189" i="10"/>
  <c r="P189" i="10" s="1"/>
  <c r="Q189" i="10" s="1"/>
  <c r="Z189" i="10"/>
  <c r="AA189" i="10" s="1"/>
  <c r="S189" i="10"/>
  <c r="AG189" i="10" s="1"/>
  <c r="W190" i="10"/>
  <c r="Y190" i="10" s="1"/>
  <c r="V190" i="10"/>
  <c r="H80" i="10"/>
  <c r="AK79" i="10" a="1"/>
  <c r="AK79" i="10" s="1"/>
  <c r="T79" i="10"/>
  <c r="U79" i="10" s="1"/>
  <c r="R79" i="10"/>
  <c r="N191" i="10"/>
  <c r="O191" i="10"/>
  <c r="AI191" i="10"/>
  <c r="I191" i="10" s="1"/>
  <c r="AJ191" i="10"/>
  <c r="AF190" i="10"/>
  <c r="H156" i="10"/>
  <c r="AK155" i="10" a="1"/>
  <c r="AK155" i="10" s="1"/>
  <c r="T155" i="10"/>
  <c r="U155" i="10" s="1"/>
  <c r="R155" i="10"/>
  <c r="AF191" i="10" l="1"/>
  <c r="W191" i="10"/>
  <c r="Y191" i="10" s="1"/>
  <c r="V191" i="10"/>
  <c r="H81" i="10"/>
  <c r="AK80" i="10" a="1"/>
  <c r="AK80" i="10" s="1"/>
  <c r="T80" i="10"/>
  <c r="U80" i="10" s="1"/>
  <c r="R80" i="10"/>
  <c r="Z190" i="10"/>
  <c r="AA190" i="10" s="1"/>
  <c r="X190" i="10"/>
  <c r="P190" i="10" s="1"/>
  <c r="Q190" i="10" s="1"/>
  <c r="S190" i="10"/>
  <c r="AG190" i="10" s="1"/>
  <c r="E193" i="10"/>
  <c r="B194" i="10"/>
  <c r="H157" i="10"/>
  <c r="AK156" i="10" a="1"/>
  <c r="AK156" i="10" s="1"/>
  <c r="T156" i="10"/>
  <c r="U156" i="10" s="1"/>
  <c r="R156" i="10"/>
  <c r="AJ192" i="10"/>
  <c r="AI192" i="10"/>
  <c r="I192" i="10" s="1"/>
  <c r="O192" i="10"/>
  <c r="N192" i="10"/>
  <c r="AJ193" i="10" l="1"/>
  <c r="AI193" i="10"/>
  <c r="I193" i="10" s="1"/>
  <c r="N193" i="10"/>
  <c r="O193" i="10"/>
  <c r="H82" i="10"/>
  <c r="AK81" i="10" a="1"/>
  <c r="AK81" i="10" s="1"/>
  <c r="T81" i="10"/>
  <c r="U81" i="10" s="1"/>
  <c r="R81" i="10"/>
  <c r="S191" i="10"/>
  <c r="AG191" i="10" s="1"/>
  <c r="Z191" i="10"/>
  <c r="AA191" i="10" s="1"/>
  <c r="X191" i="10"/>
  <c r="P191" i="10" s="1"/>
  <c r="Q191" i="10" s="1"/>
  <c r="AF192" i="10"/>
  <c r="W192" i="10"/>
  <c r="Y192" i="10" s="1"/>
  <c r="V192" i="10"/>
  <c r="H158" i="10"/>
  <c r="AK157" i="10" a="1"/>
  <c r="AK157" i="10" s="1"/>
  <c r="T157" i="10"/>
  <c r="U157" i="10" s="1"/>
  <c r="R157" i="10"/>
  <c r="B195" i="10"/>
  <c r="E194" i="10"/>
  <c r="H159" i="10" l="1"/>
  <c r="AK158" i="10" a="1"/>
  <c r="AK158" i="10" s="1"/>
  <c r="T158" i="10"/>
  <c r="U158" i="10" s="1"/>
  <c r="R158" i="10"/>
  <c r="W193" i="10"/>
  <c r="Y193" i="10" s="1"/>
  <c r="V193" i="10"/>
  <c r="Z192" i="10"/>
  <c r="AA192" i="10" s="1"/>
  <c r="X192" i="10"/>
  <c r="P192" i="10" s="1"/>
  <c r="Q192" i="10" s="1"/>
  <c r="S192" i="10"/>
  <c r="AG192" i="10" s="1"/>
  <c r="N194" i="10"/>
  <c r="AI194" i="10"/>
  <c r="I194" i="10" s="1"/>
  <c r="AJ194" i="10"/>
  <c r="O194" i="10"/>
  <c r="H83" i="10"/>
  <c r="AK82" i="10" a="1"/>
  <c r="AK82" i="10" s="1"/>
  <c r="R82" i="10"/>
  <c r="T82" i="10"/>
  <c r="U82" i="10" s="1"/>
  <c r="AF193" i="10"/>
  <c r="B196" i="10"/>
  <c r="E195" i="10"/>
  <c r="H84" i="10" l="1"/>
  <c r="AK83" i="10" a="1"/>
  <c r="AK83" i="10" s="1"/>
  <c r="R83" i="10"/>
  <c r="T83" i="10"/>
  <c r="U83" i="10" s="1"/>
  <c r="E196" i="10"/>
  <c r="B197" i="10"/>
  <c r="AF194" i="10"/>
  <c r="W194" i="10"/>
  <c r="Y194" i="10" s="1"/>
  <c r="V194" i="10"/>
  <c r="Z193" i="10"/>
  <c r="AA193" i="10" s="1"/>
  <c r="S193" i="10"/>
  <c r="AG193" i="10" s="1"/>
  <c r="X193" i="10"/>
  <c r="P193" i="10" s="1"/>
  <c r="Q193" i="10" s="1"/>
  <c r="AJ195" i="10"/>
  <c r="AI195" i="10"/>
  <c r="I195" i="10" s="1"/>
  <c r="N195" i="10"/>
  <c r="O195" i="10"/>
  <c r="H160" i="10"/>
  <c r="AK159" i="10" a="1"/>
  <c r="AK159" i="10" s="1"/>
  <c r="T159" i="10"/>
  <c r="U159" i="10" s="1"/>
  <c r="R159" i="10"/>
  <c r="W195" i="10" l="1"/>
  <c r="Y195" i="10" s="1"/>
  <c r="V195" i="10"/>
  <c r="B198" i="10"/>
  <c r="E197" i="10"/>
  <c r="AF195" i="10"/>
  <c r="P195" i="10"/>
  <c r="Q195" i="10" s="1"/>
  <c r="H161" i="10"/>
  <c r="AK160" i="10" a="1"/>
  <c r="AK160" i="10" s="1"/>
  <c r="R160" i="10"/>
  <c r="T160" i="10"/>
  <c r="U160" i="10" s="1"/>
  <c r="X194" i="10"/>
  <c r="P194" i="10" s="1"/>
  <c r="Q194" i="10" s="1"/>
  <c r="S194" i="10"/>
  <c r="AG194" i="10" s="1"/>
  <c r="Z194" i="10"/>
  <c r="AA194" i="10" s="1"/>
  <c r="H85" i="10"/>
  <c r="AK84" i="10" a="1"/>
  <c r="AK84" i="10" s="1"/>
  <c r="R84" i="10"/>
  <c r="T84" i="10"/>
  <c r="U84" i="10" s="1"/>
  <c r="N196" i="10"/>
  <c r="AI196" i="10"/>
  <c r="I196" i="10" s="1"/>
  <c r="AJ196" i="10"/>
  <c r="O196" i="10"/>
  <c r="W196" i="10" l="1"/>
  <c r="Y196" i="10" s="1"/>
  <c r="V196" i="10"/>
  <c r="H162" i="10"/>
  <c r="AK161" i="10" a="1"/>
  <c r="AK161" i="10" s="1"/>
  <c r="R161" i="10"/>
  <c r="T161" i="10"/>
  <c r="U161" i="10" s="1"/>
  <c r="S195" i="10"/>
  <c r="AG195" i="10" s="1"/>
  <c r="Z195" i="10"/>
  <c r="AA195" i="10" s="1"/>
  <c r="X195" i="10"/>
  <c r="AF196" i="10"/>
  <c r="H86" i="10"/>
  <c r="AK85" i="10" a="1"/>
  <c r="AK85" i="10" s="1"/>
  <c r="R85" i="10"/>
  <c r="T85" i="10"/>
  <c r="U85" i="10" s="1"/>
  <c r="N197" i="10"/>
  <c r="AI197" i="10"/>
  <c r="I197" i="10" s="1"/>
  <c r="AJ197" i="10"/>
  <c r="O197" i="10"/>
  <c r="B199" i="10"/>
  <c r="E198" i="10"/>
  <c r="AF197" i="10" l="1"/>
  <c r="H87" i="10"/>
  <c r="AK86" i="10" a="1"/>
  <c r="AK86" i="10" s="1"/>
  <c r="R86" i="10"/>
  <c r="T86" i="10"/>
  <c r="U86" i="10" s="1"/>
  <c r="W197" i="10"/>
  <c r="Y197" i="10" s="1"/>
  <c r="V197" i="10"/>
  <c r="H163" i="10"/>
  <c r="AK162" i="10" a="1"/>
  <c r="AK162" i="10" s="1"/>
  <c r="T162" i="10"/>
  <c r="U162" i="10" s="1"/>
  <c r="R162" i="10"/>
  <c r="AJ198" i="10"/>
  <c r="AI198" i="10"/>
  <c r="I198" i="10" s="1"/>
  <c r="N198" i="10"/>
  <c r="O198" i="10"/>
  <c r="Z196" i="10"/>
  <c r="AA196" i="10" s="1"/>
  <c r="S196" i="10"/>
  <c r="AG196" i="10" s="1"/>
  <c r="X196" i="10"/>
  <c r="P196" i="10" s="1"/>
  <c r="Q196" i="10" s="1"/>
  <c r="E199" i="10"/>
  <c r="B200" i="10"/>
  <c r="AF198" i="10" l="1"/>
  <c r="W198" i="10"/>
  <c r="Y198" i="10" s="1"/>
  <c r="V198" i="10"/>
  <c r="B201" i="10"/>
  <c r="E200" i="10"/>
  <c r="H164" i="10"/>
  <c r="AK163" i="10" a="1"/>
  <c r="AK163" i="10" s="1"/>
  <c r="T163" i="10"/>
  <c r="U163" i="10" s="1"/>
  <c r="R163" i="10"/>
  <c r="X197" i="10"/>
  <c r="P197" i="10" s="1"/>
  <c r="Q197" i="10" s="1"/>
  <c r="S197" i="10"/>
  <c r="AG197" i="10" s="1"/>
  <c r="Z197" i="10"/>
  <c r="AA197" i="10" s="1"/>
  <c r="H88" i="10"/>
  <c r="AK87" i="10" a="1"/>
  <c r="AK87" i="10" s="1"/>
  <c r="T87" i="10"/>
  <c r="U87" i="10" s="1"/>
  <c r="R87" i="10"/>
  <c r="N199" i="10"/>
  <c r="AJ199" i="10"/>
  <c r="AI199" i="10"/>
  <c r="I199" i="10" s="1"/>
  <c r="O199" i="10"/>
  <c r="W199" i="10" l="1"/>
  <c r="Y199" i="10" s="1"/>
  <c r="V199" i="10"/>
  <c r="H165" i="10"/>
  <c r="AK164" i="10" a="1"/>
  <c r="AK164" i="10" s="1"/>
  <c r="R164" i="10"/>
  <c r="T164" i="10"/>
  <c r="U164" i="10" s="1"/>
  <c r="N200" i="10"/>
  <c r="AJ200" i="10"/>
  <c r="AI200" i="10"/>
  <c r="I200" i="10" s="1"/>
  <c r="O200" i="10"/>
  <c r="B202" i="10"/>
  <c r="E201" i="10"/>
  <c r="H89" i="10"/>
  <c r="AK88" i="10" a="1"/>
  <c r="AK88" i="10" s="1"/>
  <c r="R88" i="10"/>
  <c r="T88" i="10"/>
  <c r="U88" i="10" s="1"/>
  <c r="X198" i="10"/>
  <c r="P198" i="10" s="1"/>
  <c r="Q198" i="10" s="1"/>
  <c r="S198" i="10"/>
  <c r="AG198" i="10" s="1"/>
  <c r="Z198" i="10"/>
  <c r="AA198" i="10" s="1"/>
  <c r="AF199" i="10"/>
  <c r="E202" i="10" l="1"/>
  <c r="B203" i="10"/>
  <c r="AF200" i="10"/>
  <c r="H166" i="10"/>
  <c r="AK165" i="10" a="1"/>
  <c r="AK165" i="10" s="1"/>
  <c r="R165" i="10"/>
  <c r="T165" i="10"/>
  <c r="U165" i="10" s="1"/>
  <c r="H90" i="10"/>
  <c r="AK89" i="10" a="1"/>
  <c r="AK89" i="10" s="1"/>
  <c r="R89" i="10"/>
  <c r="T89" i="10"/>
  <c r="U89" i="10" s="1"/>
  <c r="AJ201" i="10"/>
  <c r="AI201" i="10"/>
  <c r="I201" i="10" s="1"/>
  <c r="N201" i="10"/>
  <c r="O201" i="10"/>
  <c r="Z199" i="10"/>
  <c r="AA199" i="10" s="1"/>
  <c r="X199" i="10"/>
  <c r="P199" i="10" s="1"/>
  <c r="Q199" i="10" s="1"/>
  <c r="S199" i="10"/>
  <c r="AG199" i="10" s="1"/>
  <c r="W200" i="10"/>
  <c r="Y200" i="10" s="1"/>
  <c r="V200" i="10"/>
  <c r="W201" i="10" l="1"/>
  <c r="Y201" i="10" s="1"/>
  <c r="V201" i="10"/>
  <c r="AF201" i="10"/>
  <c r="H91" i="10"/>
  <c r="AK90" i="10" a="1"/>
  <c r="AK90" i="10" s="1"/>
  <c r="R90" i="10"/>
  <c r="T90" i="10"/>
  <c r="U90" i="10" s="1"/>
  <c r="B204" i="10"/>
  <c r="E203" i="10"/>
  <c r="H167" i="10"/>
  <c r="AK166" i="10" a="1"/>
  <c r="AK166" i="10" s="1"/>
  <c r="R166" i="10"/>
  <c r="T166" i="10"/>
  <c r="U166" i="10" s="1"/>
  <c r="X200" i="10"/>
  <c r="P200" i="10" s="1"/>
  <c r="Q200" i="10" s="1"/>
  <c r="S200" i="10"/>
  <c r="AG200" i="10" s="1"/>
  <c r="Z200" i="10"/>
  <c r="AA200" i="10" s="1"/>
  <c r="N202" i="10"/>
  <c r="AI202" i="10"/>
  <c r="I202" i="10" s="1"/>
  <c r="AJ202" i="10"/>
  <c r="O202" i="10"/>
  <c r="AF202" i="10" l="1"/>
  <c r="W202" i="10"/>
  <c r="Y202" i="10" s="1"/>
  <c r="V202" i="10"/>
  <c r="H92" i="10"/>
  <c r="AK91" i="10" a="1"/>
  <c r="AK91" i="10" s="1"/>
  <c r="T91" i="10"/>
  <c r="U91" i="10" s="1"/>
  <c r="R91" i="10"/>
  <c r="Z201" i="10"/>
  <c r="AA201" i="10" s="1"/>
  <c r="X201" i="10"/>
  <c r="P201" i="10" s="1"/>
  <c r="Q201" i="10" s="1"/>
  <c r="S201" i="10"/>
  <c r="AG201" i="10" s="1"/>
  <c r="H168" i="10"/>
  <c r="AK167" i="10" a="1"/>
  <c r="AK167" i="10" s="1"/>
  <c r="T167" i="10"/>
  <c r="U167" i="10" s="1"/>
  <c r="R167" i="10"/>
  <c r="AJ203" i="10"/>
  <c r="AI203" i="10"/>
  <c r="I203" i="10" s="1"/>
  <c r="N203" i="10"/>
  <c r="O203" i="10"/>
  <c r="B205" i="10"/>
  <c r="E204" i="10"/>
  <c r="AF203" i="10" l="1"/>
  <c r="W203" i="10"/>
  <c r="Y203" i="10" s="1"/>
  <c r="V203" i="10"/>
  <c r="H169" i="10"/>
  <c r="AK168" i="10" a="1"/>
  <c r="AK168" i="10" s="1"/>
  <c r="T168" i="10"/>
  <c r="U168" i="10" s="1"/>
  <c r="R168" i="10"/>
  <c r="H93" i="10"/>
  <c r="AK92" i="10" a="1"/>
  <c r="AK92" i="10" s="1"/>
  <c r="T92" i="10"/>
  <c r="U92" i="10" s="1"/>
  <c r="R92" i="10"/>
  <c r="AJ204" i="10"/>
  <c r="AI204" i="10"/>
  <c r="I204" i="10" s="1"/>
  <c r="N204" i="10"/>
  <c r="O204" i="10"/>
  <c r="Z202" i="10"/>
  <c r="AA202" i="10" s="1"/>
  <c r="X202" i="10"/>
  <c r="P202" i="10" s="1"/>
  <c r="Q202" i="10" s="1"/>
  <c r="S202" i="10"/>
  <c r="AG202" i="10" s="1"/>
  <c r="E205" i="10"/>
  <c r="B206" i="10"/>
  <c r="W204" i="10" l="1"/>
  <c r="Y204" i="10" s="1"/>
  <c r="V204" i="10"/>
  <c r="AF204" i="10"/>
  <c r="X203" i="10"/>
  <c r="P203" i="10" s="1"/>
  <c r="Q203" i="10" s="1"/>
  <c r="S203" i="10"/>
  <c r="AG203" i="10" s="1"/>
  <c r="Z203" i="10"/>
  <c r="AA203" i="10" s="1"/>
  <c r="B207" i="10"/>
  <c r="E206" i="10"/>
  <c r="H94" i="10"/>
  <c r="AK93" i="10" a="1"/>
  <c r="AK93" i="10" s="1"/>
  <c r="R93" i="10"/>
  <c r="T93" i="10"/>
  <c r="U93" i="10" s="1"/>
  <c r="H170" i="10"/>
  <c r="AK169" i="10" a="1"/>
  <c r="AK169" i="10" s="1"/>
  <c r="R169" i="10"/>
  <c r="T169" i="10"/>
  <c r="U169" i="10" s="1"/>
  <c r="AI205" i="10"/>
  <c r="I205" i="10" s="1"/>
  <c r="N205" i="10"/>
  <c r="AJ205" i="10"/>
  <c r="O205" i="10"/>
  <c r="W205" i="10" l="1"/>
  <c r="Y205" i="10" s="1"/>
  <c r="V205" i="10"/>
  <c r="H171" i="10"/>
  <c r="AK170" i="10" a="1"/>
  <c r="AK170" i="10" s="1"/>
  <c r="R170" i="10"/>
  <c r="T170" i="10"/>
  <c r="U170" i="10" s="1"/>
  <c r="AF205" i="10"/>
  <c r="AI206" i="10"/>
  <c r="I206" i="10" s="1"/>
  <c r="AJ206" i="10"/>
  <c r="N206" i="10"/>
  <c r="O206" i="10"/>
  <c r="Z204" i="10"/>
  <c r="AA204" i="10" s="1"/>
  <c r="X204" i="10"/>
  <c r="P204" i="10" s="1"/>
  <c r="Q204" i="10" s="1"/>
  <c r="S204" i="10"/>
  <c r="AG204" i="10" s="1"/>
  <c r="B208" i="10"/>
  <c r="E207" i="10"/>
  <c r="H95" i="10"/>
  <c r="AK94" i="10" a="1"/>
  <c r="AK94" i="10" s="1"/>
  <c r="T94" i="10"/>
  <c r="U94" i="10" s="1"/>
  <c r="R94" i="10"/>
  <c r="H96" i="10" l="1"/>
  <c r="AK95" i="10" a="1"/>
  <c r="AK95" i="10" s="1"/>
  <c r="R95" i="10"/>
  <c r="T95" i="10"/>
  <c r="U95" i="10" s="1"/>
  <c r="E208" i="10"/>
  <c r="B209" i="10"/>
  <c r="W206" i="10"/>
  <c r="Y206" i="10" s="1"/>
  <c r="V206" i="10"/>
  <c r="H172" i="10"/>
  <c r="AK171" i="10" a="1"/>
  <c r="AK171" i="10" s="1"/>
  <c r="T171" i="10"/>
  <c r="U171" i="10" s="1"/>
  <c r="R171" i="10"/>
  <c r="Z205" i="10"/>
  <c r="AA205" i="10" s="1"/>
  <c r="X205" i="10"/>
  <c r="P205" i="10" s="1"/>
  <c r="Q205" i="10" s="1"/>
  <c r="S205" i="10"/>
  <c r="AG205" i="10" s="1"/>
  <c r="AI207" i="10"/>
  <c r="I207" i="10" s="1"/>
  <c r="N207" i="10"/>
  <c r="AJ207" i="10"/>
  <c r="O207" i="10"/>
  <c r="AF206" i="10"/>
  <c r="W207" i="10" l="1"/>
  <c r="Y207" i="10" s="1"/>
  <c r="V207" i="10"/>
  <c r="H173" i="10"/>
  <c r="AK172" i="10" a="1"/>
  <c r="AK172" i="10" s="1"/>
  <c r="T172" i="10"/>
  <c r="U172" i="10" s="1"/>
  <c r="R172" i="10"/>
  <c r="E209" i="10"/>
  <c r="B210" i="10"/>
  <c r="X206" i="10"/>
  <c r="P206" i="10" s="1"/>
  <c r="Q206" i="10" s="1"/>
  <c r="S206" i="10"/>
  <c r="AG206" i="10" s="1"/>
  <c r="Z206" i="10"/>
  <c r="AA206" i="10" s="1"/>
  <c r="H97" i="10"/>
  <c r="AK96" i="10" a="1"/>
  <c r="AK96" i="10" s="1"/>
  <c r="R96" i="10"/>
  <c r="T96" i="10"/>
  <c r="U96" i="10" s="1"/>
  <c r="AF207" i="10"/>
  <c r="AJ208" i="10"/>
  <c r="AI208" i="10"/>
  <c r="I208" i="10" s="1"/>
  <c r="N208" i="10"/>
  <c r="O208" i="10"/>
  <c r="AJ209" i="10" l="1"/>
  <c r="AI209" i="10"/>
  <c r="I209" i="10" s="1"/>
  <c r="N209" i="10"/>
  <c r="O209" i="10"/>
  <c r="H174" i="10"/>
  <c r="AK173" i="10" a="1"/>
  <c r="AK173" i="10" s="1"/>
  <c r="R173" i="10"/>
  <c r="T173" i="10"/>
  <c r="U173" i="10" s="1"/>
  <c r="AF208" i="10"/>
  <c r="H98" i="10"/>
  <c r="AK97" i="10" a="1"/>
  <c r="AK97" i="10" s="1"/>
  <c r="R97" i="10"/>
  <c r="T97" i="10"/>
  <c r="U97" i="10" s="1"/>
  <c r="Z207" i="10"/>
  <c r="AA207" i="10" s="1"/>
  <c r="X207" i="10"/>
  <c r="P207" i="10" s="1"/>
  <c r="Q207" i="10" s="1"/>
  <c r="S207" i="10"/>
  <c r="AG207" i="10" s="1"/>
  <c r="E210" i="10"/>
  <c r="B211" i="10"/>
  <c r="W208" i="10"/>
  <c r="Y208" i="10" s="1"/>
  <c r="V208" i="10"/>
  <c r="B212" i="10" l="1"/>
  <c r="E211" i="10"/>
  <c r="AI210" i="10"/>
  <c r="I210" i="10" s="1"/>
  <c r="N210" i="10"/>
  <c r="AJ210" i="10"/>
  <c r="O210" i="10"/>
  <c r="H99" i="10"/>
  <c r="AK98" i="10" a="1"/>
  <c r="AK98" i="10" s="1"/>
  <c r="T98" i="10"/>
  <c r="U98" i="10" s="1"/>
  <c r="R98" i="10"/>
  <c r="W209" i="10"/>
  <c r="Y209" i="10" s="1"/>
  <c r="V209" i="10"/>
  <c r="Z208" i="10"/>
  <c r="AA208" i="10" s="1"/>
  <c r="X208" i="10"/>
  <c r="P208" i="10" s="1"/>
  <c r="Q208" i="10" s="1"/>
  <c r="S208" i="10"/>
  <c r="AG208" i="10" s="1"/>
  <c r="H175" i="10"/>
  <c r="AK174" i="10" a="1"/>
  <c r="AK174" i="10" s="1"/>
  <c r="T174" i="10"/>
  <c r="U174" i="10" s="1"/>
  <c r="R174" i="10"/>
  <c r="AF209" i="10"/>
  <c r="Z209" i="10" l="1"/>
  <c r="AA209" i="10" s="1"/>
  <c r="X209" i="10"/>
  <c r="P209" i="10" s="1"/>
  <c r="Q209" i="10" s="1"/>
  <c r="S209" i="10"/>
  <c r="AG209" i="10" s="1"/>
  <c r="H100" i="10"/>
  <c r="AK99" i="10" a="1"/>
  <c r="AK99" i="10" s="1"/>
  <c r="T99" i="10"/>
  <c r="U99" i="10" s="1"/>
  <c r="R99" i="10"/>
  <c r="N211" i="10"/>
  <c r="AI211" i="10"/>
  <c r="I211" i="10" s="1"/>
  <c r="AJ211" i="10"/>
  <c r="O211" i="10"/>
  <c r="H176" i="10"/>
  <c r="AK175" i="10" a="1"/>
  <c r="AK175" i="10" s="1"/>
  <c r="T175" i="10"/>
  <c r="U175" i="10" s="1"/>
  <c r="R175" i="10"/>
  <c r="AF210" i="10"/>
  <c r="E212" i="10"/>
  <c r="B213" i="10"/>
  <c r="W210" i="10"/>
  <c r="Y210" i="10" s="1"/>
  <c r="V210" i="10"/>
  <c r="AJ212" i="10" l="1"/>
  <c r="N212" i="10"/>
  <c r="AI212" i="10"/>
  <c r="I212" i="10" s="1"/>
  <c r="O212" i="10"/>
  <c r="W211" i="10"/>
  <c r="Y211" i="10" s="1"/>
  <c r="V211" i="10"/>
  <c r="E213" i="10"/>
  <c r="B214" i="10"/>
  <c r="H177" i="10"/>
  <c r="AK176" i="10" a="1"/>
  <c r="AK176" i="10" s="1"/>
  <c r="T176" i="10"/>
  <c r="U176" i="10" s="1"/>
  <c r="R176" i="10"/>
  <c r="AF211" i="10"/>
  <c r="H101" i="10"/>
  <c r="AK100" i="10" a="1"/>
  <c r="AK100" i="10" s="1"/>
  <c r="T100" i="10"/>
  <c r="U100" i="10" s="1"/>
  <c r="R100" i="10"/>
  <c r="X210" i="10"/>
  <c r="P210" i="10" s="1"/>
  <c r="Q210" i="10" s="1"/>
  <c r="S210" i="10"/>
  <c r="AG210" i="10" s="1"/>
  <c r="Z210" i="10"/>
  <c r="AA210" i="10" s="1"/>
  <c r="H178" i="10" l="1"/>
  <c r="AK177" i="10" a="1"/>
  <c r="AK177" i="10" s="1"/>
  <c r="T177" i="10"/>
  <c r="U177" i="10" s="1"/>
  <c r="R177" i="10"/>
  <c r="AI213" i="10"/>
  <c r="I213" i="10" s="1"/>
  <c r="N213" i="10"/>
  <c r="AJ213" i="10"/>
  <c r="O213" i="10"/>
  <c r="B215" i="10"/>
  <c r="E214" i="10"/>
  <c r="Z211" i="10"/>
  <c r="AA211" i="10" s="1"/>
  <c r="S211" i="10"/>
  <c r="AG211" i="10" s="1"/>
  <c r="X211" i="10"/>
  <c r="P211" i="10" s="1"/>
  <c r="Q211" i="10" s="1"/>
  <c r="AF212" i="10"/>
  <c r="H102" i="10"/>
  <c r="AK101" i="10" a="1"/>
  <c r="AK101" i="10" s="1"/>
  <c r="T101" i="10"/>
  <c r="U101" i="10" s="1"/>
  <c r="R101" i="10"/>
  <c r="V212" i="10"/>
  <c r="W212" i="10"/>
  <c r="Y212" i="10" s="1"/>
  <c r="H103" i="10" l="1"/>
  <c r="AK102" i="10" a="1"/>
  <c r="AK102" i="10" s="1"/>
  <c r="R102" i="10"/>
  <c r="T102" i="10"/>
  <c r="U102" i="10" s="1"/>
  <c r="N214" i="10"/>
  <c r="O214" i="10"/>
  <c r="AI214" i="10"/>
  <c r="I214" i="10" s="1"/>
  <c r="AJ214" i="10"/>
  <c r="B216" i="10"/>
  <c r="E215" i="10"/>
  <c r="AF213" i="10"/>
  <c r="H179" i="10"/>
  <c r="AK178" i="10" a="1"/>
  <c r="AK178" i="10" s="1"/>
  <c r="T178" i="10"/>
  <c r="U178" i="10" s="1"/>
  <c r="R178" i="10"/>
  <c r="W213" i="10"/>
  <c r="Y213" i="10" s="1"/>
  <c r="V213" i="10"/>
  <c r="S212" i="10"/>
  <c r="AG212" i="10" s="1"/>
  <c r="Z212" i="10"/>
  <c r="AA212" i="10" s="1"/>
  <c r="X212" i="10"/>
  <c r="P212" i="10" s="1"/>
  <c r="Q212" i="10" s="1"/>
  <c r="W214" i="10" l="1"/>
  <c r="Y214" i="10" s="1"/>
  <c r="V214" i="10"/>
  <c r="AF214" i="10"/>
  <c r="N215" i="10"/>
  <c r="AI215" i="10"/>
  <c r="I215" i="10" s="1"/>
  <c r="O215" i="10"/>
  <c r="AJ215" i="10"/>
  <c r="E216" i="10"/>
  <c r="B217" i="10"/>
  <c r="Z213" i="10"/>
  <c r="AA213" i="10" s="1"/>
  <c r="X213" i="10"/>
  <c r="P213" i="10" s="1"/>
  <c r="Q213" i="10" s="1"/>
  <c r="S213" i="10"/>
  <c r="AG213" i="10" s="1"/>
  <c r="H180" i="10"/>
  <c r="AK179" i="10" a="1"/>
  <c r="AK179" i="10" s="1"/>
  <c r="R179" i="10"/>
  <c r="T179" i="10"/>
  <c r="U179" i="10" s="1"/>
  <c r="H104" i="10"/>
  <c r="AK103" i="10" a="1"/>
  <c r="AK103" i="10" s="1"/>
  <c r="R103" i="10"/>
  <c r="T103" i="10"/>
  <c r="U103" i="10" s="1"/>
  <c r="H105" i="10" l="1"/>
  <c r="AK104" i="10" a="1"/>
  <c r="AK104" i="10" s="1"/>
  <c r="R104" i="10"/>
  <c r="T104" i="10"/>
  <c r="U104" i="10" s="1"/>
  <c r="H181" i="10"/>
  <c r="AK180" i="10" a="1"/>
  <c r="AK180" i="10" s="1"/>
  <c r="T180" i="10"/>
  <c r="U180" i="10" s="1"/>
  <c r="R180" i="10"/>
  <c r="E217" i="10"/>
  <c r="B218" i="10"/>
  <c r="AI216" i="10"/>
  <c r="I216" i="10" s="1"/>
  <c r="N216" i="10"/>
  <c r="AJ216" i="10"/>
  <c r="O216" i="10"/>
  <c r="AF215" i="10"/>
  <c r="Z214" i="10"/>
  <c r="AA214" i="10" s="1"/>
  <c r="X214" i="10"/>
  <c r="P214" i="10" s="1"/>
  <c r="Q214" i="10" s="1"/>
  <c r="S214" i="10"/>
  <c r="AG214" i="10" s="1"/>
  <c r="W215" i="10"/>
  <c r="Y215" i="10" s="1"/>
  <c r="V215" i="10"/>
  <c r="AF216" i="10" l="1"/>
  <c r="W216" i="10"/>
  <c r="Y216" i="10" s="1"/>
  <c r="V216" i="10"/>
  <c r="AJ217" i="10"/>
  <c r="AI217" i="10"/>
  <c r="I217" i="10" s="1"/>
  <c r="N217" i="10"/>
  <c r="O217" i="10"/>
  <c r="S215" i="10"/>
  <c r="AG215" i="10" s="1"/>
  <c r="Z215" i="10"/>
  <c r="AA215" i="10" s="1"/>
  <c r="X215" i="10"/>
  <c r="P215" i="10" s="1"/>
  <c r="Q215" i="10" s="1"/>
  <c r="H106" i="10"/>
  <c r="AK105" i="10" a="1"/>
  <c r="AK105" i="10" s="1"/>
  <c r="T105" i="10"/>
  <c r="U105" i="10" s="1"/>
  <c r="R105" i="10"/>
  <c r="B219" i="10"/>
  <c r="E218" i="10"/>
  <c r="H182" i="10"/>
  <c r="AK181" i="10" a="1"/>
  <c r="AK181" i="10" s="1"/>
  <c r="T181" i="10"/>
  <c r="U181" i="10" s="1"/>
  <c r="R181" i="10"/>
  <c r="H183" i="10" l="1"/>
  <c r="AK182" i="10" a="1"/>
  <c r="AK182" i="10" s="1"/>
  <c r="R182" i="10"/>
  <c r="T182" i="10"/>
  <c r="U182" i="10" s="1"/>
  <c r="E219" i="10"/>
  <c r="B220" i="10"/>
  <c r="AK106" i="10" a="1"/>
  <c r="AK106" i="10" s="1"/>
  <c r="T106" i="10"/>
  <c r="U106" i="10" s="1"/>
  <c r="R106" i="10"/>
  <c r="O218" i="10"/>
  <c r="AJ218" i="10"/>
  <c r="AI218" i="10"/>
  <c r="I218" i="10" s="1"/>
  <c r="N218" i="10"/>
  <c r="AF217" i="10"/>
  <c r="W217" i="10"/>
  <c r="Y217" i="10" s="1"/>
  <c r="V217" i="10"/>
  <c r="Z216" i="10"/>
  <c r="AA216" i="10" s="1"/>
  <c r="X216" i="10"/>
  <c r="P216" i="10" s="1"/>
  <c r="Q216" i="10" s="1"/>
  <c r="S216" i="10"/>
  <c r="AG216" i="10" s="1"/>
  <c r="W218" i="10" l="1"/>
  <c r="Y218" i="10" s="1"/>
  <c r="V218" i="10"/>
  <c r="Z217" i="10"/>
  <c r="AA217" i="10" s="1"/>
  <c r="X217" i="10"/>
  <c r="P217" i="10" s="1"/>
  <c r="Q217" i="10" s="1"/>
  <c r="S217" i="10"/>
  <c r="AG217" i="10" s="1"/>
  <c r="AF218" i="10"/>
  <c r="B221" i="10"/>
  <c r="E220" i="10"/>
  <c r="AI219" i="10"/>
  <c r="I219" i="10" s="1"/>
  <c r="N219" i="10"/>
  <c r="AJ219" i="10"/>
  <c r="O219" i="10"/>
  <c r="H184" i="10"/>
  <c r="AK183" i="10" a="1"/>
  <c r="AK183" i="10" s="1"/>
  <c r="T183" i="10"/>
  <c r="U183" i="10" s="1"/>
  <c r="R183" i="10"/>
  <c r="H185" i="10" l="1"/>
  <c r="AK184" i="10" a="1"/>
  <c r="AK184" i="10" s="1"/>
  <c r="T184" i="10"/>
  <c r="U184" i="10" s="1"/>
  <c r="R184" i="10"/>
  <c r="W219" i="10"/>
  <c r="Y219" i="10" s="1"/>
  <c r="V219" i="10"/>
  <c r="N220" i="10"/>
  <c r="AI220" i="10"/>
  <c r="I220" i="10" s="1"/>
  <c r="AJ220" i="10"/>
  <c r="O220" i="10"/>
  <c r="AF219" i="10"/>
  <c r="B222" i="10"/>
  <c r="B223" i="10" s="1"/>
  <c r="B224" i="10" s="1"/>
  <c r="B225" i="10" s="1"/>
  <c r="B226" i="10" s="1"/>
  <c r="B227" i="10" s="1"/>
  <c r="B228" i="10" s="1"/>
  <c r="B229" i="10" s="1"/>
  <c r="B230" i="10" s="1"/>
  <c r="B231" i="10" s="1"/>
  <c r="B232" i="10" s="1"/>
  <c r="B233" i="10" s="1"/>
  <c r="B234" i="10" s="1"/>
  <c r="B235" i="10" s="1"/>
  <c r="B236" i="10" s="1"/>
  <c r="B237" i="10" s="1"/>
  <c r="B238" i="10" s="1"/>
  <c r="B239" i="10" s="1"/>
  <c r="B240" i="10" s="1"/>
  <c r="B241" i="10" s="1"/>
  <c r="B242" i="10" s="1"/>
  <c r="B243" i="10" s="1"/>
  <c r="B244" i="10" s="1"/>
  <c r="B245" i="10" s="1"/>
  <c r="B246" i="10" s="1"/>
  <c r="B247" i="10" s="1"/>
  <c r="B248" i="10" s="1"/>
  <c r="B249" i="10" s="1"/>
  <c r="E221" i="10"/>
  <c r="Z218" i="10"/>
  <c r="AA218" i="10" s="1"/>
  <c r="X218" i="10"/>
  <c r="P218" i="10" s="1"/>
  <c r="Q218" i="10" s="1"/>
  <c r="S218" i="10"/>
  <c r="AG218" i="10" s="1"/>
  <c r="AJ221" i="10" l="1"/>
  <c r="AI221" i="10"/>
  <c r="I221" i="10" s="1"/>
  <c r="N221" i="10"/>
  <c r="O221" i="10"/>
  <c r="N222" i="10"/>
  <c r="B250" i="10"/>
  <c r="B251" i="10" s="1"/>
  <c r="B252" i="10" s="1"/>
  <c r="B253" i="10" s="1"/>
  <c r="B254" i="10" s="1"/>
  <c r="B255" i="10" s="1"/>
  <c r="B256" i="10" s="1"/>
  <c r="B257" i="10" s="1"/>
  <c r="B258" i="10" s="1"/>
  <c r="B259" i="10" s="1"/>
  <c r="B260" i="10" s="1"/>
  <c r="B261" i="10" s="1"/>
  <c r="B262" i="10" s="1"/>
  <c r="B263" i="10" s="1"/>
  <c r="B264" i="10" s="1"/>
  <c r="B265" i="10" s="1"/>
  <c r="B266" i="10" s="1"/>
  <c r="B267" i="10" s="1"/>
  <c r="B268" i="10" s="1"/>
  <c r="B269" i="10" s="1"/>
  <c r="B270" i="10" s="1"/>
  <c r="B271" i="10" s="1"/>
  <c r="B272" i="10" s="1"/>
  <c r="B273" i="10" s="1"/>
  <c r="B274" i="10" s="1"/>
  <c r="B275" i="10" s="1"/>
  <c r="B276" i="10" s="1"/>
  <c r="B277" i="10" s="1"/>
  <c r="B278" i="10" s="1"/>
  <c r="B279" i="10" s="1"/>
  <c r="B280" i="10" s="1"/>
  <c r="B281" i="10" s="1"/>
  <c r="B282" i="10" s="1"/>
  <c r="B283" i="10" s="1"/>
  <c r="B284" i="10" s="1"/>
  <c r="B285" i="10" s="1"/>
  <c r="B286" i="10" s="1"/>
  <c r="B287" i="10" s="1"/>
  <c r="B288" i="10" s="1"/>
  <c r="B289" i="10" s="1"/>
  <c r="B290" i="10" s="1"/>
  <c r="B291" i="10" s="1"/>
  <c r="B292" i="10" s="1"/>
  <c r="B293" i="10" s="1"/>
  <c r="B294" i="10" s="1"/>
  <c r="B340" i="10" s="1"/>
  <c r="B341" i="10" s="1"/>
  <c r="B342" i="10" s="1"/>
  <c r="B343" i="10" s="1"/>
  <c r="B383" i="10" s="1"/>
  <c r="B384" i="10" s="1"/>
  <c r="B385" i="10" s="1"/>
  <c r="B386" i="10" s="1"/>
  <c r="B387" i="10" s="1"/>
  <c r="B388" i="10" s="1"/>
  <c r="B389" i="10" s="1"/>
  <c r="B390" i="10" s="1"/>
  <c r="B391" i="10" s="1"/>
  <c r="B392" i="10" s="1"/>
  <c r="B393" i="10" s="1"/>
  <c r="B394" i="10" s="1"/>
  <c r="B395" i="10" s="1"/>
  <c r="B396" i="10" s="1"/>
  <c r="B397" i="10" s="1"/>
  <c r="B398" i="10" s="1"/>
  <c r="B399" i="10" s="1"/>
  <c r="B400" i="10" s="1"/>
  <c r="B401" i="10" s="1"/>
  <c r="B402" i="10" s="1"/>
  <c r="B403" i="10" s="1"/>
  <c r="B404" i="10" s="1"/>
  <c r="B405" i="10" s="1"/>
  <c r="B406" i="10" s="1"/>
  <c r="B407" i="10" s="1"/>
  <c r="B408" i="10" s="1"/>
  <c r="B409" i="10" s="1"/>
  <c r="B410" i="10" s="1"/>
  <c r="B411" i="10" s="1"/>
  <c r="B412" i="10" s="1"/>
  <c r="B413" i="10" s="1"/>
  <c r="B414" i="10" s="1"/>
  <c r="B415" i="10" s="1"/>
  <c r="B416" i="10" s="1"/>
  <c r="B417" i="10" s="1"/>
  <c r="B418" i="10" s="1"/>
  <c r="B419" i="10" s="1"/>
  <c r="B420" i="10" s="1"/>
  <c r="B421" i="10" s="1"/>
  <c r="B422" i="10" s="1"/>
  <c r="B423" i="10" s="1"/>
  <c r="B424" i="10" s="1"/>
  <c r="B425" i="10" s="1"/>
  <c r="B426" i="10" s="1"/>
  <c r="B427" i="10" s="1"/>
  <c r="B428" i="10" s="1"/>
  <c r="B429" i="10" s="1"/>
  <c r="B430" i="10" s="1"/>
  <c r="B431" i="10" s="1"/>
  <c r="B432" i="10" s="1"/>
  <c r="B433" i="10" s="1"/>
  <c r="B434" i="10" s="1"/>
  <c r="B435" i="10" s="1"/>
  <c r="B436" i="10" s="1"/>
  <c r="B437" i="10" s="1"/>
  <c r="B438" i="10" s="1"/>
  <c r="B439" i="10" s="1"/>
  <c r="B440" i="10" s="1"/>
  <c r="B441" i="10" s="1"/>
  <c r="B442" i="10" s="1"/>
  <c r="B443" i="10" s="1"/>
  <c r="B444" i="10" s="1"/>
  <c r="B445" i="10" s="1"/>
  <c r="B446" i="10" s="1"/>
  <c r="B447" i="10" s="1"/>
  <c r="B448" i="10" s="1"/>
  <c r="B449" i="10" s="1"/>
  <c r="B450" i="10" s="1"/>
  <c r="B451" i="10" s="1"/>
  <c r="B452" i="10" s="1"/>
  <c r="B453" i="10" s="1"/>
  <c r="B454" i="10" s="1"/>
  <c r="B455" i="10" s="1"/>
  <c r="B456" i="10" s="1"/>
  <c r="B457" i="10" s="1"/>
  <c r="B458" i="10" s="1"/>
  <c r="B459" i="10" s="1"/>
  <c r="B460" i="10" s="1"/>
  <c r="B461" i="10" s="1"/>
  <c r="B462" i="10" s="1"/>
  <c r="B463" i="10" s="1"/>
  <c r="B464" i="10" s="1"/>
  <c r="B465" i="10" s="1"/>
  <c r="B466" i="10" s="1"/>
  <c r="B467" i="10" s="1"/>
  <c r="B468" i="10" s="1"/>
  <c r="B469" i="10" s="1"/>
  <c r="B470" i="10" s="1"/>
  <c r="B471" i="10" s="1"/>
  <c r="B472" i="10" s="1"/>
  <c r="B473" i="10" s="1"/>
  <c r="B474" i="10" s="1"/>
  <c r="B475" i="10" s="1"/>
  <c r="B476" i="10" s="1"/>
  <c r="B477" i="10" s="1"/>
  <c r="B478" i="10" s="1"/>
  <c r="B479" i="10" s="1"/>
  <c r="B480" i="10" s="1"/>
  <c r="B481" i="10" s="1"/>
  <c r="B482" i="10" s="1"/>
  <c r="B483" i="10" s="1"/>
  <c r="B484" i="10" s="1"/>
  <c r="B485" i="10" s="1"/>
  <c r="B486" i="10" s="1"/>
  <c r="B487" i="10" s="1"/>
  <c r="B488" i="10" s="1"/>
  <c r="B489" i="10" s="1"/>
  <c r="B490" i="10" s="1"/>
  <c r="B491" i="10" s="1"/>
  <c r="B492" i="10" s="1"/>
  <c r="B493" i="10" s="1"/>
  <c r="B494" i="10" s="1"/>
  <c r="B495" i="10" s="1"/>
  <c r="B496" i="10" s="1"/>
  <c r="B497" i="10" s="1"/>
  <c r="B498" i="10" s="1"/>
  <c r="B499" i="10" s="1"/>
  <c r="B500" i="10" s="1"/>
  <c r="B501" i="10" s="1"/>
  <c r="B502" i="10" s="1"/>
  <c r="B503" i="10" s="1"/>
  <c r="B295" i="10"/>
  <c r="B296" i="10" s="1"/>
  <c r="B297" i="10" s="1"/>
  <c r="B298" i="10" s="1"/>
  <c r="B299" i="10" s="1"/>
  <c r="B300" i="10" s="1"/>
  <c r="B301" i="10" s="1"/>
  <c r="B302" i="10" s="1"/>
  <c r="B303" i="10" s="1"/>
  <c r="B304" i="10" s="1"/>
  <c r="AF220" i="10"/>
  <c r="S219" i="10"/>
  <c r="AG219" i="10" s="1"/>
  <c r="Z219" i="10"/>
  <c r="AA219" i="10" s="1"/>
  <c r="X219" i="10"/>
  <c r="P219" i="10" s="1"/>
  <c r="Q219" i="10" s="1"/>
  <c r="H186" i="10"/>
  <c r="AK185" i="10" a="1"/>
  <c r="AK185" i="10" s="1"/>
  <c r="T185" i="10"/>
  <c r="U185" i="10" s="1"/>
  <c r="R185" i="10"/>
  <c r="W220" i="10"/>
  <c r="Y220" i="10" s="1"/>
  <c r="V220" i="10"/>
  <c r="Z220" i="10" l="1"/>
  <c r="AA220" i="10" s="1"/>
  <c r="X220" i="10"/>
  <c r="P220" i="10" s="1"/>
  <c r="Q220" i="10" s="1"/>
  <c r="S220" i="10"/>
  <c r="AG220" i="10" s="1"/>
  <c r="B344" i="10"/>
  <c r="B345" i="10" s="1"/>
  <c r="B346" i="10" s="1"/>
  <c r="B347" i="10" s="1"/>
  <c r="B348" i="10" s="1"/>
  <c r="B349" i="10" s="1"/>
  <c r="B350" i="10" s="1"/>
  <c r="B351" i="10" s="1"/>
  <c r="B352" i="10" s="1"/>
  <c r="B353" i="10" s="1"/>
  <c r="B354" i="10" s="1"/>
  <c r="B355" i="10" s="1"/>
  <c r="B356" i="10" s="1"/>
  <c r="B357" i="10" s="1"/>
  <c r="B358" i="10" s="1"/>
  <c r="B359" i="10" s="1"/>
  <c r="B360" i="10" s="1"/>
  <c r="B361" i="10" s="1"/>
  <c r="B362" i="10" s="1"/>
  <c r="B363" i="10" s="1"/>
  <c r="B364" i="10" s="1"/>
  <c r="B365" i="10" s="1"/>
  <c r="B366" i="10" s="1"/>
  <c r="B367" i="10" s="1"/>
  <c r="B368" i="10" s="1"/>
  <c r="B369" i="10" s="1"/>
  <c r="B370" i="10" s="1"/>
  <c r="B371" i="10" s="1"/>
  <c r="B372" i="10" s="1"/>
  <c r="B373" i="10" s="1"/>
  <c r="B374" i="10" s="1"/>
  <c r="B375" i="10" s="1"/>
  <c r="B376" i="10" s="1"/>
  <c r="B377" i="10" s="1"/>
  <c r="B378" i="10" s="1"/>
  <c r="B379" i="10" s="1"/>
  <c r="B380" i="10" s="1"/>
  <c r="B381" i="10" s="1"/>
  <c r="B382" i="10" s="1"/>
  <c r="B305" i="10"/>
  <c r="B306" i="10" s="1"/>
  <c r="B307" i="10" s="1"/>
  <c r="B308" i="10" s="1"/>
  <c r="B309" i="10" s="1"/>
  <c r="B310" i="10" s="1"/>
  <c r="B311" i="10" s="1"/>
  <c r="B312" i="10" s="1"/>
  <c r="B313" i="10" s="1"/>
  <c r="B314" i="10" s="1"/>
  <c r="B315" i="10" s="1"/>
  <c r="B316" i="10" s="1"/>
  <c r="B317" i="10" s="1"/>
  <c r="B318" i="10" s="1"/>
  <c r="B319" i="10" s="1"/>
  <c r="B320" i="10" s="1"/>
  <c r="B321" i="10" s="1"/>
  <c r="B322" i="10" s="1"/>
  <c r="B323" i="10" s="1"/>
  <c r="B324" i="10" s="1"/>
  <c r="B325" i="10" s="1"/>
  <c r="B326" i="10" s="1"/>
  <c r="B327" i="10" s="1"/>
  <c r="B328" i="10" s="1"/>
  <c r="B329" i="10" s="1"/>
  <c r="B330" i="10" s="1"/>
  <c r="B331" i="10" s="1"/>
  <c r="B332" i="10" s="1"/>
  <c r="B333" i="10" s="1"/>
  <c r="B334" i="10" s="1"/>
  <c r="B335" i="10" s="1"/>
  <c r="B336" i="10" s="1"/>
  <c r="B337" i="10" s="1"/>
  <c r="B338" i="10" s="1"/>
  <c r="B339" i="10" s="1"/>
  <c r="H187" i="10"/>
  <c r="AK186" i="10" a="1"/>
  <c r="AK186" i="10" s="1"/>
  <c r="T186" i="10"/>
  <c r="U186" i="10" s="1"/>
  <c r="R186" i="10"/>
  <c r="V221" i="10"/>
  <c r="W221" i="10"/>
  <c r="Y221" i="10" s="1"/>
  <c r="AF221" i="10"/>
  <c r="H188" i="10" l="1"/>
  <c r="AK187" i="10" a="1"/>
  <c r="AK187" i="10" s="1"/>
  <c r="R187" i="10"/>
  <c r="T187" i="10"/>
  <c r="U187" i="10" s="1"/>
  <c r="S221" i="10"/>
  <c r="AG221" i="10" s="1"/>
  <c r="X221" i="10"/>
  <c r="P221" i="10" s="1"/>
  <c r="Q221" i="10" s="1"/>
  <c r="Z221" i="10"/>
  <c r="AA221" i="10" s="1"/>
  <c r="H189" i="10" l="1"/>
  <c r="AK188" i="10" a="1"/>
  <c r="AK188" i="10" s="1"/>
  <c r="R188" i="10"/>
  <c r="T188" i="10"/>
  <c r="U188" i="10" s="1"/>
  <c r="H190" i="10" l="1"/>
  <c r="AK189" i="10" a="1"/>
  <c r="AK189" i="10" s="1"/>
  <c r="R189" i="10"/>
  <c r="T189" i="10"/>
  <c r="U189" i="10" s="1"/>
  <c r="H191" i="10" l="1"/>
  <c r="AK190" i="10" a="1"/>
  <c r="AK190" i="10" s="1"/>
  <c r="T190" i="10"/>
  <c r="U190" i="10" s="1"/>
  <c r="R190" i="10"/>
  <c r="H192" i="10" l="1"/>
  <c r="AK191" i="10" a="1"/>
  <c r="AK191" i="10" s="1"/>
  <c r="T191" i="10"/>
  <c r="U191" i="10" s="1"/>
  <c r="R191" i="10"/>
  <c r="H193" i="10" l="1"/>
  <c r="AK192" i="10" a="1"/>
  <c r="AK192" i="10" s="1"/>
  <c r="R192" i="10"/>
  <c r="T192" i="10"/>
  <c r="U192" i="10" s="1"/>
  <c r="H194" i="10" l="1"/>
  <c r="AK193" i="10" a="1"/>
  <c r="AK193" i="10" s="1"/>
  <c r="R193" i="10"/>
  <c r="T193" i="10"/>
  <c r="U193" i="10" s="1"/>
  <c r="H195" i="10" l="1"/>
  <c r="AK194" i="10" a="1"/>
  <c r="AK194" i="10" s="1"/>
  <c r="R194" i="10"/>
  <c r="T194" i="10"/>
  <c r="U194" i="10" s="1"/>
  <c r="H196" i="10" l="1"/>
  <c r="AK195" i="10" a="1"/>
  <c r="AK195" i="10" s="1"/>
  <c r="T195" i="10"/>
  <c r="U195" i="10" s="1"/>
  <c r="R195" i="10"/>
  <c r="H197" i="10" l="1"/>
  <c r="AK196" i="10" a="1"/>
  <c r="AK196" i="10" s="1"/>
  <c r="T196" i="10"/>
  <c r="U196" i="10" s="1"/>
  <c r="R196" i="10"/>
  <c r="H198" i="10" l="1"/>
  <c r="AK197" i="10" a="1"/>
  <c r="AK197" i="10" s="1"/>
  <c r="R197" i="10"/>
  <c r="T197" i="10"/>
  <c r="U197" i="10" s="1"/>
  <c r="H199" i="10" l="1"/>
  <c r="AK198" i="10" a="1"/>
  <c r="AK198" i="10" s="1"/>
  <c r="R198" i="10"/>
  <c r="T198" i="10"/>
  <c r="U198" i="10" s="1"/>
  <c r="H200" i="10" l="1"/>
  <c r="AK199" i="10" a="1"/>
  <c r="AK199" i="10" s="1"/>
  <c r="T199" i="10"/>
  <c r="U199" i="10" s="1"/>
  <c r="R199" i="10"/>
  <c r="H201" i="10" l="1"/>
  <c r="AK200" i="10" a="1"/>
  <c r="AK200" i="10" s="1"/>
  <c r="T200" i="10"/>
  <c r="U200" i="10" s="1"/>
  <c r="R200" i="10"/>
  <c r="H202" i="10" l="1"/>
  <c r="AK201" i="10" a="1"/>
  <c r="AK201" i="10" s="1"/>
  <c r="T201" i="10"/>
  <c r="U201" i="10" s="1"/>
  <c r="R201" i="10"/>
  <c r="H203" i="10" l="1"/>
  <c r="AK202" i="10" a="1"/>
  <c r="AK202" i="10" s="1"/>
  <c r="R202" i="10"/>
  <c r="T202" i="10"/>
  <c r="U202" i="10" s="1"/>
  <c r="H204" i="10" l="1"/>
  <c r="AK203" i="10" a="1"/>
  <c r="AK203" i="10" s="1"/>
  <c r="T203" i="10"/>
  <c r="U203" i="10" s="1"/>
  <c r="R203" i="10"/>
  <c r="H205" i="10" l="1"/>
  <c r="AK204" i="10" a="1"/>
  <c r="AK204" i="10" s="1"/>
  <c r="R204" i="10"/>
  <c r="T204" i="10"/>
  <c r="U204" i="10" s="1"/>
  <c r="H206" i="10" l="1"/>
  <c r="AK205" i="10" a="1"/>
  <c r="AK205" i="10" s="1"/>
  <c r="R205" i="10"/>
  <c r="T205" i="10"/>
  <c r="U205" i="10" s="1"/>
  <c r="H207" i="10" l="1"/>
  <c r="AK206" i="10" a="1"/>
  <c r="AK206" i="10" s="1"/>
  <c r="R206" i="10"/>
  <c r="T206" i="10"/>
  <c r="U206" i="10" s="1"/>
  <c r="H208" i="10" l="1"/>
  <c r="AK207" i="10" a="1"/>
  <c r="AK207" i="10" s="1"/>
  <c r="R207" i="10"/>
  <c r="T207" i="10"/>
  <c r="U207" i="10" s="1"/>
  <c r="H209" i="10" l="1"/>
  <c r="AK208" i="10" a="1"/>
  <c r="AK208" i="10" s="1"/>
  <c r="T208" i="10"/>
  <c r="U208" i="10" s="1"/>
  <c r="R208" i="10"/>
  <c r="H210" i="10" l="1"/>
  <c r="AK209" i="10" a="1"/>
  <c r="AK209" i="10" s="1"/>
  <c r="R209" i="10"/>
  <c r="T209" i="10"/>
  <c r="U209" i="10" s="1"/>
  <c r="H211" i="10" l="1"/>
  <c r="AK210" i="10" a="1"/>
  <c r="AK210" i="10" s="1"/>
  <c r="T210" i="10"/>
  <c r="U210" i="10" s="1"/>
  <c r="R210" i="10"/>
  <c r="H212" i="10" l="1"/>
  <c r="AK211" i="10" a="1"/>
  <c r="AK211" i="10" s="1"/>
  <c r="T211" i="10"/>
  <c r="U211" i="10" s="1"/>
  <c r="R211" i="10"/>
  <c r="H213" i="10" l="1"/>
  <c r="AK212" i="10" a="1"/>
  <c r="AK212" i="10" s="1"/>
  <c r="R212" i="10"/>
  <c r="T212" i="10"/>
  <c r="U212" i="10" s="1"/>
  <c r="H214" i="10" l="1"/>
  <c r="AK213" i="10" a="1"/>
  <c r="AK213" i="10" s="1"/>
  <c r="T213" i="10"/>
  <c r="U213" i="10" s="1"/>
  <c r="R213" i="10"/>
  <c r="H215" i="10" l="1"/>
  <c r="AK214" i="10" a="1"/>
  <c r="AK214" i="10" s="1"/>
  <c r="R214" i="10"/>
  <c r="T214" i="10"/>
  <c r="U214" i="10" s="1"/>
  <c r="H216" i="10" l="1"/>
  <c r="AK215" i="10" a="1"/>
  <c r="AK215" i="10" s="1"/>
  <c r="T215" i="10"/>
  <c r="U215" i="10" s="1"/>
  <c r="R215" i="10"/>
  <c r="H217" i="10" l="1"/>
  <c r="AK216" i="10" a="1"/>
  <c r="AK216" i="10" s="1"/>
  <c r="R216" i="10"/>
  <c r="T216" i="10"/>
  <c r="U216" i="10" s="1"/>
  <c r="H218" i="10" l="1"/>
  <c r="AK217" i="10" a="1"/>
  <c r="AK217" i="10" s="1"/>
  <c r="T217" i="10"/>
  <c r="U217" i="10" s="1"/>
  <c r="R217" i="10"/>
  <c r="H219" i="10" l="1"/>
  <c r="AK218" i="10" a="1"/>
  <c r="AK218" i="10" s="1"/>
  <c r="R218" i="10"/>
  <c r="T218" i="10"/>
  <c r="U218" i="10" s="1"/>
  <c r="H220" i="10" l="1"/>
  <c r="AK219" i="10" a="1"/>
  <c r="AK219" i="10" s="1"/>
  <c r="T219" i="10"/>
  <c r="U219" i="10" s="1"/>
  <c r="R219" i="10"/>
  <c r="H221" i="10" l="1"/>
  <c r="AK220" i="10" a="1"/>
  <c r="AK220" i="10" s="1"/>
  <c r="R220" i="10"/>
  <c r="T220" i="10"/>
  <c r="U220" i="10" s="1"/>
  <c r="AK221" i="10" l="1" a="1"/>
  <c r="AK221" i="10" s="1"/>
  <c r="T221" i="10"/>
  <c r="U221" i="10" s="1"/>
  <c r="R221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Neil Odegard</author>
  </authors>
  <commentList>
    <comment ref="A5" authorId="0" shapeId="0" xr:uid="{F62B32E0-32AE-4F61-A72B-0A46CDB8A90E}">
      <text>
        <r>
          <rPr>
            <b/>
            <sz val="10"/>
            <color indexed="8"/>
            <rFont val="Tahoma"/>
            <family val="2"/>
          </rPr>
          <t xml:space="preserve">BHA -  BHA number. </t>
        </r>
        <r>
          <rPr>
            <sz val="10"/>
            <color indexed="8"/>
            <rFont val="Tahoma"/>
            <family val="2"/>
          </rPr>
          <t xml:space="preserve">This cell carries the previous value. </t>
        </r>
        <r>
          <rPr>
            <i/>
            <u/>
            <sz val="10"/>
            <color indexed="8"/>
            <rFont val="Tahoma"/>
            <family val="2"/>
          </rPr>
          <t>Editable</t>
        </r>
      </text>
    </comment>
    <comment ref="B5" authorId="0" shapeId="0" xr:uid="{59EAAE91-EEC3-428F-94E8-BFF20464A811}">
      <text>
        <r>
          <rPr>
            <b/>
            <sz val="10"/>
            <color indexed="8"/>
            <rFont val="Tahoma"/>
            <family val="2"/>
          </rPr>
          <t xml:space="preserve">StB - Sensor to bit length. </t>
        </r>
        <r>
          <rPr>
            <sz val="10"/>
            <color indexed="8"/>
            <rFont val="Tahoma"/>
            <family val="2"/>
          </rPr>
          <t xml:space="preserve">Calculated Survey Sensor to bit.  </t>
        </r>
        <r>
          <rPr>
            <i/>
            <u/>
            <sz val="10"/>
            <color indexed="8"/>
            <rFont val="Tahoma"/>
            <family val="2"/>
          </rPr>
          <t>Editable</t>
        </r>
      </text>
    </comment>
    <comment ref="C5" authorId="0" shapeId="0" xr:uid="{0FC2A02D-0111-4FFB-93E9-3117C7BE1200}">
      <text>
        <r>
          <rPr>
            <b/>
            <sz val="10"/>
            <color rgb="FF000000"/>
            <rFont val="Tahoma"/>
            <family val="2"/>
          </rPr>
          <t xml:space="preserve">CL - Course Length.  </t>
        </r>
        <r>
          <rPr>
            <sz val="10"/>
            <color rgb="FF000000"/>
            <rFont val="Tahoma"/>
            <family val="2"/>
          </rPr>
          <t xml:space="preserve">Calculates Course Length from current MD - previous MD. </t>
        </r>
        <r>
          <rPr>
            <i/>
            <u/>
            <sz val="10"/>
            <color rgb="FF000000"/>
            <rFont val="Tahoma"/>
            <family val="2"/>
          </rPr>
          <t xml:space="preserve">Locked
</t>
        </r>
      </text>
    </comment>
    <comment ref="D5" authorId="0" shapeId="0" xr:uid="{D9544FFF-03B9-4011-88F1-7FA622C42461}">
      <text>
        <r>
          <rPr>
            <b/>
            <sz val="10"/>
            <color indexed="8"/>
            <rFont val="Tahoma"/>
            <family val="2"/>
          </rPr>
          <t xml:space="preserve">MD - Meausured Depth </t>
        </r>
        <r>
          <rPr>
            <sz val="10"/>
            <color indexed="8"/>
            <rFont val="Tahoma"/>
            <family val="2"/>
          </rPr>
          <t xml:space="preserve">Enter Tally depth. </t>
        </r>
        <r>
          <rPr>
            <i/>
            <u/>
            <sz val="10"/>
            <color indexed="8"/>
            <rFont val="Tahoma"/>
            <family val="2"/>
          </rPr>
          <t xml:space="preserve">Editable
</t>
        </r>
      </text>
    </comment>
    <comment ref="E5" authorId="0" shapeId="0" xr:uid="{7BD08E5C-4979-43ED-8D59-76EFCE72F398}">
      <text>
        <r>
          <rPr>
            <b/>
            <sz val="10"/>
            <color rgb="FF000000"/>
            <rFont val="Tahoma"/>
            <family val="2"/>
          </rPr>
          <t xml:space="preserve">SD - Survey Depth. </t>
        </r>
        <r>
          <rPr>
            <sz val="10"/>
            <color rgb="FF000000"/>
            <rFont val="Tahoma"/>
            <family val="2"/>
          </rPr>
          <t xml:space="preserve">Calculated from current MD - current StB. </t>
        </r>
        <r>
          <rPr>
            <i/>
            <u/>
            <sz val="10"/>
            <color rgb="FF000000"/>
            <rFont val="Tahoma"/>
            <family val="2"/>
          </rPr>
          <t xml:space="preserve">Locked
</t>
        </r>
      </text>
    </comment>
    <comment ref="F5" authorId="0" shapeId="0" xr:uid="{D59C1F94-A752-416A-B1B7-D6A59D0E6A02}">
      <text>
        <r>
          <rPr>
            <b/>
            <sz val="10"/>
            <color indexed="8"/>
            <rFont val="Tahoma"/>
            <family val="2"/>
          </rPr>
          <t xml:space="preserve">INC - Inclination. </t>
        </r>
        <r>
          <rPr>
            <sz val="10"/>
            <color indexed="8"/>
            <rFont val="Tahoma"/>
            <family val="2"/>
          </rPr>
          <t xml:space="preserve">Current Survey Inclination. </t>
        </r>
        <r>
          <rPr>
            <i/>
            <u/>
            <sz val="10"/>
            <color indexed="8"/>
            <rFont val="Tahoma"/>
            <family val="2"/>
          </rPr>
          <t xml:space="preserve">Editable
</t>
        </r>
      </text>
    </comment>
    <comment ref="G5" authorId="0" shapeId="0" xr:uid="{20B374FD-F1A9-4FE3-B06C-7C8EF5E103A4}">
      <text>
        <r>
          <rPr>
            <b/>
            <sz val="10"/>
            <color indexed="8"/>
            <rFont val="Tahoma"/>
            <family val="2"/>
          </rPr>
          <t xml:space="preserve">AZI - Azimuth. </t>
        </r>
        <r>
          <rPr>
            <sz val="10"/>
            <color indexed="8"/>
            <rFont val="Tahoma"/>
            <family val="2"/>
          </rPr>
          <t xml:space="preserve">Current survey Azimuth. </t>
        </r>
        <r>
          <rPr>
            <i/>
            <u/>
            <sz val="10"/>
            <color indexed="8"/>
            <rFont val="Tahoma"/>
            <family val="2"/>
          </rPr>
          <t>Editable</t>
        </r>
      </text>
    </comment>
    <comment ref="H5" authorId="0" shapeId="0" xr:uid="{B9C760D7-CC69-433B-BFFC-1106A8254EAB}">
      <text>
        <r>
          <rPr>
            <b/>
            <sz val="10"/>
            <color rgb="FF000000"/>
            <rFont val="Tahoma"/>
            <family val="2"/>
          </rPr>
          <t xml:space="preserve">TVD - True Vertical Depth. </t>
        </r>
        <r>
          <rPr>
            <sz val="10"/>
            <color rgb="FF000000"/>
            <rFont val="Tahoma"/>
            <family val="2"/>
          </rPr>
          <t xml:space="preserve">Calculated TVD. </t>
        </r>
        <r>
          <rPr>
            <i/>
            <u/>
            <sz val="10"/>
            <color rgb="FF000000"/>
            <rFont val="Tahoma"/>
            <family val="2"/>
          </rPr>
          <t xml:space="preserve">Locked
</t>
        </r>
      </text>
    </comment>
    <comment ref="I5" authorId="0" shapeId="0" xr:uid="{EAD65D09-6C02-4EF6-A336-D9E523E42509}">
      <text>
        <r>
          <rPr>
            <b/>
            <sz val="10"/>
            <color indexed="8"/>
            <rFont val="Tahoma"/>
            <family val="2"/>
          </rPr>
          <t xml:space="preserve">DLS - Dog Leg Severity.  </t>
        </r>
        <r>
          <rPr>
            <sz val="10"/>
            <color indexed="8"/>
            <rFont val="Tahoma"/>
            <family val="2"/>
          </rPr>
          <t xml:space="preserve">Calcuated DLS. </t>
        </r>
        <r>
          <rPr>
            <i/>
            <u/>
            <sz val="10"/>
            <color indexed="8"/>
            <rFont val="Tahoma"/>
            <family val="2"/>
          </rPr>
          <t xml:space="preserve">Locked
</t>
        </r>
      </text>
    </comment>
    <comment ref="J5" authorId="0" shapeId="0" xr:uid="{BE90E97A-456C-47E2-A9DA-3369F9933DC4}">
      <text>
        <r>
          <rPr>
            <b/>
            <sz val="10"/>
            <color indexed="8"/>
            <rFont val="Tahoma"/>
            <family val="2"/>
          </rPr>
          <t xml:space="preserve">SL - Slide From. </t>
        </r>
        <r>
          <rPr>
            <sz val="10"/>
            <color indexed="8"/>
            <rFont val="Tahoma"/>
            <family val="2"/>
          </rPr>
          <t xml:space="preserve">Calcualated, defaults to MD. Can be over-written.  </t>
        </r>
        <r>
          <rPr>
            <i/>
            <u/>
            <sz val="10"/>
            <color indexed="8"/>
            <rFont val="Tahoma"/>
            <family val="2"/>
          </rPr>
          <t xml:space="preserve">Editable
</t>
        </r>
      </text>
    </comment>
    <comment ref="K5" authorId="0" shapeId="0" xr:uid="{E7DE9432-7158-4B47-99F0-40DFC818E9E1}">
      <text>
        <r>
          <rPr>
            <b/>
            <sz val="10"/>
            <color indexed="8"/>
            <rFont val="Tahoma"/>
            <family val="2"/>
          </rPr>
          <t xml:space="preserve">ST - Slide To. </t>
        </r>
        <r>
          <rPr>
            <sz val="10"/>
            <color indexed="8"/>
            <rFont val="Tahoma"/>
            <family val="2"/>
          </rPr>
          <t xml:space="preserve">Calcuated from M - SF.  </t>
        </r>
        <r>
          <rPr>
            <i/>
            <u/>
            <sz val="10"/>
            <color indexed="8"/>
            <rFont val="Tahoma"/>
            <family val="2"/>
          </rPr>
          <t>Locked</t>
        </r>
      </text>
    </comment>
    <comment ref="L5" authorId="0" shapeId="0" xr:uid="{18A718B6-E4F3-4D5C-BD16-CB008C03F312}">
      <text>
        <r>
          <rPr>
            <b/>
            <sz val="10"/>
            <color indexed="8"/>
            <rFont val="Tahoma"/>
            <family val="2"/>
          </rPr>
          <t xml:space="preserve">M - Meters Slide. </t>
        </r>
        <r>
          <rPr>
            <i/>
            <u/>
            <sz val="10"/>
            <color indexed="8"/>
            <rFont val="Tahoma"/>
            <family val="2"/>
          </rPr>
          <t xml:space="preserve">Editable
</t>
        </r>
      </text>
    </comment>
    <comment ref="M5" authorId="0" shapeId="0" xr:uid="{1AD43ADC-8D4D-48DF-B8E4-F950295B0EF3}">
      <text>
        <r>
          <rPr>
            <b/>
            <sz val="10"/>
            <color indexed="8"/>
            <rFont val="Tahoma"/>
            <family val="2"/>
          </rPr>
          <t xml:space="preserve">TF - Tool Face setting. </t>
        </r>
        <r>
          <rPr>
            <i/>
            <u/>
            <sz val="10"/>
            <color indexed="8"/>
            <rFont val="Tahoma"/>
            <family val="2"/>
          </rPr>
          <t xml:space="preserve">Editable
</t>
        </r>
      </text>
    </comment>
    <comment ref="N5" authorId="0" shapeId="0" xr:uid="{A5E30A52-E590-409C-96DE-D3D826D93385}">
      <text>
        <r>
          <rPr>
            <b/>
            <sz val="10"/>
            <color rgb="FF000000"/>
            <rFont val="Tahoma"/>
            <family val="2"/>
          </rPr>
          <t xml:space="preserve">SS - Slide Seen. </t>
        </r>
        <r>
          <rPr>
            <sz val="10"/>
            <color rgb="FF000000"/>
            <rFont val="Tahoma"/>
            <family val="2"/>
          </rPr>
          <t xml:space="preserve">Enter in the number of meters slide between the current and previous SD.  </t>
        </r>
        <r>
          <rPr>
            <i/>
            <u/>
            <sz val="10"/>
            <color rgb="FF000000"/>
            <rFont val="Tahoma"/>
            <family val="2"/>
          </rPr>
          <t xml:space="preserve">Editable
</t>
        </r>
      </text>
    </comment>
    <comment ref="O5" authorId="0" shapeId="0" xr:uid="{9BADDE82-A88C-4283-BE3A-7877785B2CF3}">
      <text>
        <r>
          <rPr>
            <b/>
            <sz val="10"/>
            <color rgb="FF000000"/>
            <rFont val="Tahoma"/>
            <family val="2"/>
          </rPr>
          <t xml:space="preserve">SB - Slide Below. </t>
        </r>
        <r>
          <rPr>
            <sz val="10"/>
            <color rgb="FF000000"/>
            <rFont val="Tahoma"/>
            <family val="2"/>
          </rPr>
          <t xml:space="preserve">Enter in the number of meters that were slide from the current SD to the current MD. </t>
        </r>
        <r>
          <rPr>
            <i/>
            <u/>
            <sz val="10"/>
            <color rgb="FF000000"/>
            <rFont val="Tahoma"/>
            <family val="2"/>
          </rPr>
          <t xml:space="preserve">Editable
</t>
        </r>
      </text>
    </comment>
    <comment ref="P5" authorId="1" shapeId="0" xr:uid="{CC0E08B0-9EF7-4AC2-A861-722D901DE221}">
      <text>
        <r>
          <rPr>
            <b/>
            <sz val="9"/>
            <color indexed="81"/>
            <rFont val="Tahoma"/>
            <family val="2"/>
          </rPr>
          <t>Drilled Off Toolface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5" authorId="0" shapeId="0" xr:uid="{3C341B90-B207-4637-A12F-68C0B458A90E}">
      <text>
        <r>
          <rPr>
            <b/>
            <sz val="10"/>
            <color rgb="FF000000"/>
            <rFont val="Tahoma"/>
            <family val="2"/>
          </rPr>
          <t xml:space="preserve">BURR@SD - Build up rate required to active target from Survey Depth. </t>
        </r>
        <r>
          <rPr>
            <sz val="10"/>
            <color rgb="FF000000"/>
            <rFont val="Tahoma"/>
            <family val="2"/>
          </rPr>
          <t xml:space="preserve">Calcualated.  </t>
        </r>
        <r>
          <rPr>
            <i/>
            <u/>
            <sz val="10"/>
            <color rgb="FF000000"/>
            <rFont val="Tahoma"/>
            <family val="2"/>
          </rPr>
          <t xml:space="preserve">Locked
</t>
        </r>
      </text>
    </comment>
    <comment ref="S5" authorId="0" shapeId="0" xr:uid="{5A8DA997-78CA-415C-89E8-39C47B978828}">
      <text>
        <r>
          <rPr>
            <b/>
            <sz val="10"/>
            <color indexed="8"/>
            <rFont val="Tahoma"/>
            <family val="2"/>
          </rPr>
          <t xml:space="preserve">INC@B - Inclination at bit. </t>
        </r>
        <r>
          <rPr>
            <sz val="10"/>
            <color indexed="8"/>
            <rFont val="Tahoma"/>
            <family val="2"/>
          </rPr>
          <t xml:space="preserve">Calculated from BR/m x SB.  </t>
        </r>
        <r>
          <rPr>
            <i/>
            <u/>
            <sz val="10"/>
            <color indexed="8"/>
            <rFont val="Tahoma"/>
            <family val="2"/>
          </rPr>
          <t xml:space="preserve">Locked
</t>
        </r>
      </text>
    </comment>
    <comment ref="T5" authorId="0" shapeId="0" xr:uid="{7D66E57A-A577-4248-942F-11AB58FDE0D0}">
      <text>
        <r>
          <rPr>
            <b/>
            <sz val="10"/>
            <color indexed="8"/>
            <rFont val="Tahoma"/>
            <family val="2"/>
          </rPr>
          <t xml:space="preserve">TVD@B - True vertical depth at bit. </t>
        </r>
        <r>
          <rPr>
            <sz val="10"/>
            <color indexed="8"/>
            <rFont val="Tahoma"/>
            <family val="2"/>
          </rPr>
          <t xml:space="preserve">Calculated TVD at bit. </t>
        </r>
        <r>
          <rPr>
            <i/>
            <u/>
            <sz val="10"/>
            <color indexed="8"/>
            <rFont val="Tahoma"/>
            <family val="2"/>
          </rPr>
          <t>Locked</t>
        </r>
      </text>
    </comment>
    <comment ref="U5" authorId="0" shapeId="0" xr:uid="{7F5113E0-E3EB-4898-AFF0-0C33A8D61088}">
      <text>
        <r>
          <rPr>
            <b/>
            <sz val="10"/>
            <color rgb="FF000000"/>
            <rFont val="Tahoma"/>
            <family val="2"/>
          </rPr>
          <t xml:space="preserve">BURR@B - Build rate required to active target from bit. </t>
        </r>
        <r>
          <rPr>
            <sz val="10"/>
            <color rgb="FF000000"/>
            <rFont val="Tahoma"/>
            <family val="2"/>
          </rPr>
          <t xml:space="preserve">Calcualated. </t>
        </r>
        <r>
          <rPr>
            <i/>
            <u/>
            <sz val="10"/>
            <color rgb="FF000000"/>
            <rFont val="Tahoma"/>
            <family val="2"/>
          </rPr>
          <t xml:space="preserve">Locked
</t>
        </r>
      </text>
    </comment>
    <comment ref="V5" authorId="0" shapeId="0" xr:uid="{D9BD5A7A-C556-49BB-B78A-F03E62F3A056}">
      <text>
        <r>
          <rPr>
            <b/>
            <sz val="10"/>
            <color rgb="FF000000"/>
            <rFont val="Tahoma"/>
            <family val="2"/>
          </rPr>
          <t xml:space="preserve">BR/mS - Build Rate per meter Slid. </t>
        </r>
        <r>
          <rPr>
            <sz val="10"/>
            <color rgb="FF000000"/>
            <rFont val="Tahoma"/>
            <family val="2"/>
          </rPr>
          <t xml:space="preserve">Calcualated, but can be over written if required.  </t>
        </r>
        <r>
          <rPr>
            <i/>
            <u/>
            <sz val="10"/>
            <color rgb="FF000000"/>
            <rFont val="Tahoma"/>
            <family val="2"/>
          </rPr>
          <t xml:space="preserve">Editable
</t>
        </r>
      </text>
    </comment>
    <comment ref="W5" authorId="0" shapeId="0" xr:uid="{E94B0B69-03C8-4BA4-84F5-ED01D6E180A4}">
      <text>
        <r>
          <rPr>
            <b/>
            <sz val="10"/>
            <color indexed="8"/>
            <rFont val="Tahoma"/>
            <family val="2"/>
          </rPr>
          <t xml:space="preserve">TR/mS - Turn rate per meter slid. </t>
        </r>
        <r>
          <rPr>
            <sz val="10"/>
            <color indexed="8"/>
            <rFont val="Tahoma"/>
            <family val="2"/>
          </rPr>
          <t xml:space="preserve">Calculated. </t>
        </r>
        <r>
          <rPr>
            <i/>
            <u/>
            <sz val="10"/>
            <color indexed="8"/>
            <rFont val="Tahoma"/>
            <family val="2"/>
          </rPr>
          <t xml:space="preserve">Locked
</t>
        </r>
      </text>
    </comment>
    <comment ref="X5" authorId="0" shapeId="0" xr:uid="{600FA3FF-49E9-4CA4-9ACA-9AE6E7218188}">
      <text>
        <r>
          <rPr>
            <b/>
            <sz val="10"/>
            <color indexed="8"/>
            <rFont val="Tahoma"/>
            <family val="2"/>
          </rPr>
          <t xml:space="preserve">BR - Build rate broken out of DLS. </t>
        </r>
        <r>
          <rPr>
            <sz val="10"/>
            <color indexed="8"/>
            <rFont val="Tahoma"/>
            <family val="2"/>
          </rPr>
          <t xml:space="preserve">Calculated. </t>
        </r>
        <r>
          <rPr>
            <i/>
            <u/>
            <sz val="10"/>
            <color indexed="8"/>
            <rFont val="Tahoma"/>
            <family val="2"/>
          </rPr>
          <t>Locked</t>
        </r>
      </text>
    </comment>
    <comment ref="Y5" authorId="0" shapeId="0" xr:uid="{D07667C2-5994-4F89-BECC-4EC1F8EBC5FC}">
      <text>
        <r>
          <rPr>
            <b/>
            <sz val="10"/>
            <color indexed="8"/>
            <rFont val="Tahoma"/>
            <family val="2"/>
          </rPr>
          <t xml:space="preserve">TR - Turn rate broken out of DLS. </t>
        </r>
        <r>
          <rPr>
            <sz val="10"/>
            <color indexed="8"/>
            <rFont val="Tahoma"/>
            <family val="2"/>
          </rPr>
          <t xml:space="preserve">Calculated. </t>
        </r>
        <r>
          <rPr>
            <i/>
            <u/>
            <sz val="10"/>
            <color indexed="8"/>
            <rFont val="Tahoma"/>
            <family val="2"/>
          </rPr>
          <t xml:space="preserve">Locked
</t>
        </r>
      </text>
    </comment>
    <comment ref="Z5" authorId="0" shapeId="0" xr:uid="{988A0D56-5AF7-4A2D-A9DA-140529CE4DA3}">
      <text>
        <r>
          <rPr>
            <b/>
            <sz val="10"/>
            <color indexed="8"/>
            <rFont val="Tahoma"/>
            <family val="2"/>
          </rPr>
          <t xml:space="preserve">TMDLS - Total motor dog leg severity.  </t>
        </r>
        <r>
          <rPr>
            <sz val="10"/>
            <color indexed="8"/>
            <rFont val="Tahoma"/>
            <family val="2"/>
          </rPr>
          <t xml:space="preserve">Calculated.  If there is no slide seen then this is calculated as a rotary TMDLS. </t>
        </r>
        <r>
          <rPr>
            <i/>
            <u/>
            <sz val="10"/>
            <color indexed="8"/>
            <rFont val="Tahoma"/>
            <family val="2"/>
          </rPr>
          <t xml:space="preserve">Locked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Phoenix</author>
  </authors>
  <commentList>
    <comment ref="U8" authorId="0" shapeId="0" xr:uid="{59D13B94-32F1-48F5-AE08-C6E1DF39C1CB}">
      <text>
        <r>
          <rPr>
            <b/>
            <sz val="9"/>
            <color indexed="81"/>
            <rFont val="Tahoma"/>
            <family val="2"/>
          </rPr>
          <t>Phoenix: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<sst xmlns="http://schemas.openxmlformats.org/spreadsheetml/2006/main" count="2076" uniqueCount="671">
  <si>
    <t xml:space="preserve">  OPENCAP  |  WELL DATABASE &amp; SETUP</t>
  </si>
  <si>
    <t xml:space="preserve">  ANTI-COLLISION SUMMARY  |  Separation Factor &lt; 2.0</t>
  </si>
  <si>
    <t xml:space="preserve">  JOB IDENTITY</t>
  </si>
  <si>
    <t>JOB ID</t>
  </si>
  <si>
    <t/>
  </si>
  <si>
    <t>OPS STATUS</t>
  </si>
  <si>
    <t>JOB NAME</t>
  </si>
  <si>
    <t>PROFILE</t>
  </si>
  <si>
    <t>CLIENT</t>
  </si>
  <si>
    <t>AFE</t>
  </si>
  <si>
    <t>WELL / UWI</t>
  </si>
  <si>
    <t>WELL LICENCE</t>
  </si>
  <si>
    <t>SURFACE COORDS</t>
  </si>
  <si>
    <t>PROVINCE</t>
  </si>
  <si>
    <t>SPUD DATE</t>
  </si>
  <si>
    <t>START DATE</t>
  </si>
  <si>
    <t>MAP SYSTEM</t>
  </si>
  <si>
    <t>NORTH REF</t>
  </si>
  <si>
    <t xml:space="preserve">  WELL GEOMETRY</t>
  </si>
  <si>
    <t>GROUND MSL</t>
  </si>
  <si>
    <t>TVD</t>
  </si>
  <si>
    <t>RKB HEIGHT</t>
  </si>
  <si>
    <t>TOTAL KB</t>
  </si>
  <si>
    <t>LATITUDE</t>
  </si>
  <si>
    <t>LONGITUDE</t>
  </si>
  <si>
    <t>VSD</t>
  </si>
  <si>
    <t>WELL TYPE</t>
  </si>
  <si>
    <t xml:space="preserve">  DIRECTIONAL PARAMETERS</t>
  </si>
  <si>
    <t>MAG DECL</t>
  </si>
  <si>
    <t>REF MODEL</t>
  </si>
  <si>
    <t>DIP</t>
  </si>
  <si>
    <t>REF DATE</t>
  </si>
  <si>
    <t>TGF</t>
  </si>
  <si>
    <t>TMF</t>
  </si>
  <si>
    <t>CONVERGENCE</t>
  </si>
  <si>
    <t>TOL DIP</t>
  </si>
  <si>
    <t>SURVEY CORR.</t>
  </si>
  <si>
    <t>DRILL MEAS.</t>
  </si>
  <si>
    <t xml:space="preserve">  EQUIPMENT &amp; RIG</t>
  </si>
  <si>
    <t>RIG TYPE</t>
  </si>
  <si>
    <t>TOP DRIVE</t>
  </si>
  <si>
    <t>DATA RECORDER</t>
  </si>
  <si>
    <t>GAMMA</t>
  </si>
  <si>
    <t>MWD GUIDANCE</t>
  </si>
  <si>
    <t>PIPE ARM</t>
  </si>
  <si>
    <t>RIG NAME</t>
  </si>
  <si>
    <t>LOADER</t>
  </si>
  <si>
    <t xml:space="preserve">  CONTACTS</t>
  </si>
  <si>
    <t>COMPANY MAN</t>
  </si>
  <si>
    <t>CM PHONE</t>
  </si>
  <si>
    <t>2ND COMP. MAN</t>
  </si>
  <si>
    <t>2ND CM PHONE</t>
  </si>
  <si>
    <t>GEOLOGIST</t>
  </si>
  <si>
    <t>GEOL. PHONE</t>
  </si>
  <si>
    <t>DD COORDINATOR</t>
  </si>
  <si>
    <t>DD COORD EMAIL</t>
  </si>
  <si>
    <t>MWD COORDINATOR</t>
  </si>
  <si>
    <t>MWD EMAIL</t>
  </si>
  <si>
    <t>SALES REP</t>
  </si>
  <si>
    <t>SALES EMAIL</t>
  </si>
  <si>
    <t xml:space="preserve">  CREW MANIFEST</t>
  </si>
  <si>
    <t>ROLE</t>
  </si>
  <si>
    <t>NAME</t>
  </si>
  <si>
    <t>EMAIL</t>
  </si>
  <si>
    <t>PHONE</t>
  </si>
  <si>
    <t xml:space="preserve">  OPENCAP EXPORT FILES</t>
  </si>
  <si>
    <t>STATUS</t>
  </si>
  <si>
    <t>FILE TYPE</t>
  </si>
  <si>
    <t>FILENAME</t>
  </si>
  <si>
    <t>ROWS</t>
  </si>
  <si>
    <t>PATH</t>
  </si>
  <si>
    <t>✓</t>
  </si>
  <si>
    <t>Job Details</t>
  </si>
  <si>
    <t>fieldcap-job-20786-job-details.csv</t>
  </si>
  <si>
    <t>C:\Users\User\Desktop\Vibe_Projects\PHX_FieldCap\fieldcap-job-20786-job-details.csv</t>
  </si>
  <si>
    <t>Crew / Personnel</t>
  </si>
  <si>
    <t>fieldcap-job-20786-crew.csv</t>
  </si>
  <si>
    <t>C:\Users\User\Desktop\Vibe_Projects\PHX_FieldCap\fieldcap-job-20786-crew.csv</t>
  </si>
  <si>
    <t>BHA Equipment</t>
  </si>
  <si>
    <t>fieldcap-job-20786-bha-equipment.csv</t>
  </si>
  <si>
    <t>C:\Users\User\Desktop\Vibe_Projects\PHX_FieldCap\fieldcap-job-20786-bha-equipment.csv</t>
  </si>
  <si>
    <t>Slide / Rotate by Day</t>
  </si>
  <si>
    <t>fieldcap-job-20786-slide-rotate-metres-by-day.csv</t>
  </si>
  <si>
    <t>C:\Users\User\Desktop\Vibe_Projects\PHX_FieldCap\fieldcap-job-20786-slide-rotate-metres-by-day.csv</t>
  </si>
  <si>
    <t>Equipment Inventory</t>
  </si>
  <si>
    <t>fieldcap-job-20786-inventory.csv</t>
  </si>
  <si>
    <t>C:\Users\User\Desktop\Vibe_Projects\PHX_FieldCap\fieldcap-job-20786-inventory.csv</t>
  </si>
  <si>
    <t xml:space="preserve">  IMPORT FILES</t>
  </si>
  <si>
    <t>FILE</t>
  </si>
  <si>
    <t>SELECTED PATH</t>
  </si>
  <si>
    <t>Import Plan</t>
  </si>
  <si>
    <t>Import AC</t>
  </si>
  <si>
    <t xml:space="preserve">  EOW / JOB NOTES</t>
  </si>
  <si>
    <t>#</t>
  </si>
  <si>
    <t>Ref MD (m)</t>
  </si>
  <si>
    <t>Between Centres (m)</t>
  </si>
  <si>
    <t>Separation Factor</t>
  </si>
  <si>
    <t>Risk</t>
  </si>
  <si>
    <t xml:space="preserve">  No data  --  use Import AC button to load</t>
  </si>
  <si>
    <t>Job ID</t>
  </si>
  <si>
    <t>Job Name</t>
  </si>
  <si>
    <t>Job Code</t>
  </si>
  <si>
    <t>Client</t>
  </si>
  <si>
    <t>Job Type</t>
  </si>
  <si>
    <t>Ops Status</t>
  </si>
  <si>
    <t>AFE (core)</t>
  </si>
  <si>
    <t>Well (core)</t>
  </si>
  <si>
    <t>Description</t>
  </si>
  <si>
    <t>PO</t>
  </si>
  <si>
    <t>Work Order</t>
  </si>
  <si>
    <t>Cost Center</t>
  </si>
  <si>
    <t>County</t>
  </si>
  <si>
    <t>City</t>
  </si>
  <si>
    <t>Start Date</t>
  </si>
  <si>
    <t>End Date</t>
  </si>
  <si>
    <t>Planned Start Date</t>
  </si>
  <si>
    <t>Planned End Date</t>
  </si>
  <si>
    <t>Rig Name</t>
  </si>
  <si>
    <t>Camp</t>
  </si>
  <si>
    <t>CCEmail</t>
  </si>
  <si>
    <t>ChangeToLicensedBH</t>
  </si>
  <si>
    <t>ClientEmail</t>
  </si>
  <si>
    <t>CompanyMan</t>
  </si>
  <si>
    <t>CompanyManEmail</t>
  </si>
  <si>
    <t>CompanyManPhone</t>
  </si>
  <si>
    <t>Convergence</t>
  </si>
  <si>
    <t>countryValue</t>
  </si>
  <si>
    <t>DataRecorder</t>
  </si>
  <si>
    <t>DDCoordinator</t>
  </si>
  <si>
    <t>DDCoordinatorEmail</t>
  </si>
  <si>
    <t>DDCoordinatorUserId</t>
  </si>
  <si>
    <t>Directions</t>
  </si>
  <si>
    <t>DrillMeasuredFrom</t>
  </si>
  <si>
    <t>Gamma</t>
  </si>
  <si>
    <t>Geologist</t>
  </si>
  <si>
    <t>GeologistPhone</t>
  </si>
  <si>
    <t>GroundMSL</t>
  </si>
  <si>
    <t>IronRghNeck</t>
  </si>
  <si>
    <t>Latitude</t>
  </si>
  <si>
    <t>LatitudeDMS</t>
  </si>
  <si>
    <t>Loader</t>
  </si>
  <si>
    <t>Longitude</t>
  </si>
  <si>
    <t>LongitudeDMS</t>
  </si>
  <si>
    <t>MagneticDeclination</t>
  </si>
  <si>
    <t>MagneticReferenceDate</t>
  </si>
  <si>
    <t>MagneticReferenceModel</t>
  </si>
  <si>
    <t>MaintRepairPercent</t>
  </si>
  <si>
    <t>ManualSurvey</t>
  </si>
  <si>
    <t>MapSystem</t>
  </si>
  <si>
    <t>MWDCoordinator</t>
  </si>
  <si>
    <t>MWDCoordinatorEmail</t>
  </si>
  <si>
    <t>MWDCoordinatorUserId</t>
  </si>
  <si>
    <t>MWDGuidanceType</t>
  </si>
  <si>
    <t>NorthReference</t>
  </si>
  <si>
    <t>opsStatus</t>
  </si>
  <si>
    <t>OtherPersonnel</t>
  </si>
  <si>
    <t>PermanentDatum</t>
  </si>
  <si>
    <t>PipeArm</t>
  </si>
  <si>
    <t>Province</t>
  </si>
  <si>
    <t>Pump</t>
  </si>
  <si>
    <t>Radio</t>
  </si>
  <si>
    <t>RemoteServices</t>
  </si>
  <si>
    <t>RigType</t>
  </si>
  <si>
    <t>RKB</t>
  </si>
  <si>
    <t>SalesRep</t>
  </si>
  <si>
    <t>SalesRepEmail</t>
  </si>
  <si>
    <t>SalesRepId</t>
  </si>
  <si>
    <t>SecondCompanyMan</t>
  </si>
  <si>
    <t>SecondCompanyManPhone</t>
  </si>
  <si>
    <t>Section</t>
  </si>
  <si>
    <t>SpudDate</t>
  </si>
  <si>
    <t>SurfaceCoordinates</t>
  </si>
  <si>
    <t>SurveyCorrection</t>
  </si>
  <si>
    <t>ToleranceDIP</t>
  </si>
  <si>
    <t>ToleranceTGF</t>
  </si>
  <si>
    <t>ToleranceTMF</t>
  </si>
  <si>
    <t>TopDrive</t>
  </si>
  <si>
    <t>TotalCorrection</t>
  </si>
  <si>
    <t>TotalKB</t>
  </si>
  <si>
    <t>UWI</t>
  </si>
  <si>
    <t>WellLicenceNumber</t>
  </si>
  <si>
    <t>WellProfile</t>
  </si>
  <si>
    <t>TOURMALINE HZ SUNDOWN I04-04-077-17</t>
  </si>
  <si>
    <t>Hz</t>
  </si>
  <si>
    <t>Please have ready for shipping Mon May 11th.</t>
  </si>
  <si>
    <t>26D0467</t>
  </si>
  <si>
    <t>N</t>
  </si>
  <si>
    <t>cdnupdates@phxtech.com; spfeiffer@phxtech.com; CDNCoordinators@phxtech.com</t>
  </si>
  <si>
    <t>NEBCDrilling@tourmalineoil.com;data+tourmaline@corva.ai; mitch.ferguson@tourmalineoil.com</t>
  </si>
  <si>
    <t>Dalllas Toth</t>
  </si>
  <si>
    <t>pd538@tourmalineoil.com</t>
  </si>
  <si>
    <t>CA</t>
  </si>
  <si>
    <t>Pason</t>
  </si>
  <si>
    <t>de Klerk, Curtis</t>
  </si>
  <si>
    <t>cdeklerk@phxtech.com</t>
  </si>
  <si>
    <t>From Dawson Creek: 
-Travel 19km west on HWY 97 south. 
-Turn left and travel on HWY 52 for 13.6km.
-Turn right onto the 200RD for 1.9km.
-Turn right into location.</t>
  </si>
  <si>
    <t>Kelly Bushing</t>
  </si>
  <si>
    <t>Y</t>
  </si>
  <si>
    <t>Sam Mackie</t>
  </si>
  <si>
    <t>55 38 15.490 N</t>
  </si>
  <si>
    <t>120 35 4.649 W</t>
  </si>
  <si>
    <t>IFR</t>
  </si>
  <si>
    <t>NAD83</t>
  </si>
  <si>
    <t>Fiodorov, Daniil</t>
  </si>
  <si>
    <t>dfiodorov@phxtech.com</t>
  </si>
  <si>
    <t>Velocity UTX</t>
  </si>
  <si>
    <t>Field On Hold</t>
  </si>
  <si>
    <t>[{"String1":"Mitch Mcleod","String2":"7808867557","String3":"","String4":"Second Company Man"},{"String1":"Sam Mackie","String2":"4037673576","String4":"Geologist"}]</t>
  </si>
  <si>
    <t>Ground Level</t>
  </si>
  <si>
    <t>BC</t>
  </si>
  <si>
    <t>[{"String1":"BAOJI-BPMMP","String2":"F-1600","String3":"305","String4":"Triplex","String5":"152","String6":"98","GridChanges":[false,false,false,false,false,false,false,false],"GridRowId":"fea1635b-881f-4e4e-92ad-ab889e37590e","GridRowNumber":1},{"String1":"JIAOZUO JINBIAO","String2":"F-1600","String3":"305","String4":"Triplex","String5":"152","String6":"98"}]</t>
  </si>
  <si>
    <t>Triple</t>
  </si>
  <si>
    <t>Steve Pfeiffer</t>
  </si>
  <si>
    <t>spfeiffer@phxtech.com</t>
  </si>
  <si>
    <t>Mitch Mcleod</t>
  </si>
  <si>
    <t>[{"String1":"Surface","String2":"193.68mm","String3":"251mm","String4":"39.29 kg/m","String5":"610.89m"}]</t>
  </si>
  <si>
    <t>04-04-077-17 W6</t>
  </si>
  <si>
    <t>200/c-033-H/093-P-10/00</t>
  </si>
  <si>
    <t>Horizontal</t>
  </si>
  <si>
    <t>Name</t>
  </si>
  <si>
    <t>Employee Code</t>
  </si>
  <si>
    <t>Email</t>
  </si>
  <si>
    <t>Phone</t>
  </si>
  <si>
    <t>Role</t>
  </si>
  <si>
    <t>Work Type</t>
  </si>
  <si>
    <t>Line Number</t>
  </si>
  <si>
    <t>Keegan Giesbrecht</t>
  </si>
  <si>
    <t>kgiesbrecht@phxtech.com</t>
  </si>
  <si>
    <t>587-873-5561</t>
  </si>
  <si>
    <t>Michael Leveridge</t>
  </si>
  <si>
    <t>mleveridge@phxtech.com</t>
  </si>
  <si>
    <t>403-506-7870</t>
  </si>
  <si>
    <t>Ruslan Klishch</t>
  </si>
  <si>
    <t>rklishch@phxtech.com</t>
  </si>
  <si>
    <t>587-968-6704</t>
  </si>
  <si>
    <t>Thomas Brodie</t>
  </si>
  <si>
    <t>tbrodie@phxtech.com</t>
  </si>
  <si>
    <t>403-700-3601</t>
  </si>
  <si>
    <t>Bruno Brottes</t>
  </si>
  <si>
    <t>bbrottes@phxtech.com</t>
  </si>
  <si>
    <t>780-966-3266</t>
  </si>
  <si>
    <t>Corey Anderson</t>
  </si>
  <si>
    <t>coreya@phxtech.com</t>
  </si>
  <si>
    <t>403-894-0643</t>
  </si>
  <si>
    <t>Charles McNeil</t>
  </si>
  <si>
    <t>cmcneil@phxtech.com</t>
  </si>
  <si>
    <t>780.231.7770</t>
  </si>
  <si>
    <t>BHA #</t>
  </si>
  <si>
    <t>Status</t>
  </si>
  <si>
    <t>Motor</t>
  </si>
  <si>
    <t>Guidance</t>
  </si>
  <si>
    <t>Metres Drilled</t>
  </si>
  <si>
    <t>BHA Mtrs Slid</t>
  </si>
  <si>
    <t>BHA Mtrs Rot</t>
  </si>
  <si>
    <t>BHA Total Hrs</t>
  </si>
  <si>
    <t>BHA Hrs Slid</t>
  </si>
  <si>
    <t>BHA Hrs Rot</t>
  </si>
  <si>
    <t>BHA Hrs Circ</t>
  </si>
  <si>
    <t>BHA Below Rot</t>
  </si>
  <si>
    <t>Activated On</t>
  </si>
  <si>
    <t>Completed On</t>
  </si>
  <si>
    <t>Serial #</t>
  </si>
  <si>
    <t>Item Code</t>
  </si>
  <si>
    <t>Sub Description</t>
  </si>
  <si>
    <t>Length</t>
  </si>
  <si>
    <t>Accum Length</t>
  </si>
  <si>
    <t>Top</t>
  </si>
  <si>
    <t>Bottom</t>
  </si>
  <si>
    <t>Max OD</t>
  </si>
  <si>
    <t>Min ID</t>
  </si>
  <si>
    <t>Job Hours</t>
  </si>
  <si>
    <t>HSLS</t>
  </si>
  <si>
    <t>Strapped</t>
  </si>
  <si>
    <t>Shipping Status</t>
  </si>
  <si>
    <t>Dispatched On</t>
  </si>
  <si>
    <t>Returned On</t>
  </si>
  <si>
    <t>Lateral</t>
  </si>
  <si>
    <t>Completed</t>
  </si>
  <si>
    <t>PHX-525168-PTS</t>
  </si>
  <si>
    <t>VC475178</t>
  </si>
  <si>
    <t>475 Centralizer Collar Assembly Velocity</t>
  </si>
  <si>
    <t>Mud Motor 525 ML PHX</t>
  </si>
  <si>
    <t>BAPP235</t>
  </si>
  <si>
    <t>Battery Barrel Assembly Velocity</t>
  </si>
  <si>
    <t>DR60173</t>
  </si>
  <si>
    <t>Rental Crossover 475 - 525</t>
  </si>
  <si>
    <t>VL475362</t>
  </si>
  <si>
    <t>475 Grounding Sub Assy - Morse Taper</t>
  </si>
  <si>
    <t>ELPP020</t>
  </si>
  <si>
    <t>Turn Key Pulser Bottom End Assembly Velocity</t>
  </si>
  <si>
    <t>DR30124</t>
  </si>
  <si>
    <t>Rental Stabilizers All Sizes</t>
  </si>
  <si>
    <t>Rental Flex Collar 475-525</t>
  </si>
  <si>
    <t>Rental Slick Pony Collar 475-525</t>
  </si>
  <si>
    <t>VX475226</t>
  </si>
  <si>
    <t>Crossover Sub 3 1-2 IF Pin x DS38 Pin Velocity</t>
  </si>
  <si>
    <t>VG475279PTS</t>
  </si>
  <si>
    <t>475 Gap Sub Assembly (Peek Ring) PHX Velocity</t>
  </si>
  <si>
    <t>EB0426</t>
  </si>
  <si>
    <t>ELP Barrel Assembly Velocity (Dispatch)</t>
  </si>
  <si>
    <t>PHX-525030-PTS</t>
  </si>
  <si>
    <t>ELPP268</t>
  </si>
  <si>
    <t>BAPP366</t>
  </si>
  <si>
    <t>VC475183</t>
  </si>
  <si>
    <t>VX475217</t>
  </si>
  <si>
    <t>VG475281PTS</t>
  </si>
  <si>
    <t>VL475341</t>
  </si>
  <si>
    <t>EB0441</t>
  </si>
  <si>
    <t>Curve</t>
  </si>
  <si>
    <t>PHX-576274-PTS</t>
  </si>
  <si>
    <t>VX550172</t>
  </si>
  <si>
    <t>563 Crossover Sub - 4.520 V038 Pin x NC44 Pin</t>
  </si>
  <si>
    <t>DR15673</t>
  </si>
  <si>
    <t>Rental Flex Collar 550</t>
  </si>
  <si>
    <t>BAPP298</t>
  </si>
  <si>
    <t>Mud Motor 576 ML PHX</t>
  </si>
  <si>
    <t>VL550095</t>
  </si>
  <si>
    <t>550 Grounding Sub Assy - Morse Taper</t>
  </si>
  <si>
    <t>ELPP408</t>
  </si>
  <si>
    <t>DR49404</t>
  </si>
  <si>
    <t>DR30538</t>
  </si>
  <si>
    <t>VG550005PTS</t>
  </si>
  <si>
    <t>550 Gap Sub Assembly Velocity</t>
  </si>
  <si>
    <t>EB0228</t>
  </si>
  <si>
    <t>VC550213</t>
  </si>
  <si>
    <t>550 Centralizer Collar Assembly Velocity</t>
  </si>
  <si>
    <t>Rental Slick Pony Collar 550</t>
  </si>
  <si>
    <t>Intermediate</t>
  </si>
  <si>
    <t>PHX-576002-PTS</t>
  </si>
  <si>
    <t>VG550171PTS</t>
  </si>
  <si>
    <t>VC550306</t>
  </si>
  <si>
    <t>DR59210</t>
  </si>
  <si>
    <t>VX550096</t>
  </si>
  <si>
    <t>DR35372</t>
  </si>
  <si>
    <t>VL550100</t>
  </si>
  <si>
    <t>PHX-576284-PTS</t>
  </si>
  <si>
    <t>VX563243</t>
  </si>
  <si>
    <t>VC550298</t>
  </si>
  <si>
    <t>EB0298</t>
  </si>
  <si>
    <t>BAPP457</t>
  </si>
  <si>
    <t>VL550201</t>
  </si>
  <si>
    <t>ELPP274</t>
  </si>
  <si>
    <t>VG550210PTS</t>
  </si>
  <si>
    <t>Surface</t>
  </si>
  <si>
    <t>24X-19740-PTS</t>
  </si>
  <si>
    <t>VX800085</t>
  </si>
  <si>
    <t>800 Crossover Sub PHX Velocity</t>
  </si>
  <si>
    <t>VC800307</t>
  </si>
  <si>
    <t>800 Centralizer Collar Assembly Velocity</t>
  </si>
  <si>
    <t>VL800231</t>
  </si>
  <si>
    <t>800 Grounding Sub Assy - Morse Taper</t>
  </si>
  <si>
    <t>VG800272PTS</t>
  </si>
  <si>
    <t>800 Gap Sub Assembly Peek Ring PHX Velocity</t>
  </si>
  <si>
    <t>SL800012</t>
  </si>
  <si>
    <t>Slick Collar Non-Mag - 8In. 6 5/8 Reg. Pin x Box 3.25In. ID</t>
  </si>
  <si>
    <t>BAPP266</t>
  </si>
  <si>
    <t>EB0259</t>
  </si>
  <si>
    <t>Mud Motor 775 NOV 24X</t>
  </si>
  <si>
    <t>DR30707</t>
  </si>
  <si>
    <t>Rental Slick Pony Collar 800</t>
  </si>
  <si>
    <t>ELPP499</t>
  </si>
  <si>
    <t>Date</t>
  </si>
  <si>
    <t>Slide Metres</t>
  </si>
  <si>
    <t>Rotate Metres</t>
  </si>
  <si>
    <t>Survey Course Sum</t>
  </si>
  <si>
    <t>ItemCode</t>
  </si>
  <si>
    <t>ItemName</t>
  </si>
  <si>
    <t>SerialNumber</t>
  </si>
  <si>
    <t>MnfNumber</t>
  </si>
  <si>
    <t>Category</t>
  </si>
  <si>
    <t>SubCategory</t>
  </si>
  <si>
    <t>ShippingStatus</t>
  </si>
  <si>
    <t>TransferInDate</t>
  </si>
  <si>
    <t>TransferOutDate</t>
  </si>
  <si>
    <t>PlannedOutDate</t>
  </si>
  <si>
    <t>HrsSinceService</t>
  </si>
  <si>
    <t>SinceService_H1</t>
  </si>
  <si>
    <t>SinceService_H2</t>
  </si>
  <si>
    <t>SinceService_H3</t>
  </si>
  <si>
    <t>SinceService_H4</t>
  </si>
  <si>
    <t>SinceService_H5</t>
  </si>
  <si>
    <t>SinceService_H6</t>
  </si>
  <si>
    <t>Lifetime_H1</t>
  </si>
  <si>
    <t>Lifetime_H2</t>
  </si>
  <si>
    <t>Lifetime_H3</t>
  </si>
  <si>
    <t>Lifetime_H4</t>
  </si>
  <si>
    <t>IsActive</t>
  </si>
  <si>
    <t>PW2191</t>
  </si>
  <si>
    <t>DD</t>
  </si>
  <si>
    <t>Shipped</t>
  </si>
  <si>
    <t>PW3985</t>
  </si>
  <si>
    <t>VG475201PTS</t>
  </si>
  <si>
    <t>Planned</t>
  </si>
  <si>
    <t>VG475171PTS</t>
  </si>
  <si>
    <t>VL475364</t>
  </si>
  <si>
    <t>VL475290</t>
  </si>
  <si>
    <t>PW1200</t>
  </si>
  <si>
    <t>PW3989</t>
  </si>
  <si>
    <t>513 Centralizer Collar Assembly 4.300 Thread</t>
  </si>
  <si>
    <t>VC475269</t>
  </si>
  <si>
    <t>PW3987</t>
  </si>
  <si>
    <t>VC475245</t>
  </si>
  <si>
    <t>PW4649</t>
  </si>
  <si>
    <t>VC550166</t>
  </si>
  <si>
    <t>PW1866</t>
  </si>
  <si>
    <t>PW4248</t>
  </si>
  <si>
    <t>VC550091</t>
  </si>
  <si>
    <t>PW1371</t>
  </si>
  <si>
    <t>PW1868</t>
  </si>
  <si>
    <t>VG550021PTS</t>
  </si>
  <si>
    <t>VG550209PTS</t>
  </si>
  <si>
    <t>PW3163</t>
  </si>
  <si>
    <t>PW1372</t>
  </si>
  <si>
    <t>VL550118</t>
  </si>
  <si>
    <t>PW1582</t>
  </si>
  <si>
    <t>PW1867</t>
  </si>
  <si>
    <t>VL550116</t>
  </si>
  <si>
    <t>PW1581</t>
  </si>
  <si>
    <t>VX550017</t>
  </si>
  <si>
    <t>90-81-601720</t>
  </si>
  <si>
    <t>VX550050</t>
  </si>
  <si>
    <t>PW3984</t>
  </si>
  <si>
    <t>PW1875</t>
  </si>
  <si>
    <t>PW1861</t>
  </si>
  <si>
    <t>MWD</t>
  </si>
  <si>
    <t>PW1573</t>
  </si>
  <si>
    <t>BAPP315</t>
  </si>
  <si>
    <t>BAPP456</t>
  </si>
  <si>
    <t>PW2965</t>
  </si>
  <si>
    <t>PW2186</t>
  </si>
  <si>
    <t>Connect Surface System (Dispatch)</t>
  </si>
  <si>
    <t>SMDKW19ZE9C9</t>
  </si>
  <si>
    <t>Crossover Sub - 8In. 6.625 Reg. Pin 4.5 IF Box PHX</t>
  </si>
  <si>
    <t>X203021</t>
  </si>
  <si>
    <t>VX475223</t>
  </si>
  <si>
    <t>VX475239</t>
  </si>
  <si>
    <t>EB0317</t>
  </si>
  <si>
    <t>EB0366</t>
  </si>
  <si>
    <t>Flex Collar Non-Mag 500 PHXDS38 Pin x Box</t>
  </si>
  <si>
    <t>Laptop (Dispatch)</t>
  </si>
  <si>
    <t>YYCLT629</t>
  </si>
  <si>
    <t>5DD6KS7M5VR7</t>
  </si>
  <si>
    <t>5DD6KS7S9JSR</t>
  </si>
  <si>
    <t>YYCLT630</t>
  </si>
  <si>
    <t>Lift Sub - 4 3/4In. 4In. Elevator Recess NC38 Pin</t>
  </si>
  <si>
    <t>PSER475037</t>
  </si>
  <si>
    <t>PSER475090</t>
  </si>
  <si>
    <t>Lift Sub - 8In. 6 5/8 Reg. Pin</t>
  </si>
  <si>
    <t>PS800003</t>
  </si>
  <si>
    <t>L800020</t>
  </si>
  <si>
    <t>Mud Motor 514 PHX</t>
  </si>
  <si>
    <t>PHX-514122-PTS</t>
  </si>
  <si>
    <t>motor</t>
  </si>
  <si>
    <t>PHX-525180-PTS</t>
  </si>
  <si>
    <t>PW3089</t>
  </si>
  <si>
    <t>PW1355</t>
  </si>
  <si>
    <t>PHX-525121-PTS</t>
  </si>
  <si>
    <t>PHX-525145-PTS</t>
  </si>
  <si>
    <t>PW3068</t>
  </si>
  <si>
    <t>PW3088</t>
  </si>
  <si>
    <t>PHX-576117-PTS</t>
  </si>
  <si>
    <t>PW1747</t>
  </si>
  <si>
    <t>PHX-576252-PTS</t>
  </si>
  <si>
    <t>PW3083</t>
  </si>
  <si>
    <t>PW4232</t>
  </si>
  <si>
    <t>PW4004</t>
  </si>
  <si>
    <t>PHX-576149-PTS</t>
  </si>
  <si>
    <t>PW1947</t>
  </si>
  <si>
    <t>PHX-576292-PTS</t>
  </si>
  <si>
    <t>PW4576</t>
  </si>
  <si>
    <t>PHX-576272-PTS</t>
  </si>
  <si>
    <t>PHX-576157-PTS</t>
  </si>
  <si>
    <t>PHX-576286-PTS</t>
  </si>
  <si>
    <t>PHX-576095-PTS</t>
  </si>
  <si>
    <t>PW1601</t>
  </si>
  <si>
    <t>24X-775548-PTS</t>
  </si>
  <si>
    <t>MWD Kit Velocity</t>
  </si>
  <si>
    <t>Pony Slick Collar Non-Mag 5 1/4In. DS38 Pin x Box</t>
  </si>
  <si>
    <t>P525005</t>
  </si>
  <si>
    <t>Pony Slick Collar Non-Mag 563 NC44 Pin x Box</t>
  </si>
  <si>
    <t>P563001</t>
  </si>
  <si>
    <t>DR35437</t>
  </si>
  <si>
    <t>MAZZC572</t>
  </si>
  <si>
    <t>DR45881</t>
  </si>
  <si>
    <t>DR55255</t>
  </si>
  <si>
    <t>StabilDrill</t>
  </si>
  <si>
    <t>MAZZFLC500070B</t>
  </si>
  <si>
    <t>MAZZFLC500064B</t>
  </si>
  <si>
    <t>DR30606</t>
  </si>
  <si>
    <t>MAZZFLC550011B</t>
  </si>
  <si>
    <t>DR56665</t>
  </si>
  <si>
    <t>MAZZFLC550009B</t>
  </si>
  <si>
    <t>Rental Pickup Sub All Sizes</t>
  </si>
  <si>
    <t>DR47792</t>
  </si>
  <si>
    <t>DR56278</t>
  </si>
  <si>
    <t>Rental Screen Sub All Sizes</t>
  </si>
  <si>
    <t>DR53554</t>
  </si>
  <si>
    <t>DR60611</t>
  </si>
  <si>
    <t>DR15001</t>
  </si>
  <si>
    <t>SL800001</t>
  </si>
  <si>
    <t>Surface Receiver Assembly Velocity</t>
  </si>
  <si>
    <t>RCVR0216</t>
  </si>
  <si>
    <t>RCVR0058</t>
  </si>
  <si>
    <t>PW1572</t>
  </si>
  <si>
    <t>PW2964</t>
  </si>
  <si>
    <t>PW2185</t>
  </si>
  <si>
    <t>ELPP415</t>
  </si>
  <si>
    <t>ELPP371</t>
  </si>
  <si>
    <t>Vector Surface Receiver for Velocity</t>
  </si>
  <si>
    <t>MWDVSR0008</t>
  </si>
  <si>
    <t>Wifi Box</t>
  </si>
  <si>
    <t>BPHX033</t>
  </si>
  <si>
    <t>20786</t>
  </si>
  <si>
    <t>2026-04-04</t>
  </si>
  <si>
    <t>779.68 m</t>
  </si>
  <si>
    <t>0 m</t>
  </si>
  <si>
    <t>6 m</t>
  </si>
  <si>
    <t>785.68 m</t>
  </si>
  <si>
    <t>131.18</t>
  </si>
  <si>
    <t>16.03°</t>
  </si>
  <si>
    <t>74.88°</t>
  </si>
  <si>
    <t>1.00159</t>
  </si>
  <si>
    <t>0°</t>
  </si>
  <si>
    <t>PD-538</t>
  </si>
  <si>
    <t>Client Name:</t>
  </si>
  <si>
    <t>Petronas Energy Canada Ltd.</t>
  </si>
  <si>
    <t>SD</t>
  </si>
  <si>
    <t>INC</t>
  </si>
  <si>
    <t>AZI</t>
  </si>
  <si>
    <t>N/S</t>
  </si>
  <si>
    <t>E/W</t>
  </si>
  <si>
    <t>VS</t>
  </si>
  <si>
    <t>Copy targets into Active Target</t>
  </si>
  <si>
    <t>MD</t>
  </si>
  <si>
    <t>Target Comments</t>
  </si>
  <si>
    <t>radINC</t>
  </si>
  <si>
    <t>radAZI</t>
  </si>
  <si>
    <t xml:space="preserve"> </t>
  </si>
  <si>
    <t>Up</t>
  </si>
  <si>
    <t>Dn</t>
  </si>
  <si>
    <t>Way Points</t>
  </si>
  <si>
    <t>Well Name:</t>
  </si>
  <si>
    <t>PETRONAS HZ TOWN d-P066-J/094-B-16</t>
  </si>
  <si>
    <t xml:space="preserve">Tie On Survey: </t>
  </si>
  <si>
    <t>Inc to next</t>
  </si>
  <si>
    <t>Rig:</t>
  </si>
  <si>
    <t>PD544</t>
  </si>
  <si>
    <t>Target: 2</t>
  </si>
  <si>
    <t>Target Inc</t>
  </si>
  <si>
    <t>Job #:</t>
  </si>
  <si>
    <t>Target: 3</t>
  </si>
  <si>
    <t>BHA</t>
  </si>
  <si>
    <t>StB</t>
  </si>
  <si>
    <t>CL</t>
  </si>
  <si>
    <t>DLS</t>
  </si>
  <si>
    <t>SF</t>
  </si>
  <si>
    <t>ST</t>
  </si>
  <si>
    <t>M</t>
  </si>
  <si>
    <t>TF</t>
  </si>
  <si>
    <t>SS</t>
  </si>
  <si>
    <t>SB</t>
  </si>
  <si>
    <t>DO TF</t>
  </si>
  <si>
    <t>BURR@SD</t>
  </si>
  <si>
    <t>INC@B</t>
  </si>
  <si>
    <t>TVD@B</t>
  </si>
  <si>
    <t>BURR@B</t>
  </si>
  <si>
    <t>BR/mS</t>
  </si>
  <si>
    <t>TR/mS</t>
  </si>
  <si>
    <t>BR</t>
  </si>
  <si>
    <t>TR</t>
  </si>
  <si>
    <t>TMDLS</t>
  </si>
  <si>
    <t>%Slide</t>
  </si>
  <si>
    <t>Rot Dist</t>
  </si>
  <si>
    <t>Comments</t>
  </si>
  <si>
    <t>RF</t>
  </si>
  <si>
    <t>radINCb</t>
  </si>
  <si>
    <t>Turn</t>
  </si>
  <si>
    <t>Surv CL</t>
  </si>
  <si>
    <t>145M</t>
  </si>
  <si>
    <t>90R</t>
  </si>
  <si>
    <t>HS</t>
  </si>
  <si>
    <t>20R</t>
  </si>
  <si>
    <t>60R</t>
  </si>
  <si>
    <t>70R</t>
  </si>
  <si>
    <t>180</t>
  </si>
  <si>
    <t>340M</t>
  </si>
  <si>
    <t>200M</t>
  </si>
  <si>
    <t>220M</t>
  </si>
  <si>
    <t>HSR</t>
  </si>
  <si>
    <t>30R</t>
  </si>
  <si>
    <t>45R</t>
  </si>
  <si>
    <t>150L</t>
  </si>
  <si>
    <t>75R</t>
  </si>
  <si>
    <t>80R</t>
  </si>
  <si>
    <t>40R</t>
  </si>
  <si>
    <t>50R</t>
  </si>
  <si>
    <t>Target: 2019.44 mTVD @ 2443 mMD</t>
  </si>
  <si>
    <t>100R</t>
  </si>
  <si>
    <t>150R</t>
  </si>
  <si>
    <t>Target: 2017.70 mTVD @ 2650 mMD</t>
  </si>
  <si>
    <t>LS</t>
  </si>
  <si>
    <t>Target: 2016.30 mTVD @ 2850 mMD</t>
  </si>
  <si>
    <t>Target: 2012.80 mTVD @ 2900 mMD</t>
  </si>
  <si>
    <t>Target: 2010.40 mTVD @ 3100 mMD</t>
  </si>
  <si>
    <t>140R</t>
  </si>
  <si>
    <t>Target: 2007.30 mTVD @ 3300 mMD</t>
  </si>
  <si>
    <t>Target: 2005.70 mTVD @ 3500 mMD</t>
  </si>
  <si>
    <t>Target: 2001.60 mTVD @ 3800 mMD</t>
  </si>
  <si>
    <t>Target: 2001.10 mTVD @ 4050 mMD</t>
  </si>
  <si>
    <t>Target: 2000.10 mTVD @ 4250 mMD</t>
  </si>
  <si>
    <t>Target: 2001.70 mTVD @ 4350 mMD</t>
  </si>
  <si>
    <t>Target: 1998.60 mTVD @ 4650 mMD</t>
  </si>
  <si>
    <t>115R</t>
  </si>
  <si>
    <t>130R</t>
  </si>
  <si>
    <t>Target: 1997.20 mTVD @ 4850 mMD</t>
  </si>
  <si>
    <t>Target: 1999.90 mTVD @ 4900 mMD</t>
  </si>
  <si>
    <t>65R</t>
  </si>
  <si>
    <t>Target: 1999.90 mTVD @ 5100 mMD</t>
  </si>
  <si>
    <t>160R</t>
  </si>
  <si>
    <t>Target: 2000.00 mTVD @ 5300 mMD</t>
  </si>
  <si>
    <t>Target: 1999.00 mTVD @ 5500 mMD</t>
  </si>
  <si>
    <t>Target: 1998.60 mTVD @ 5665 mMD</t>
  </si>
  <si>
    <t>Above                   /                       Below</t>
  </si>
  <si>
    <t xml:space="preserve">Inc. </t>
  </si>
  <si>
    <t>Azimuth</t>
  </si>
  <si>
    <t>Bit to Sensor Offsets</t>
  </si>
  <si>
    <t>Target MD</t>
  </si>
  <si>
    <t>BRR</t>
  </si>
  <si>
    <t>Bit Depth</t>
  </si>
  <si>
    <t>Diff Dist</t>
  </si>
  <si>
    <t>Last MWD Survey</t>
  </si>
  <si>
    <t>PD Inc.</t>
  </si>
  <si>
    <t>D&amp;I</t>
  </si>
  <si>
    <t>Target INC</t>
  </si>
  <si>
    <t>TRR</t>
  </si>
  <si>
    <t>Last Inc</t>
  </si>
  <si>
    <t>Diff Inc</t>
  </si>
  <si>
    <t>Average Stand Length</t>
  </si>
  <si>
    <t>Target AZM</t>
  </si>
  <si>
    <t>DLR</t>
  </si>
  <si>
    <t>Last Azm</t>
  </si>
  <si>
    <t>Dif Azm</t>
  </si>
  <si>
    <t>PD Average</t>
  </si>
  <si>
    <t>MWD Average</t>
  </si>
  <si>
    <t>Target TVD</t>
  </si>
  <si>
    <t>TFR</t>
  </si>
  <si>
    <t>Bit Inc</t>
  </si>
  <si>
    <t>Bit Azm</t>
  </si>
  <si>
    <t>Continuous D &amp; I</t>
  </si>
  <si>
    <t>f/ cont.</t>
  </si>
  <si>
    <t>f/ survey</t>
  </si>
  <si>
    <t>Bit Projection f/ last survey</t>
  </si>
  <si>
    <t>MWD SD</t>
  </si>
  <si>
    <t>Azi.</t>
  </si>
  <si>
    <t>PD SD</t>
  </si>
  <si>
    <t>PD Azm.</t>
  </si>
  <si>
    <t>MWD DLS</t>
  </si>
  <si>
    <t>PD DLS</t>
  </si>
  <si>
    <t xml:space="preserve">BUR </t>
  </si>
  <si>
    <t>BUR</t>
  </si>
  <si>
    <t xml:space="preserve">TR </t>
  </si>
  <si>
    <t>Hole Depth</t>
  </si>
  <si>
    <t>Inc. @ Bit</t>
  </si>
  <si>
    <t>Az. @ Bit</t>
  </si>
  <si>
    <t>TVD @ Bit</t>
  </si>
  <si>
    <t>ROP</t>
  </si>
  <si>
    <t>(m)</t>
  </si>
  <si>
    <t>(°)</t>
  </si>
  <si>
    <t>(m</t>
  </si>
  <si>
    <t>(°/30m)</t>
  </si>
  <si>
    <t>(m/hr)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</si>
</sst>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0.00_);\(0.00\)"/>
  </numFmts>
  <fonts count="56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9"/>
      <color rgb="FF1E1E1E"/>
      <name val="Consolas"/>
      <family val="3"/>
    </font>
    <font>
      <b/>
      <sz val="14"/>
      <color rgb="FFFFFFFF"/>
      <name val="Consolas"/>
      <family val="3"/>
    </font>
    <font>
      <b/>
      <sz val="9"/>
      <color rgb="FFFFFFFF"/>
      <name val="Consolas"/>
      <family val="3"/>
    </font>
    <font>
      <b/>
      <sz val="8"/>
      <color rgb="FFFFFFFF"/>
      <name val="Consolas"/>
      <family val="3"/>
    </font>
    <font>
      <sz val="9"/>
      <color rgb="FF787878"/>
      <name val="Consolas"/>
      <family val="3"/>
    </font>
    <font>
      <b/>
      <sz val="7"/>
      <color rgb="FF787878"/>
      <name val="Consolas"/>
      <family val="3"/>
    </font>
    <font>
      <b/>
      <sz val="8"/>
      <color rgb="FF787878"/>
      <name val="Consolas"/>
      <family val="3"/>
    </font>
    <font>
      <sz val="7"/>
      <color rgb="FF787878"/>
      <name val="Consolas"/>
      <family val="3"/>
    </font>
    <font>
      <b/>
      <sz val="7"/>
      <color rgb="FF006E3C"/>
      <name val="Consolas"/>
      <family val="3"/>
    </font>
    <font>
      <sz val="7"/>
      <color rgb="FF006E3C"/>
      <name val="Consolas"/>
      <family val="3"/>
    </font>
    <font>
      <sz val="6"/>
      <color rgb="FF787878"/>
      <name val="Consolas"/>
      <family val="3"/>
    </font>
    <font>
      <sz val="8"/>
      <color rgb="FF1E1E1E"/>
      <name val="Consolas"/>
      <family val="3"/>
    </font>
    <font>
      <b/>
      <sz val="9"/>
      <color indexed="63"/>
      <name val="Consolas"/>
      <family val="3"/>
    </font>
    <font>
      <sz val="9"/>
      <color indexed="63"/>
      <name val="Consolas"/>
      <family val="3"/>
    </font>
    <font>
      <sz val="8"/>
      <color rgb="FF787878"/>
      <name val="Consolas"/>
      <family val="3"/>
    </font>
    <font>
      <b/>
      <sz val="9"/>
      <color rgb="FF1E1E1E"/>
      <name val="Consolas"/>
      <family val="3"/>
    </font>
    <font>
      <sz val="11"/>
      <color indexed="8"/>
      <name val="Calibri"/>
      <family val="2"/>
    </font>
    <font>
      <sz val="10"/>
      <color indexed="8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MS Sans Serif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i/>
      <u/>
      <sz val="10"/>
      <color indexed="8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Tahoma"/>
      <family val="2"/>
    </font>
    <font>
      <i/>
      <u/>
      <sz val="10"/>
      <color rgb="FF000000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8"/>
      <color rgb="FFFFFFFF"/>
      <name val="Arial"/>
      <family val="2"/>
      <charset val="1"/>
    </font>
    <font>
      <b/>
      <sz val="8"/>
      <color rgb="FFFFFFFF"/>
      <name val="Arial"/>
      <family val="2"/>
    </font>
    <font>
      <b/>
      <sz val="8"/>
      <color rgb="FFFFFFFF"/>
      <name val="Calibri"/>
      <family val="2"/>
    </font>
    <font>
      <sz val="10"/>
      <color rgb="FF1E1E1E"/>
      <name val="Arial"/>
      <family val="2"/>
      <charset val="1"/>
    </font>
    <font>
      <sz val="8"/>
      <color rgb="FF1E1E1E"/>
      <name val="Arial"/>
      <family val="2"/>
      <charset val="1"/>
    </font>
    <font>
      <sz val="10"/>
      <color rgb="FF1E1E1E"/>
      <name val="Arial"/>
      <family val="2"/>
    </font>
    <font>
      <sz val="8"/>
      <color rgb="FF1E1E1E"/>
      <name val="Arial"/>
      <family val="2"/>
    </font>
    <font>
      <sz val="8"/>
      <color rgb="FF1E1E1E"/>
      <name val="Calibri"/>
      <family val="2"/>
    </font>
    <font>
      <sz val="9"/>
      <color rgb="FF1E1E1E"/>
      <name val="Calibri"/>
      <family val="2"/>
    </font>
    <font>
      <sz val="9"/>
      <color theme="0"/>
      <name val="Calibri"/>
      <family val="2"/>
    </font>
    <font>
      <sz val="9"/>
      <color theme="0"/>
      <name val="Aptos Narrow"/>
      <family val="2"/>
      <scheme val="minor"/>
    </font>
    <font>
      <b/>
      <sz val="8"/>
      <name val="Arial"/>
      <family val="2"/>
    </font>
    <font>
      <b/>
      <sz val="9"/>
      <name val="Arial"/>
      <family val="2"/>
    </font>
    <font>
      <b/>
      <sz val="10"/>
      <color rgb="FFFFFFFF"/>
      <name val="Calibri"/>
      <family val="2"/>
    </font>
    <font>
      <b/>
      <sz val="10"/>
      <color rgb="FF006E6E"/>
      <name val="Calibri"/>
      <family val="2"/>
    </font>
    <font>
      <b/>
      <sz val="10"/>
      <color rgb="FF1E1E1E"/>
      <name val="Calibri"/>
      <family val="2"/>
    </font>
    <font>
      <b/>
      <sz val="10"/>
      <color theme="1"/>
      <name val="Aptos Narrow"/>
      <family val="2"/>
      <scheme val="minor"/>
    </font>
    <font>
      <b/>
      <sz val="10"/>
      <color theme="0"/>
      <name val="Arial"/>
      <family val="2"/>
      <charset val="1"/>
    </font>
    <font>
      <b/>
      <sz val="10"/>
      <color rgb="FF1E1E1E"/>
      <name val="Arial"/>
      <family val="2"/>
      <charset val="1"/>
    </font>
    <font>
      <b/>
      <sz val="10"/>
      <color theme="0"/>
      <name val="Calibri"/>
      <family val="2"/>
    </font>
    <font>
      <b/>
      <sz val="10"/>
      <color theme="0"/>
      <name val="Aptos Narrow"/>
      <family val="2"/>
      <scheme val="minor"/>
    </font>
    <font>
      <sz val="10"/>
      <color rgb="FF1E1E1E"/>
      <name val="Calibri"/>
      <family val="2"/>
    </font>
    <font>
      <sz val="10"/>
      <color theme="0"/>
      <name val="Arial"/>
      <family val="2"/>
    </font>
    <font>
      <u/>
      <sz val="10"/>
      <color indexed="12"/>
      <name val="Arial"/>
      <family val="2"/>
    </font>
    <font>
      <sz val="10"/>
      <color theme="1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FFFFFF"/>
        <bgColor indexed="64"/>
      </patternFill>
    </fill>
    <fill>
      <patternFill patternType="solid">
        <fgColor rgb="FF004F4F"/>
        <bgColor indexed="64"/>
      </patternFill>
    </fill>
    <fill>
      <patternFill patternType="solid">
        <fgColor rgb="FF003C3C"/>
        <bgColor indexed="64"/>
      </patternFill>
    </fill>
    <fill>
      <patternFill patternType="solid">
        <fgColor rgb="FFDADADA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006E6E"/>
        <bgColor indexed="64"/>
      </patternFill>
    </fill>
    <fill>
      <patternFill patternType="solid">
        <fgColor rgb="FF009B5F"/>
        <bgColor indexed="64"/>
      </patternFill>
    </fill>
    <fill>
      <patternFill patternType="solid">
        <fgColor rgb="FFE4FCEE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E8F5F5"/>
        <bgColor indexed="64"/>
      </patternFill>
    </fill>
    <fill>
      <patternFill patternType="solid">
        <fgColor rgb="FFDCEEEE"/>
        <bgColor indexed="64"/>
      </patternFill>
    </fill>
    <fill>
      <patternFill patternType="solid">
        <fgColor rgb="FFD2E8EB"/>
        <bgColor indexed="64"/>
      </patternFill>
    </fill>
    <fill>
      <patternFill patternType="solid">
        <fgColor rgb="FFC6E1E4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</fills>
  <borders count="93">
    <border>
      <left/>
      <right/>
      <top/>
      <bottom/>
      <diagonal/>
    </border>
    <border>
      <left/>
      <right/>
      <top style="hair">
        <color rgb="FFE8E8E8"/>
      </top>
      <bottom/>
      <diagonal/>
    </border>
    <border>
      <left/>
      <right/>
      <top style="hair">
        <color rgb="FFE8E8E8"/>
      </top>
      <bottom style="hair">
        <color rgb="FFE8E8E8"/>
      </bottom>
      <diagonal/>
    </border>
    <border>
      <left style="thin">
        <color rgb="FFC8C8C8"/>
      </left>
      <right/>
      <top/>
      <bottom/>
      <diagonal/>
    </border>
    <border>
      <left style="thin">
        <color rgb="FFC8C8C8"/>
      </left>
      <right/>
      <top style="hair">
        <color rgb="FFE8E8E8"/>
      </top>
      <bottom/>
      <diagonal/>
    </border>
    <border>
      <left style="thin">
        <color rgb="FFC8C8C8"/>
      </left>
      <right/>
      <top style="hair">
        <color rgb="FFE8E8E8"/>
      </top>
      <bottom style="hair">
        <color rgb="FFE8E8E8"/>
      </bottom>
      <diagonal/>
    </border>
    <border>
      <left/>
      <right style="thin">
        <color rgb="FFC8C8C8"/>
      </right>
      <top/>
      <bottom/>
      <diagonal/>
    </border>
    <border>
      <left/>
      <right style="thin">
        <color rgb="FFC8C8C8"/>
      </right>
      <top style="hair">
        <color rgb="FFE8E8E8"/>
      </top>
      <bottom/>
      <diagonal/>
    </border>
    <border>
      <left/>
      <right style="thin">
        <color rgb="FFC8C8C8"/>
      </right>
      <top style="hair">
        <color rgb="FFE8E8E8"/>
      </top>
      <bottom style="hair">
        <color rgb="FFE8E8E8"/>
      </bottom>
      <diagonal/>
    </border>
    <border>
      <left style="thin">
        <color rgb="FFC8C8C8"/>
      </left>
      <right/>
      <top style="hair">
        <color rgb="FFE8E8E8"/>
      </top>
      <bottom style="hair">
        <color rgb="FFC8C8C8"/>
      </bottom>
      <diagonal/>
    </border>
    <border>
      <left/>
      <right/>
      <top style="hair">
        <color rgb="FFE8E8E8"/>
      </top>
      <bottom style="hair">
        <color rgb="FFC8C8C8"/>
      </bottom>
      <diagonal/>
    </border>
    <border>
      <left/>
      <right style="thin">
        <color rgb="FFC8C8C8"/>
      </right>
      <top style="hair">
        <color rgb="FFE8E8E8"/>
      </top>
      <bottom style="hair">
        <color rgb="FFC8C8C8"/>
      </bottom>
      <diagonal/>
    </border>
    <border>
      <left/>
      <right/>
      <top/>
      <bottom style="thin">
        <color rgb="FFC8C8C8"/>
      </bottom>
      <diagonal/>
    </border>
    <border>
      <left/>
      <right/>
      <top style="hair">
        <color rgb="FFC8C8C8"/>
      </top>
      <bottom/>
      <diagonal/>
    </border>
    <border>
      <left/>
      <right/>
      <top style="hair">
        <color rgb="FFD2D2D2"/>
      </top>
      <bottom/>
      <diagonal/>
    </border>
    <border>
      <left style="thin">
        <color rgb="FFC8C8C8"/>
      </left>
      <right/>
      <top style="hair">
        <color rgb="FFC8C8C8"/>
      </top>
      <bottom/>
      <diagonal/>
    </border>
    <border>
      <left style="thin">
        <color rgb="FFC8C8C8"/>
      </left>
      <right/>
      <top style="hair">
        <color rgb="FFD2D2D2"/>
      </top>
      <bottom/>
      <diagonal/>
    </border>
    <border>
      <left/>
      <right style="thin">
        <color rgb="FFC8C8C8"/>
      </right>
      <top style="hair">
        <color rgb="FFC8C8C8"/>
      </top>
      <bottom/>
      <diagonal/>
    </border>
    <border>
      <left/>
      <right style="thin">
        <color rgb="FFC8C8C8"/>
      </right>
      <top style="hair">
        <color rgb="FFD2D2D2"/>
      </top>
      <bottom/>
      <diagonal/>
    </border>
    <border>
      <left style="thin">
        <color rgb="FFC8C8C8"/>
      </left>
      <right/>
      <top style="hair">
        <color rgb="FFD2D2D2"/>
      </top>
      <bottom style="hair">
        <color rgb="FFC8C8C8"/>
      </bottom>
      <diagonal/>
    </border>
    <border>
      <left/>
      <right/>
      <top style="hair">
        <color rgb="FFD2D2D2"/>
      </top>
      <bottom style="hair">
        <color rgb="FFC8C8C8"/>
      </bottom>
      <diagonal/>
    </border>
    <border>
      <left/>
      <right style="thin">
        <color rgb="FFC8C8C8"/>
      </right>
      <top style="hair">
        <color rgb="FFD2D2D2"/>
      </top>
      <bottom style="hair">
        <color rgb="FFC8C8C8"/>
      </bottom>
      <diagonal/>
    </border>
    <border>
      <left/>
      <right/>
      <top style="hair">
        <color rgb="FFC8C8C8"/>
      </top>
      <bottom style="hair">
        <color rgb="FFE6E6E6"/>
      </bottom>
      <diagonal/>
    </border>
    <border>
      <left style="thin">
        <color rgb="FFC8C8C8"/>
      </left>
      <right/>
      <top style="hair">
        <color rgb="FFC8C8C8"/>
      </top>
      <bottom style="hair">
        <color rgb="FFE6E6E6"/>
      </bottom>
      <diagonal/>
    </border>
    <border>
      <left/>
      <right style="thin">
        <color rgb="FFC8C8C8"/>
      </right>
      <top style="hair">
        <color rgb="FFC8C8C8"/>
      </top>
      <bottom style="hair">
        <color rgb="FFE6E6E6"/>
      </bottom>
      <diagonal/>
    </border>
    <border>
      <left style="thin">
        <color rgb="FFC8C8C8"/>
      </left>
      <right/>
      <top/>
      <bottom style="thin">
        <color rgb="FFC8C8C8"/>
      </bottom>
      <diagonal/>
    </border>
    <border>
      <left/>
      <right/>
      <top style="hair">
        <color rgb="FFE6E6E6"/>
      </top>
      <bottom style="thin">
        <color rgb="FFC8C8C8"/>
      </bottom>
      <diagonal/>
    </border>
    <border>
      <left/>
      <right style="thin">
        <color rgb="FFC8C8C8"/>
      </right>
      <top style="hair">
        <color rgb="FFE6E6E6"/>
      </top>
      <bottom style="thin">
        <color rgb="FFC8C8C8"/>
      </bottom>
      <diagonal/>
    </border>
    <border>
      <left/>
      <right style="thin">
        <color rgb="FFC8C8C8"/>
      </right>
      <top/>
      <bottom style="thin">
        <color rgb="FFC8C8C8"/>
      </bottom>
      <diagonal/>
    </border>
    <border>
      <left style="thin">
        <color rgb="FFC8C8C8"/>
      </left>
      <right/>
      <top style="thin">
        <color rgb="FFC8C8C8"/>
      </top>
      <bottom/>
      <diagonal/>
    </border>
    <border>
      <left/>
      <right/>
      <top style="thin">
        <color rgb="FFC8C8C8"/>
      </top>
      <bottom/>
      <diagonal/>
    </border>
    <border>
      <left/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/>
      <top style="thin">
        <color rgb="FFC8C8C8"/>
      </top>
      <bottom style="thin">
        <color rgb="FFC8C8C8"/>
      </bottom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/>
      <top style="hair">
        <color rgb="FFEBEBEB"/>
      </top>
      <bottom/>
      <diagonal/>
    </border>
    <border>
      <left style="thin">
        <color rgb="FFC8C8C8"/>
      </left>
      <right/>
      <top style="hair">
        <color rgb="FFEBEBEB"/>
      </top>
      <bottom/>
      <diagonal/>
    </border>
    <border>
      <left/>
      <right style="thin">
        <color rgb="FFC8C8C8"/>
      </right>
      <top style="hair">
        <color rgb="FFEBEBEB"/>
      </top>
      <bottom/>
      <diagonal/>
    </border>
    <border>
      <left style="thin">
        <color rgb="FFC8C8C8"/>
      </left>
      <right/>
      <top style="hair">
        <color rgb="FFEBEBEB"/>
      </top>
      <bottom style="hair">
        <color rgb="FFC8C8C8"/>
      </bottom>
      <diagonal/>
    </border>
    <border>
      <left/>
      <right/>
      <top style="hair">
        <color rgb="FFEBEBEB"/>
      </top>
      <bottom style="hair">
        <color rgb="FFC8C8C8"/>
      </bottom>
      <diagonal/>
    </border>
    <border>
      <left/>
      <right style="thin">
        <color rgb="FFC8C8C8"/>
      </right>
      <top style="hair">
        <color rgb="FFEBEBEB"/>
      </top>
      <bottom style="hair">
        <color rgb="FFC8C8C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rgb="FFC8C8C8"/>
      </left>
      <right style="thin">
        <color indexed="64"/>
      </right>
      <top/>
      <bottom/>
      <diagonal/>
    </border>
    <border>
      <left/>
      <right style="hair">
        <color rgb="FFE1EBEB"/>
      </right>
      <top style="thin">
        <color rgb="FFC8C8C8"/>
      </top>
      <bottom style="hair">
        <color rgb="FFD7E4E4"/>
      </bottom>
      <diagonal/>
    </border>
    <border>
      <left style="hair">
        <color rgb="FFE1EBEB"/>
      </left>
      <right style="hair">
        <color rgb="FFE1EBEB"/>
      </right>
      <top style="thin">
        <color rgb="FFC8C8C8"/>
      </top>
      <bottom style="hair">
        <color rgb="FFD7E4E4"/>
      </bottom>
      <diagonal/>
    </border>
    <border>
      <left/>
      <right style="hair">
        <color rgb="FFE1EBEB"/>
      </right>
      <top style="hair">
        <color rgb="FFD7E4E4"/>
      </top>
      <bottom style="hair">
        <color rgb="FFD7E4E4"/>
      </bottom>
      <diagonal/>
    </border>
    <border>
      <left style="hair">
        <color rgb="FFE1EBEB"/>
      </left>
      <right style="hair">
        <color rgb="FFE1EBEB"/>
      </right>
      <top style="hair">
        <color rgb="FFD7E4E4"/>
      </top>
      <bottom style="hair">
        <color rgb="FFD7E4E4"/>
      </bottom>
      <diagonal/>
    </border>
    <border>
      <left style="hair">
        <color rgb="FFE1EBEB"/>
      </left>
      <right/>
      <top style="hair">
        <color rgb="FFD7E4E4"/>
      </top>
      <bottom style="hair">
        <color rgb="FFD7E4E4"/>
      </bottom>
      <diagonal/>
    </border>
    <border>
      <left/>
      <right style="hair">
        <color rgb="FFE1EBEB"/>
      </right>
      <top style="hair">
        <color rgb="FFD7E4E4"/>
      </top>
      <bottom/>
      <diagonal/>
    </border>
    <border>
      <left style="hair">
        <color rgb="FFE1EBEB"/>
      </left>
      <right style="hair">
        <color rgb="FFE1EBEB"/>
      </right>
      <top style="hair">
        <color rgb="FFD7E4E4"/>
      </top>
      <bottom/>
      <diagonal/>
    </border>
    <border>
      <left style="hair">
        <color rgb="FFE1EBEB"/>
      </left>
      <right/>
      <top style="hair">
        <color rgb="FFD7E4E4"/>
      </top>
      <bottom/>
      <diagonal/>
    </border>
    <border>
      <left style="hair">
        <color rgb="FFE1EBEB"/>
      </left>
      <right style="hair">
        <color rgb="FFE1EBEB"/>
      </right>
      <top/>
      <bottom style="hair">
        <color rgb="FFD7E4E4"/>
      </bottom>
      <diagonal/>
    </border>
    <border>
      <left style="hair">
        <color rgb="FFE1EBEB"/>
      </left>
      <right/>
      <top/>
      <bottom style="hair">
        <color rgb="FFD7E4E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rgb="FFE1EBEB"/>
      </right>
      <top/>
      <bottom style="hair">
        <color rgb="FFD7E4E4"/>
      </bottom>
      <diagonal/>
    </border>
    <border>
      <left style="hair">
        <color rgb="FFE1EBEB"/>
      </left>
      <right style="hair">
        <color rgb="FFE1EBEB"/>
      </right>
      <top style="thin">
        <color rgb="FFC8C8C8"/>
      </top>
      <bottom/>
      <diagonal/>
    </border>
    <border>
      <left style="hair">
        <color rgb="FFE1EBEB"/>
      </left>
      <right/>
      <top style="thin">
        <color rgb="FFC8C8C8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/>
      <right/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indexed="64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</borders>
  <cellStyleXfs count="7">
    <xf numFmtId="0" fontId="0" fillId="0" borderId="0"/>
    <xf numFmtId="0" fontId="18" fillId="0" borderId="0"/>
    <xf numFmtId="0" fontId="1" fillId="2" borderId="0" applyNumberFormat="0" applyBorder="0" applyAlignment="0" applyProtection="0"/>
    <xf numFmtId="164" fontId="20" fillId="0" borderId="0" applyFont="0" applyFill="0" applyBorder="0" applyAlignment="0" applyProtection="0"/>
    <xf numFmtId="0" fontId="22" fillId="0" borderId="0"/>
    <xf numFmtId="0" fontId="20" fillId="0" borderId="0"/>
    <xf numFmtId="0" fontId="54" fillId="0" borderId="0" applyNumberFormat="0" applyFill="0" applyBorder="0" applyAlignment="0" applyProtection="0">
      <alignment vertical="top"/>
      <protection locked="0"/>
    </xf>
  </cellStyleXfs>
  <cellXfs count="348">
    <xf numFmtId="0" fontId="0" fillId="0" borderId="0" xfId="0"/>
    <xf numFmtId="0" fontId="2" fillId="3" borderId="0" xfId="0" applyFont="1" applyFill="1"/>
    <xf numFmtId="0" fontId="2" fillId="5" borderId="0" xfId="0" applyFont="1" applyFill="1"/>
    <xf numFmtId="0" fontId="7" fillId="7" borderId="1" xfId="0" applyFont="1" applyFill="1" applyBorder="1" applyAlignment="1">
      <alignment horizontal="right" vertical="center"/>
    </xf>
    <xf numFmtId="0" fontId="7" fillId="7" borderId="2" xfId="0" applyFont="1" applyFill="1" applyBorder="1" applyAlignment="1">
      <alignment horizontal="right" vertical="center"/>
    </xf>
    <xf numFmtId="0" fontId="2" fillId="6" borderId="3" xfId="0" applyFont="1" applyFill="1" applyBorder="1"/>
    <xf numFmtId="0" fontId="2" fillId="6" borderId="4" xfId="0" applyFont="1" applyFill="1" applyBorder="1"/>
    <xf numFmtId="0" fontId="2" fillId="6" borderId="5" xfId="0" applyFont="1" applyFill="1" applyBorder="1"/>
    <xf numFmtId="0" fontId="2" fillId="3" borderId="3" xfId="0" applyFont="1" applyFill="1" applyBorder="1"/>
    <xf numFmtId="0" fontId="2" fillId="3" borderId="6" xfId="0" applyFont="1" applyFill="1" applyBorder="1"/>
    <xf numFmtId="0" fontId="2" fillId="6" borderId="9" xfId="0" applyFont="1" applyFill="1" applyBorder="1"/>
    <xf numFmtId="0" fontId="7" fillId="7" borderId="10" xfId="0" applyFont="1" applyFill="1" applyBorder="1" applyAlignment="1">
      <alignment horizontal="right" vertical="center"/>
    </xf>
    <xf numFmtId="0" fontId="7" fillId="7" borderId="3" xfId="0" applyFont="1" applyFill="1" applyBorder="1" applyAlignment="1">
      <alignment horizontal="left" vertical="center"/>
    </xf>
    <xf numFmtId="0" fontId="11" fillId="10" borderId="13" xfId="0" applyFont="1" applyFill="1" applyBorder="1" applyAlignment="1">
      <alignment horizontal="right" vertical="center"/>
    </xf>
    <xf numFmtId="0" fontId="11" fillId="10" borderId="14" xfId="0" applyFont="1" applyFill="1" applyBorder="1" applyAlignment="1">
      <alignment horizontal="right" vertical="center"/>
    </xf>
    <xf numFmtId="0" fontId="5" fillId="9" borderId="15" xfId="0" applyFont="1" applyFill="1" applyBorder="1" applyAlignment="1">
      <alignment horizontal="center" vertical="center"/>
    </xf>
    <xf numFmtId="0" fontId="5" fillId="9" borderId="16" xfId="0" applyFont="1" applyFill="1" applyBorder="1" applyAlignment="1">
      <alignment horizontal="center" vertical="center"/>
    </xf>
    <xf numFmtId="0" fontId="5" fillId="9" borderId="19" xfId="0" applyFont="1" applyFill="1" applyBorder="1" applyAlignment="1">
      <alignment horizontal="center" vertical="center"/>
    </xf>
    <xf numFmtId="0" fontId="11" fillId="10" borderId="20" xfId="0" applyFont="1" applyFill="1" applyBorder="1" applyAlignment="1">
      <alignment horizontal="right" vertical="center"/>
    </xf>
    <xf numFmtId="0" fontId="13" fillId="7" borderId="23" xfId="0" applyFont="1" applyFill="1" applyBorder="1" applyAlignment="1">
      <alignment horizontal="left" vertical="center"/>
    </xf>
    <xf numFmtId="0" fontId="13" fillId="7" borderId="25" xfId="0" applyFont="1" applyFill="1" applyBorder="1" applyAlignment="1">
      <alignment horizontal="left" vertical="center"/>
    </xf>
    <xf numFmtId="0" fontId="5" fillId="11" borderId="32" xfId="0" applyFont="1" applyFill="1" applyBorder="1" applyAlignment="1">
      <alignment horizontal="center" vertical="center"/>
    </xf>
    <xf numFmtId="0" fontId="5" fillId="11" borderId="33" xfId="0" applyFont="1" applyFill="1" applyBorder="1" applyAlignment="1">
      <alignment horizontal="right" vertical="center"/>
    </xf>
    <xf numFmtId="0" fontId="5" fillId="11" borderId="34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14" fontId="0" fillId="0" borderId="0" xfId="0" applyNumberFormat="1"/>
    <xf numFmtId="0" fontId="8" fillId="3" borderId="15" xfId="0" applyFont="1" applyFill="1" applyBorder="1" applyAlignment="1" applyProtection="1">
      <alignment horizontal="left" vertical="center"/>
      <protection locked="0"/>
    </xf>
    <xf numFmtId="0" fontId="8" fillId="7" borderId="36" xfId="0" applyFont="1" applyFill="1" applyBorder="1" applyAlignment="1" applyProtection="1">
      <alignment horizontal="left" vertical="center"/>
      <protection locked="0"/>
    </xf>
    <xf numFmtId="0" fontId="8" fillId="3" borderId="36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18" fillId="0" borderId="0" xfId="1"/>
    <xf numFmtId="0" fontId="17" fillId="7" borderId="35" xfId="0" applyFont="1" applyFill="1" applyBorder="1" applyAlignment="1">
      <alignment horizontal="left" vertical="center"/>
    </xf>
    <xf numFmtId="0" fontId="9" fillId="7" borderId="35" xfId="0" applyFont="1" applyFill="1" applyBorder="1" applyAlignment="1">
      <alignment horizontal="left" vertical="center"/>
    </xf>
    <xf numFmtId="0" fontId="9" fillId="7" borderId="37" xfId="0" applyFont="1" applyFill="1" applyBorder="1" applyAlignment="1">
      <alignment horizontal="left" vertical="center"/>
    </xf>
    <xf numFmtId="0" fontId="17" fillId="3" borderId="39" xfId="0" applyFont="1" applyFill="1" applyBorder="1" applyAlignment="1">
      <alignment horizontal="left" vertical="center"/>
    </xf>
    <xf numFmtId="0" fontId="9" fillId="3" borderId="39" xfId="0" applyFont="1" applyFill="1" applyBorder="1" applyAlignment="1">
      <alignment horizontal="left" vertical="center"/>
    </xf>
    <xf numFmtId="0" fontId="9" fillId="3" borderId="40" xfId="0" applyFont="1" applyFill="1" applyBorder="1" applyAlignment="1">
      <alignment horizontal="left" vertical="center"/>
    </xf>
    <xf numFmtId="0" fontId="17" fillId="3" borderId="35" xfId="0" applyFont="1" applyFill="1" applyBorder="1" applyAlignment="1">
      <alignment horizontal="left" vertical="center"/>
    </xf>
    <xf numFmtId="0" fontId="9" fillId="3" borderId="35" xfId="0" applyFont="1" applyFill="1" applyBorder="1" applyAlignment="1">
      <alignment horizontal="left" vertical="center"/>
    </xf>
    <xf numFmtId="0" fontId="9" fillId="3" borderId="37" xfId="0" applyFont="1" applyFill="1" applyBorder="1" applyAlignment="1">
      <alignment horizontal="left" vertical="center"/>
    </xf>
    <xf numFmtId="0" fontId="5" fillId="8" borderId="3" xfId="0" applyFont="1" applyFill="1" applyBorder="1" applyAlignment="1">
      <alignment horizontal="left" vertical="center"/>
    </xf>
    <xf numFmtId="0" fontId="5" fillId="8" borderId="6" xfId="0" applyFont="1" applyFill="1" applyBorder="1" applyAlignment="1">
      <alignment horizontal="left" vertical="center"/>
    </xf>
    <xf numFmtId="0" fontId="7" fillId="7" borderId="6" xfId="0" applyFont="1" applyFill="1" applyBorder="1" applyAlignment="1">
      <alignment horizontal="left" vertical="center"/>
    </xf>
    <xf numFmtId="0" fontId="9" fillId="3" borderId="22" xfId="0" applyFont="1" applyFill="1" applyBorder="1" applyAlignment="1">
      <alignment horizontal="left" vertical="center"/>
    </xf>
    <xf numFmtId="0" fontId="9" fillId="3" borderId="24" xfId="0" applyFont="1" applyFill="1" applyBorder="1" applyAlignment="1">
      <alignment horizontal="left" vertical="center"/>
    </xf>
    <xf numFmtId="0" fontId="9" fillId="3" borderId="26" xfId="0" applyFont="1" applyFill="1" applyBorder="1" applyAlignment="1">
      <alignment horizontal="left" vertical="center"/>
    </xf>
    <xf numFmtId="0" fontId="9" fillId="3" borderId="27" xfId="0" applyFont="1" applyFill="1" applyBorder="1" applyAlignment="1">
      <alignment horizontal="left" vertical="center"/>
    </xf>
    <xf numFmtId="0" fontId="5" fillId="11" borderId="0" xfId="0" applyFont="1" applyFill="1" applyAlignment="1">
      <alignment horizontal="left" vertical="center"/>
    </xf>
    <xf numFmtId="0" fontId="6" fillId="7" borderId="29" xfId="0" applyFont="1" applyFill="1" applyBorder="1" applyAlignment="1">
      <alignment horizontal="left" vertical="top" wrapText="1"/>
    </xf>
    <xf numFmtId="0" fontId="6" fillId="7" borderId="30" xfId="0" applyFont="1" applyFill="1" applyBorder="1" applyAlignment="1">
      <alignment horizontal="left" vertical="top" wrapText="1"/>
    </xf>
    <xf numFmtId="0" fontId="6" fillId="7" borderId="31" xfId="0" applyFont="1" applyFill="1" applyBorder="1" applyAlignment="1">
      <alignment horizontal="left" vertical="top" wrapText="1"/>
    </xf>
    <xf numFmtId="0" fontId="6" fillId="7" borderId="3" xfId="0" applyFont="1" applyFill="1" applyBorder="1" applyAlignment="1">
      <alignment horizontal="left" vertical="top" wrapText="1"/>
    </xf>
    <xf numFmtId="0" fontId="6" fillId="7" borderId="6" xfId="0" applyFont="1" applyFill="1" applyBorder="1" applyAlignment="1">
      <alignment horizontal="left" vertical="top" wrapText="1"/>
    </xf>
    <xf numFmtId="0" fontId="6" fillId="7" borderId="25" xfId="0" applyFont="1" applyFill="1" applyBorder="1" applyAlignment="1">
      <alignment horizontal="left" vertical="top" wrapText="1"/>
    </xf>
    <xf numFmtId="0" fontId="6" fillId="7" borderId="12" xfId="0" applyFont="1" applyFill="1" applyBorder="1" applyAlignment="1">
      <alignment horizontal="left" vertical="top" wrapText="1"/>
    </xf>
    <xf numFmtId="0" fontId="6" fillId="7" borderId="28" xfId="0" applyFont="1" applyFill="1" applyBorder="1" applyAlignment="1">
      <alignment horizontal="left" vertical="top" wrapText="1"/>
    </xf>
    <xf numFmtId="0" fontId="10" fillId="10" borderId="14" xfId="0" applyFont="1" applyFill="1" applyBorder="1" applyAlignment="1">
      <alignment horizontal="left" vertical="center"/>
    </xf>
    <xf numFmtId="0" fontId="11" fillId="10" borderId="14" xfId="0" applyFont="1" applyFill="1" applyBorder="1" applyAlignment="1">
      <alignment horizontal="left" vertical="center"/>
    </xf>
    <xf numFmtId="0" fontId="12" fillId="10" borderId="14" xfId="0" applyFont="1" applyFill="1" applyBorder="1" applyAlignment="1">
      <alignment horizontal="left" vertical="center"/>
    </xf>
    <xf numFmtId="0" fontId="12" fillId="10" borderId="18" xfId="0" applyFont="1" applyFill="1" applyBorder="1" applyAlignment="1">
      <alignment horizontal="left" vertical="center"/>
    </xf>
    <xf numFmtId="0" fontId="10" fillId="10" borderId="20" xfId="0" applyFont="1" applyFill="1" applyBorder="1" applyAlignment="1">
      <alignment horizontal="left" vertical="center"/>
    </xf>
    <xf numFmtId="0" fontId="11" fillId="10" borderId="20" xfId="0" applyFont="1" applyFill="1" applyBorder="1" applyAlignment="1">
      <alignment horizontal="left" vertical="center"/>
    </xf>
    <xf numFmtId="0" fontId="12" fillId="10" borderId="20" xfId="0" applyFont="1" applyFill="1" applyBorder="1" applyAlignment="1">
      <alignment horizontal="left" vertical="center"/>
    </xf>
    <xf numFmtId="0" fontId="12" fillId="10" borderId="21" xfId="0" applyFont="1" applyFill="1" applyBorder="1" applyAlignment="1">
      <alignment horizontal="left" vertical="center"/>
    </xf>
    <xf numFmtId="0" fontId="5" fillId="4" borderId="0" xfId="0" applyFont="1" applyFill="1" applyAlignment="1">
      <alignment horizontal="left" vertical="center"/>
    </xf>
    <xf numFmtId="0" fontId="10" fillId="10" borderId="13" xfId="0" applyFont="1" applyFill="1" applyBorder="1" applyAlignment="1">
      <alignment horizontal="left" vertical="center"/>
    </xf>
    <xf numFmtId="0" fontId="11" fillId="10" borderId="13" xfId="0" applyFont="1" applyFill="1" applyBorder="1" applyAlignment="1">
      <alignment horizontal="left" vertical="center"/>
    </xf>
    <xf numFmtId="0" fontId="12" fillId="10" borderId="13" xfId="0" applyFont="1" applyFill="1" applyBorder="1" applyAlignment="1">
      <alignment horizontal="left" vertical="center"/>
    </xf>
    <xf numFmtId="0" fontId="12" fillId="10" borderId="17" xfId="0" applyFont="1" applyFill="1" applyBorder="1" applyAlignment="1">
      <alignment horizontal="left" vertical="center"/>
    </xf>
    <xf numFmtId="0" fontId="7" fillId="7" borderId="10" xfId="0" applyFont="1" applyFill="1" applyBorder="1" applyAlignment="1">
      <alignment horizontal="right" vertical="center"/>
    </xf>
    <xf numFmtId="49" fontId="17" fillId="3" borderId="10" xfId="0" applyNumberFormat="1" applyFont="1" applyFill="1" applyBorder="1" applyAlignment="1">
      <alignment horizontal="left" vertical="center" indent="1"/>
    </xf>
    <xf numFmtId="0" fontId="17" fillId="3" borderId="10" xfId="0" applyFont="1" applyFill="1" applyBorder="1" applyAlignment="1">
      <alignment horizontal="left" vertical="center"/>
    </xf>
    <xf numFmtId="0" fontId="17" fillId="3" borderId="11" xfId="0" applyFont="1" applyFill="1" applyBorder="1" applyAlignment="1">
      <alignment horizontal="left" vertical="center"/>
    </xf>
    <xf numFmtId="0" fontId="5" fillId="4" borderId="3" xfId="0" applyFont="1" applyFill="1" applyBorder="1" applyAlignment="1">
      <alignment horizontal="left" vertical="center"/>
    </xf>
    <xf numFmtId="0" fontId="17" fillId="3" borderId="13" xfId="0" applyFont="1" applyFill="1" applyBorder="1" applyAlignment="1">
      <alignment horizontal="left" vertical="center"/>
    </xf>
    <xf numFmtId="0" fontId="9" fillId="3" borderId="13" xfId="0" applyFont="1" applyFill="1" applyBorder="1" applyAlignment="1">
      <alignment horizontal="left" vertical="center"/>
    </xf>
    <xf numFmtId="0" fontId="9" fillId="3" borderId="17" xfId="0" applyFont="1" applyFill="1" applyBorder="1" applyAlignment="1">
      <alignment horizontal="left" vertical="center"/>
    </xf>
    <xf numFmtId="0" fontId="7" fillId="7" borderId="1" xfId="0" applyFont="1" applyFill="1" applyBorder="1" applyAlignment="1">
      <alignment horizontal="right" vertical="center"/>
    </xf>
    <xf numFmtId="49" fontId="17" fillId="3" borderId="1" xfId="0" applyNumberFormat="1" applyFont="1" applyFill="1" applyBorder="1" applyAlignment="1">
      <alignment horizontal="left" vertical="center" indent="1"/>
    </xf>
    <xf numFmtId="0" fontId="17" fillId="3" borderId="1" xfId="0" applyFont="1" applyFill="1" applyBorder="1" applyAlignment="1">
      <alignment horizontal="left" vertical="center"/>
    </xf>
    <xf numFmtId="0" fontId="17" fillId="3" borderId="7" xfId="0" applyFont="1" applyFill="1" applyBorder="1" applyAlignment="1">
      <alignment horizontal="left" vertical="center"/>
    </xf>
    <xf numFmtId="0" fontId="7" fillId="7" borderId="2" xfId="0" applyFont="1" applyFill="1" applyBorder="1" applyAlignment="1">
      <alignment horizontal="right" vertical="center"/>
    </xf>
    <xf numFmtId="49" fontId="17" fillId="3" borderId="2" xfId="0" applyNumberFormat="1" applyFont="1" applyFill="1" applyBorder="1" applyAlignment="1">
      <alignment horizontal="left" vertical="center" indent="1"/>
    </xf>
    <xf numFmtId="0" fontId="17" fillId="3" borderId="2" xfId="0" applyFont="1" applyFill="1" applyBorder="1" applyAlignment="1">
      <alignment horizontal="left" vertical="center"/>
    </xf>
    <xf numFmtId="0" fontId="17" fillId="3" borderId="8" xfId="0" applyFont="1" applyFill="1" applyBorder="1" applyAlignment="1">
      <alignment horizontal="left" vertical="center"/>
    </xf>
    <xf numFmtId="0" fontId="5" fillId="4" borderId="6" xfId="0" applyFont="1" applyFill="1" applyBorder="1" applyAlignment="1">
      <alignment horizontal="left" vertical="center"/>
    </xf>
    <xf numFmtId="0" fontId="17" fillId="3" borderId="6" xfId="0" applyFont="1" applyFill="1" applyBorder="1" applyAlignment="1">
      <alignment horizontal="left" vertical="center"/>
    </xf>
    <xf numFmtId="14" fontId="17" fillId="3" borderId="1" xfId="0" applyNumberFormat="1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 indent="1"/>
    </xf>
    <xf numFmtId="0" fontId="3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16" fillId="7" borderId="32" xfId="0" applyFont="1" applyFill="1" applyBorder="1" applyAlignment="1">
      <alignment vertical="center"/>
    </xf>
    <xf numFmtId="0" fontId="16" fillId="7" borderId="33" xfId="0" applyFont="1" applyFill="1" applyBorder="1" applyAlignment="1">
      <alignment vertical="center"/>
    </xf>
    <xf numFmtId="0" fontId="16" fillId="7" borderId="34" xfId="0" applyFont="1" applyFill="1" applyBorder="1" applyAlignment="1">
      <alignment vertical="center"/>
    </xf>
    <xf numFmtId="0" fontId="7" fillId="7" borderId="0" xfId="0" applyFont="1" applyFill="1" applyBorder="1" applyAlignment="1">
      <alignment horizontal="right" vertical="center"/>
    </xf>
    <xf numFmtId="49" fontId="17" fillId="3" borderId="0" xfId="0" applyNumberFormat="1" applyFont="1" applyFill="1" applyBorder="1" applyAlignment="1">
      <alignment horizontal="left" vertical="center" indent="1"/>
    </xf>
    <xf numFmtId="0" fontId="7" fillId="7" borderId="0" xfId="0" applyFont="1" applyFill="1" applyBorder="1" applyAlignment="1">
      <alignment horizontal="right" vertical="center"/>
    </xf>
    <xf numFmtId="0" fontId="17" fillId="3" borderId="0" xfId="0" applyFont="1" applyFill="1" applyBorder="1" applyAlignment="1">
      <alignment horizontal="left" vertical="center"/>
    </xf>
    <xf numFmtId="0" fontId="5" fillId="4" borderId="0" xfId="0" applyFont="1" applyFill="1" applyBorder="1" applyAlignment="1">
      <alignment horizontal="left" vertical="center"/>
    </xf>
    <xf numFmtId="0" fontId="2" fillId="3" borderId="0" xfId="0" applyFont="1" applyFill="1" applyBorder="1"/>
    <xf numFmtId="0" fontId="5" fillId="8" borderId="0" xfId="0" applyFont="1" applyFill="1" applyBorder="1" applyAlignment="1">
      <alignment horizontal="left" vertical="center"/>
    </xf>
    <xf numFmtId="0" fontId="7" fillId="7" borderId="0" xfId="0" applyFont="1" applyFill="1" applyBorder="1" applyAlignment="1">
      <alignment horizontal="left" vertical="center"/>
    </xf>
    <xf numFmtId="0" fontId="7" fillId="7" borderId="0" xfId="0" applyFont="1" applyFill="1" applyBorder="1" applyAlignment="1">
      <alignment horizontal="left" vertical="center"/>
    </xf>
    <xf numFmtId="0" fontId="6" fillId="7" borderId="0" xfId="0" applyFont="1" applyFill="1" applyBorder="1" applyAlignment="1">
      <alignment horizontal="left" vertical="top" wrapText="1"/>
    </xf>
    <xf numFmtId="0" fontId="39" fillId="3" borderId="0" xfId="1" applyFont="1" applyFill="1" applyBorder="1"/>
    <xf numFmtId="0" fontId="31" fillId="5" borderId="51" xfId="1" applyFont="1" applyFill="1" applyBorder="1" applyAlignment="1">
      <alignment horizontal="center"/>
    </xf>
    <xf numFmtId="0" fontId="31" fillId="5" borderId="52" xfId="1" applyFont="1" applyFill="1" applyBorder="1" applyAlignment="1">
      <alignment horizontal="center"/>
    </xf>
    <xf numFmtId="0" fontId="35" fillId="15" borderId="53" xfId="1" applyFont="1" applyFill="1" applyBorder="1" applyAlignment="1" applyProtection="1">
      <alignment horizontal="center"/>
      <protection locked="0"/>
    </xf>
    <xf numFmtId="2" fontId="35" fillId="15" borderId="54" xfId="1" applyNumberFormat="1" applyFont="1" applyFill="1" applyBorder="1" applyAlignment="1" applyProtection="1">
      <alignment horizontal="center"/>
      <protection locked="0"/>
    </xf>
    <xf numFmtId="2" fontId="35" fillId="15" borderId="54" xfId="1" applyNumberFormat="1" applyFont="1" applyFill="1" applyBorder="1"/>
    <xf numFmtId="2" fontId="35" fillId="3" borderId="54" xfId="1" applyNumberFormat="1" applyFont="1" applyFill="1" applyBorder="1" applyProtection="1">
      <protection locked="0"/>
    </xf>
    <xf numFmtId="2" fontId="35" fillId="15" borderId="54" xfId="1" applyNumberFormat="1" applyFont="1" applyFill="1" applyBorder="1" applyProtection="1">
      <protection locked="0"/>
    </xf>
    <xf numFmtId="2" fontId="35" fillId="3" borderId="54" xfId="1" applyNumberFormat="1" applyFont="1" applyFill="1" applyBorder="1" applyAlignment="1" applyProtection="1">
      <alignment horizontal="center"/>
      <protection locked="0"/>
    </xf>
    <xf numFmtId="49" fontId="35" fillId="3" borderId="54" xfId="1" applyNumberFormat="1" applyFont="1" applyFill="1" applyBorder="1" applyAlignment="1" applyProtection="1">
      <alignment horizontal="center"/>
      <protection locked="0"/>
    </xf>
    <xf numFmtId="1" fontId="37" fillId="15" borderId="54" xfId="4" applyNumberFormat="1" applyFont="1" applyFill="1" applyBorder="1" applyAlignment="1" applyProtection="1">
      <alignment horizontal="right" vertical="center" shrinkToFit="1"/>
      <protection hidden="1"/>
    </xf>
    <xf numFmtId="1" fontId="37" fillId="15" borderId="54" xfId="4" applyNumberFormat="1" applyFont="1" applyFill="1" applyBorder="1" applyAlignment="1" applyProtection="1">
      <alignment horizontal="left" vertical="center"/>
      <protection hidden="1"/>
    </xf>
    <xf numFmtId="9" fontId="35" fillId="15" borderId="54" xfId="1" applyNumberFormat="1" applyFont="1" applyFill="1" applyBorder="1"/>
    <xf numFmtId="49" fontId="37" fillId="3" borderId="54" xfId="1" applyNumberFormat="1" applyFont="1" applyFill="1" applyBorder="1" applyAlignment="1" applyProtection="1">
      <alignment horizontal="center" vertical="center" wrapText="1"/>
      <protection locked="0"/>
    </xf>
    <xf numFmtId="0" fontId="38" fillId="17" borderId="54" xfId="1" applyFont="1" applyFill="1" applyBorder="1"/>
    <xf numFmtId="2" fontId="38" fillId="17" borderId="54" xfId="1" applyNumberFormat="1" applyFont="1" applyFill="1" applyBorder="1" applyAlignment="1">
      <alignment horizontal="center" vertical="center"/>
    </xf>
    <xf numFmtId="0" fontId="35" fillId="16" borderId="53" xfId="1" applyFont="1" applyFill="1" applyBorder="1" applyAlignment="1" applyProtection="1">
      <alignment horizontal="center"/>
      <protection locked="0"/>
    </xf>
    <xf numFmtId="2" fontId="35" fillId="16" borderId="54" xfId="1" applyNumberFormat="1" applyFont="1" applyFill="1" applyBorder="1" applyAlignment="1" applyProtection="1">
      <alignment horizontal="center"/>
      <protection locked="0"/>
    </xf>
    <xf numFmtId="2" fontId="35" fillId="16" borderId="54" xfId="1" applyNumberFormat="1" applyFont="1" applyFill="1" applyBorder="1"/>
    <xf numFmtId="2" fontId="35" fillId="7" borderId="54" xfId="1" applyNumberFormat="1" applyFont="1" applyFill="1" applyBorder="1" applyProtection="1">
      <protection locked="0"/>
    </xf>
    <xf numFmtId="2" fontId="35" fillId="16" borderId="54" xfId="1" applyNumberFormat="1" applyFont="1" applyFill="1" applyBorder="1" applyProtection="1">
      <protection locked="0"/>
    </xf>
    <xf numFmtId="2" fontId="35" fillId="7" borderId="54" xfId="1" applyNumberFormat="1" applyFont="1" applyFill="1" applyBorder="1" applyAlignment="1" applyProtection="1">
      <alignment horizontal="center"/>
      <protection locked="0"/>
    </xf>
    <xf numFmtId="1" fontId="37" fillId="16" borderId="54" xfId="4" applyNumberFormat="1" applyFont="1" applyFill="1" applyBorder="1" applyAlignment="1" applyProtection="1">
      <alignment horizontal="right" vertical="center" shrinkToFit="1"/>
      <protection hidden="1"/>
    </xf>
    <xf numFmtId="1" fontId="37" fillId="16" borderId="54" xfId="4" applyNumberFormat="1" applyFont="1" applyFill="1" applyBorder="1" applyAlignment="1" applyProtection="1">
      <alignment horizontal="left" vertical="center"/>
      <protection hidden="1"/>
    </xf>
    <xf numFmtId="9" fontId="35" fillId="16" borderId="54" xfId="1" applyNumberFormat="1" applyFont="1" applyFill="1" applyBorder="1"/>
    <xf numFmtId="49" fontId="37" fillId="7" borderId="54" xfId="1" applyNumberFormat="1" applyFont="1" applyFill="1" applyBorder="1" applyAlignment="1" applyProtection="1">
      <alignment horizontal="center" vertical="center" wrapText="1"/>
      <protection locked="0"/>
    </xf>
    <xf numFmtId="0" fontId="38" fillId="18" borderId="54" xfId="1" applyFont="1" applyFill="1" applyBorder="1"/>
    <xf numFmtId="2" fontId="38" fillId="18" borderId="54" xfId="1" applyNumberFormat="1" applyFont="1" applyFill="1" applyBorder="1" applyAlignment="1">
      <alignment horizontal="center" vertical="center"/>
    </xf>
    <xf numFmtId="49" fontId="35" fillId="7" borderId="54" xfId="1" applyNumberFormat="1" applyFont="1" applyFill="1" applyBorder="1" applyAlignment="1" applyProtection="1">
      <alignment horizontal="center"/>
      <protection locked="0"/>
    </xf>
    <xf numFmtId="0" fontId="38" fillId="7" borderId="54" xfId="1" applyFont="1" applyFill="1" applyBorder="1"/>
    <xf numFmtId="0" fontId="38" fillId="16" borderId="55" xfId="1" applyFont="1" applyFill="1" applyBorder="1"/>
    <xf numFmtId="0" fontId="38" fillId="3" borderId="54" xfId="1" applyFont="1" applyFill="1" applyBorder="1"/>
    <xf numFmtId="0" fontId="38" fillId="15" borderId="55" xfId="1" applyFont="1" applyFill="1" applyBorder="1"/>
    <xf numFmtId="0" fontId="35" fillId="16" borderId="56" xfId="1" applyFont="1" applyFill="1" applyBorder="1" applyAlignment="1" applyProtection="1">
      <alignment horizontal="center"/>
      <protection locked="0"/>
    </xf>
    <xf numFmtId="2" fontId="35" fillId="16" borderId="57" xfId="1" applyNumberFormat="1" applyFont="1" applyFill="1" applyBorder="1" applyAlignment="1" applyProtection="1">
      <alignment horizontal="center"/>
      <protection locked="0"/>
    </xf>
    <xf numFmtId="2" fontId="35" fillId="16" borderId="57" xfId="1" applyNumberFormat="1" applyFont="1" applyFill="1" applyBorder="1"/>
    <xf numFmtId="2" fontId="35" fillId="7" borderId="57" xfId="1" applyNumberFormat="1" applyFont="1" applyFill="1" applyBorder="1" applyProtection="1">
      <protection locked="0"/>
    </xf>
    <xf numFmtId="2" fontId="35" fillId="16" borderId="57" xfId="1" applyNumberFormat="1" applyFont="1" applyFill="1" applyBorder="1" applyProtection="1">
      <protection locked="0"/>
    </xf>
    <xf numFmtId="2" fontId="35" fillId="7" borderId="57" xfId="1" applyNumberFormat="1" applyFont="1" applyFill="1" applyBorder="1" applyAlignment="1" applyProtection="1">
      <alignment horizontal="center"/>
      <protection locked="0"/>
    </xf>
    <xf numFmtId="49" fontId="35" fillId="7" borderId="57" xfId="1" applyNumberFormat="1" applyFont="1" applyFill="1" applyBorder="1" applyAlignment="1" applyProtection="1">
      <alignment horizontal="center"/>
      <protection locked="0"/>
    </xf>
    <xf numFmtId="1" fontId="37" fillId="16" borderId="57" xfId="4" applyNumberFormat="1" applyFont="1" applyFill="1" applyBorder="1" applyAlignment="1" applyProtection="1">
      <alignment horizontal="right" vertical="center" shrinkToFit="1"/>
      <protection hidden="1"/>
    </xf>
    <xf numFmtId="1" fontId="37" fillId="16" borderId="57" xfId="4" applyNumberFormat="1" applyFont="1" applyFill="1" applyBorder="1" applyAlignment="1" applyProtection="1">
      <alignment horizontal="left" vertical="center"/>
      <protection hidden="1"/>
    </xf>
    <xf numFmtId="9" fontId="35" fillId="16" borderId="57" xfId="1" applyNumberFormat="1" applyFont="1" applyFill="1" applyBorder="1"/>
    <xf numFmtId="49" fontId="37" fillId="7" borderId="57" xfId="1" applyNumberFormat="1" applyFont="1" applyFill="1" applyBorder="1" applyAlignment="1" applyProtection="1">
      <alignment horizontal="center" vertical="center" wrapText="1"/>
      <protection locked="0"/>
    </xf>
    <xf numFmtId="0" fontId="38" fillId="18" borderId="57" xfId="1" applyFont="1" applyFill="1" applyBorder="1"/>
    <xf numFmtId="2" fontId="38" fillId="18" borderId="57" xfId="1" applyNumberFormat="1" applyFont="1" applyFill="1" applyBorder="1" applyAlignment="1">
      <alignment horizontal="center" vertical="center"/>
    </xf>
    <xf numFmtId="0" fontId="38" fillId="7" borderId="57" xfId="1" applyFont="1" applyFill="1" applyBorder="1"/>
    <xf numFmtId="0" fontId="38" fillId="16" borderId="58" xfId="1" applyFont="1" applyFill="1" applyBorder="1"/>
    <xf numFmtId="0" fontId="40" fillId="19" borderId="0" xfId="1" applyFont="1" applyFill="1" applyBorder="1" applyAlignment="1">
      <alignment horizontal="center" vertical="center"/>
    </xf>
    <xf numFmtId="0" fontId="41" fillId="19" borderId="0" xfId="2" applyFont="1" applyFill="1" applyBorder="1" applyAlignment="1" applyProtection="1">
      <alignment horizontal="center"/>
    </xf>
    <xf numFmtId="0" fontId="41" fillId="19" borderId="0" xfId="2" applyFont="1" applyFill="1" applyBorder="1" applyAlignment="1" applyProtection="1">
      <alignment horizontal="center"/>
    </xf>
    <xf numFmtId="165" fontId="42" fillId="0" borderId="42" xfId="3" applyNumberFormat="1" applyFont="1" applyFill="1" applyBorder="1" applyAlignment="1" applyProtection="1">
      <alignment horizontal="center" vertical="center"/>
      <protection locked="0"/>
    </xf>
    <xf numFmtId="164" fontId="42" fillId="0" borderId="42" xfId="3" applyFont="1" applyFill="1" applyBorder="1" applyAlignment="1" applyProtection="1">
      <alignment horizontal="center"/>
    </xf>
    <xf numFmtId="165" fontId="43" fillId="3" borderId="42" xfId="3" applyNumberFormat="1" applyFont="1" applyFill="1" applyBorder="1" applyAlignment="1" applyProtection="1">
      <alignment horizontal="center" vertical="center"/>
      <protection locked="0"/>
    </xf>
    <xf numFmtId="164" fontId="43" fillId="3" borderId="42" xfId="3" applyFont="1" applyFill="1" applyBorder="1" applyProtection="1"/>
    <xf numFmtId="0" fontId="31" fillId="5" borderId="64" xfId="1" applyFont="1" applyFill="1" applyBorder="1" applyAlignment="1">
      <alignment horizontal="center"/>
    </xf>
    <xf numFmtId="0" fontId="32" fillId="5" borderId="64" xfId="1" applyFont="1" applyFill="1" applyBorder="1" applyAlignment="1">
      <alignment horizontal="center" shrinkToFit="1"/>
    </xf>
    <xf numFmtId="0" fontId="33" fillId="5" borderId="64" xfId="1" applyFont="1" applyFill="1" applyBorder="1" applyAlignment="1">
      <alignment horizontal="center" shrinkToFit="1"/>
    </xf>
    <xf numFmtId="0" fontId="31" fillId="5" borderId="64" xfId="1" applyFont="1" applyFill="1" applyBorder="1" applyAlignment="1">
      <alignment horizontal="center" shrinkToFit="1"/>
    </xf>
    <xf numFmtId="0" fontId="33" fillId="5" borderId="64" xfId="1" applyFont="1" applyFill="1" applyBorder="1" applyAlignment="1">
      <alignment horizontal="center"/>
    </xf>
    <xf numFmtId="2" fontId="35" fillId="7" borderId="59" xfId="1" applyNumberFormat="1" applyFont="1" applyFill="1" applyBorder="1" applyProtection="1">
      <protection locked="0"/>
    </xf>
    <xf numFmtId="2" fontId="35" fillId="16" borderId="59" xfId="1" applyNumberFormat="1" applyFont="1" applyFill="1" applyBorder="1" applyProtection="1">
      <protection locked="0"/>
    </xf>
    <xf numFmtId="2" fontId="35" fillId="16" borderId="59" xfId="1" applyNumberFormat="1" applyFont="1" applyFill="1" applyBorder="1"/>
    <xf numFmtId="2" fontId="35" fillId="7" borderId="59" xfId="1" applyNumberFormat="1" applyFont="1" applyFill="1" applyBorder="1" applyAlignment="1" applyProtection="1">
      <alignment horizontal="center"/>
      <protection locked="0"/>
    </xf>
    <xf numFmtId="49" fontId="35" fillId="7" borderId="59" xfId="1" applyNumberFormat="1" applyFont="1" applyFill="1" applyBorder="1" applyAlignment="1" applyProtection="1">
      <alignment horizontal="center"/>
      <protection locked="0"/>
    </xf>
    <xf numFmtId="1" fontId="37" fillId="16" borderId="59" xfId="4" applyNumberFormat="1" applyFont="1" applyFill="1" applyBorder="1" applyAlignment="1" applyProtection="1">
      <alignment horizontal="right" vertical="center" shrinkToFit="1"/>
      <protection hidden="1"/>
    </xf>
    <xf numFmtId="1" fontId="37" fillId="16" borderId="59" xfId="4" applyNumberFormat="1" applyFont="1" applyFill="1" applyBorder="1" applyAlignment="1" applyProtection="1">
      <alignment horizontal="left" vertical="center"/>
      <protection hidden="1"/>
    </xf>
    <xf numFmtId="9" fontId="35" fillId="16" borderId="59" xfId="1" applyNumberFormat="1" applyFont="1" applyFill="1" applyBorder="1"/>
    <xf numFmtId="49" fontId="37" fillId="7" borderId="59" xfId="1" applyNumberFormat="1" applyFont="1" applyFill="1" applyBorder="1" applyAlignment="1" applyProtection="1">
      <alignment horizontal="center" vertical="center" wrapText="1"/>
      <protection locked="0"/>
    </xf>
    <xf numFmtId="0" fontId="38" fillId="18" borderId="59" xfId="1" applyFont="1" applyFill="1" applyBorder="1"/>
    <xf numFmtId="2" fontId="38" fillId="18" borderId="59" xfId="1" applyNumberFormat="1" applyFont="1" applyFill="1" applyBorder="1" applyAlignment="1">
      <alignment horizontal="center" vertical="center"/>
    </xf>
    <xf numFmtId="0" fontId="44" fillId="4" borderId="0" xfId="1" applyFont="1" applyFill="1" applyBorder="1" applyAlignment="1">
      <alignment horizontal="left"/>
    </xf>
    <xf numFmtId="0" fontId="45" fillId="3" borderId="50" xfId="1" applyFont="1" applyFill="1" applyBorder="1" applyAlignment="1">
      <alignment horizontal="left"/>
    </xf>
    <xf numFmtId="0" fontId="46" fillId="3" borderId="44" xfId="1" applyFont="1" applyFill="1" applyBorder="1" applyProtection="1">
      <protection locked="0"/>
    </xf>
    <xf numFmtId="0" fontId="46" fillId="3" borderId="42" xfId="1" applyFont="1" applyFill="1" applyBorder="1" applyProtection="1">
      <protection locked="0"/>
    </xf>
    <xf numFmtId="0" fontId="46" fillId="3" borderId="46" xfId="1" applyFont="1" applyFill="1" applyBorder="1" applyAlignment="1"/>
    <xf numFmtId="0" fontId="47" fillId="3" borderId="0" xfId="0" applyFont="1" applyFill="1" applyAlignment="1"/>
    <xf numFmtId="0" fontId="48" fillId="19" borderId="0" xfId="1" applyFont="1" applyFill="1" applyBorder="1" applyAlignment="1">
      <alignment horizontal="center"/>
    </xf>
    <xf numFmtId="0" fontId="49" fillId="3" borderId="0" xfId="1" applyFont="1" applyFill="1" applyBorder="1" applyAlignment="1">
      <alignment horizontal="center"/>
    </xf>
    <xf numFmtId="0" fontId="48" fillId="19" borderId="0" xfId="1" applyFont="1" applyFill="1" applyBorder="1" applyAlignment="1">
      <alignment vertical="center" wrapText="1"/>
    </xf>
    <xf numFmtId="0" fontId="50" fillId="19" borderId="0" xfId="1" applyFont="1" applyFill="1" applyBorder="1" applyAlignment="1">
      <alignment vertical="center" wrapText="1"/>
    </xf>
    <xf numFmtId="0" fontId="47" fillId="0" borderId="0" xfId="0" applyFont="1" applyAlignment="1">
      <alignment vertical="center" wrapText="1"/>
    </xf>
    <xf numFmtId="0" fontId="48" fillId="19" borderId="0" xfId="1" applyFont="1" applyFill="1" applyBorder="1"/>
    <xf numFmtId="0" fontId="49" fillId="3" borderId="0" xfId="1" applyFont="1" applyFill="1" applyBorder="1" applyAlignment="1">
      <alignment horizontal="left" vertical="top"/>
    </xf>
    <xf numFmtId="0" fontId="47" fillId="3" borderId="0" xfId="0" applyFont="1" applyFill="1" applyAlignment="1">
      <alignment horizontal="left" vertical="top"/>
    </xf>
    <xf numFmtId="0" fontId="50" fillId="19" borderId="46" xfId="1" applyFont="1" applyFill="1" applyBorder="1" applyAlignment="1">
      <alignment horizontal="center" vertical="center"/>
    </xf>
    <xf numFmtId="0" fontId="51" fillId="19" borderId="0" xfId="0" applyFont="1" applyFill="1" applyAlignment="1">
      <alignment horizontal="center" vertical="center"/>
    </xf>
    <xf numFmtId="2" fontId="46" fillId="3" borderId="42" xfId="1" applyNumberFormat="1" applyFont="1" applyFill="1" applyBorder="1" applyProtection="1">
      <protection locked="0"/>
    </xf>
    <xf numFmtId="2" fontId="46" fillId="3" borderId="0" xfId="1" applyNumberFormat="1" applyFont="1" applyFill="1" applyBorder="1" applyProtection="1">
      <protection locked="0"/>
    </xf>
    <xf numFmtId="0" fontId="46" fillId="3" borderId="44" xfId="1" applyFont="1" applyFill="1" applyBorder="1" applyAlignment="1" applyProtection="1">
      <alignment horizontal="center"/>
      <protection locked="0"/>
    </xf>
    <xf numFmtId="0" fontId="46" fillId="3" borderId="42" xfId="1" applyFont="1" applyFill="1" applyBorder="1" applyAlignment="1" applyProtection="1">
      <alignment horizontal="center"/>
      <protection locked="0"/>
    </xf>
    <xf numFmtId="0" fontId="47" fillId="3" borderId="42" xfId="0" applyFont="1" applyFill="1" applyBorder="1" applyAlignment="1"/>
    <xf numFmtId="0" fontId="46" fillId="3" borderId="0" xfId="1" applyFont="1" applyFill="1" applyBorder="1"/>
    <xf numFmtId="0" fontId="50" fillId="3" borderId="0" xfId="1" applyFont="1" applyFill="1" applyBorder="1" applyAlignment="1">
      <alignment horizontal="center"/>
    </xf>
    <xf numFmtId="0" fontId="46" fillId="3" borderId="48" xfId="1" applyFont="1" applyFill="1" applyBorder="1" applyAlignment="1" applyProtection="1">
      <alignment horizontal="center"/>
      <protection locked="0"/>
    </xf>
    <xf numFmtId="0" fontId="46" fillId="3" borderId="47" xfId="1" applyFont="1" applyFill="1" applyBorder="1" applyAlignment="1" applyProtection="1">
      <alignment horizontal="center"/>
      <protection locked="0"/>
    </xf>
    <xf numFmtId="0" fontId="47" fillId="3" borderId="47" xfId="0" applyFont="1" applyFill="1" applyBorder="1" applyAlignment="1"/>
    <xf numFmtId="0" fontId="47" fillId="3" borderId="0" xfId="0" applyFont="1" applyFill="1" applyBorder="1" applyAlignment="1"/>
    <xf numFmtId="2" fontId="46" fillId="3" borderId="47" xfId="1" applyNumberFormat="1" applyFont="1" applyFill="1" applyBorder="1" applyProtection="1">
      <protection locked="0"/>
    </xf>
    <xf numFmtId="0" fontId="47" fillId="3" borderId="0" xfId="0" applyFont="1" applyFill="1" applyBorder="1" applyAlignment="1">
      <alignment horizontal="left" vertical="top"/>
    </xf>
    <xf numFmtId="0" fontId="44" fillId="5" borderId="64" xfId="1" applyFont="1" applyFill="1" applyBorder="1" applyAlignment="1">
      <alignment horizontal="center" vertical="center" wrapText="1"/>
    </xf>
    <xf numFmtId="0" fontId="44" fillId="5" borderId="65" xfId="1" applyFont="1" applyFill="1" applyBorder="1" applyAlignment="1">
      <alignment horizontal="center" vertical="center" wrapText="1"/>
    </xf>
    <xf numFmtId="2" fontId="46" fillId="3" borderId="42" xfId="1" applyNumberFormat="1" applyFont="1" applyFill="1" applyBorder="1" applyAlignment="1" applyProtection="1">
      <alignment horizontal="center" vertical="center"/>
      <protection locked="0"/>
    </xf>
    <xf numFmtId="0" fontId="46" fillId="3" borderId="42" xfId="1" applyFont="1" applyFill="1" applyBorder="1" applyAlignment="1">
      <alignment horizontal="center" vertical="center" wrapText="1"/>
    </xf>
    <xf numFmtId="0" fontId="46" fillId="3" borderId="61" xfId="1" applyFont="1" applyFill="1" applyBorder="1" applyAlignment="1">
      <alignment horizontal="center" vertical="center" wrapText="1"/>
    </xf>
    <xf numFmtId="0" fontId="46" fillId="3" borderId="47" xfId="1" applyFont="1" applyFill="1" applyBorder="1" applyAlignment="1">
      <alignment horizontal="center" vertical="center" wrapText="1"/>
    </xf>
    <xf numFmtId="0" fontId="46" fillId="3" borderId="62" xfId="1" applyFont="1" applyFill="1" applyBorder="1" applyAlignment="1">
      <alignment horizontal="center" vertical="center" wrapText="1"/>
    </xf>
    <xf numFmtId="0" fontId="20" fillId="0" borderId="0" xfId="5"/>
    <xf numFmtId="0" fontId="20" fillId="0" borderId="0" xfId="5" applyAlignment="1">
      <alignment horizontal="center"/>
    </xf>
    <xf numFmtId="0" fontId="20" fillId="0" borderId="0" xfId="5" applyAlignment="1">
      <alignment horizontal="center"/>
    </xf>
    <xf numFmtId="0" fontId="20" fillId="0" borderId="42" xfId="5" applyBorder="1" applyAlignment="1" applyProtection="1">
      <alignment horizontal="center"/>
      <protection locked="0"/>
    </xf>
    <xf numFmtId="0" fontId="20" fillId="0" borderId="42" xfId="5" applyBorder="1" applyProtection="1">
      <protection locked="0"/>
    </xf>
    <xf numFmtId="0" fontId="20" fillId="0" borderId="42" xfId="5" applyBorder="1"/>
    <xf numFmtId="0" fontId="20" fillId="20" borderId="42" xfId="5" applyFill="1" applyBorder="1" applyAlignment="1" applyProtection="1">
      <alignment horizontal="center" vertical="center"/>
      <protection locked="0"/>
    </xf>
    <xf numFmtId="0" fontId="20" fillId="21" borderId="61" xfId="5" applyFill="1" applyBorder="1" applyAlignment="1">
      <alignment horizontal="center" vertical="center"/>
    </xf>
    <xf numFmtId="0" fontId="53" fillId="12" borderId="42" xfId="5" applyFont="1" applyFill="1" applyBorder="1"/>
    <xf numFmtId="0" fontId="53" fillId="12" borderId="62" xfId="5" applyFont="1" applyFill="1" applyBorder="1"/>
    <xf numFmtId="0" fontId="53" fillId="12" borderId="66" xfId="5" applyFont="1" applyFill="1" applyBorder="1"/>
    <xf numFmtId="0" fontId="53" fillId="12" borderId="67" xfId="5" applyFont="1" applyFill="1" applyBorder="1"/>
    <xf numFmtId="0" fontId="20" fillId="0" borderId="68" xfId="5" applyBorder="1"/>
    <xf numFmtId="2" fontId="20" fillId="22" borderId="42" xfId="5" applyNumberFormat="1" applyFill="1" applyBorder="1" applyProtection="1">
      <protection locked="0"/>
    </xf>
    <xf numFmtId="0" fontId="20" fillId="22" borderId="42" xfId="5" applyFill="1" applyBorder="1" applyProtection="1">
      <protection locked="0"/>
    </xf>
    <xf numFmtId="2" fontId="20" fillId="0" borderId="0" xfId="5" applyNumberFormat="1"/>
    <xf numFmtId="0" fontId="20" fillId="0" borderId="47" xfId="5" applyBorder="1" applyAlignment="1">
      <alignment horizontal="center"/>
    </xf>
    <xf numFmtId="0" fontId="20" fillId="22" borderId="47" xfId="5" applyFill="1" applyBorder="1" applyAlignment="1" applyProtection="1">
      <alignment horizontal="center"/>
      <protection locked="0"/>
    </xf>
    <xf numFmtId="0" fontId="20" fillId="22" borderId="62" xfId="5" applyFill="1" applyBorder="1" applyAlignment="1" applyProtection="1">
      <alignment horizontal="center"/>
      <protection locked="0"/>
    </xf>
    <xf numFmtId="0" fontId="20" fillId="22" borderId="42" xfId="5" applyFill="1" applyBorder="1" applyAlignment="1" applyProtection="1">
      <alignment horizontal="center"/>
      <protection locked="0"/>
    </xf>
    <xf numFmtId="0" fontId="20" fillId="21" borderId="61" xfId="5" applyFill="1" applyBorder="1" applyAlignment="1">
      <alignment horizontal="center"/>
    </xf>
    <xf numFmtId="0" fontId="53" fillId="12" borderId="69" xfId="5" applyFont="1" applyFill="1" applyBorder="1"/>
    <xf numFmtId="0" fontId="53" fillId="12" borderId="70" xfId="5" applyFont="1" applyFill="1" applyBorder="1"/>
    <xf numFmtId="0" fontId="20" fillId="0" borderId="42" xfId="5" applyBorder="1" applyAlignment="1">
      <alignment horizontal="left"/>
    </xf>
    <xf numFmtId="0" fontId="53" fillId="0" borderId="0" xfId="5" applyFont="1" applyAlignment="1">
      <alignment horizontal="center"/>
    </xf>
    <xf numFmtId="0" fontId="20" fillId="0" borderId="0" xfId="5"/>
    <xf numFmtId="2" fontId="20" fillId="21" borderId="42" xfId="5" applyNumberFormat="1" applyFill="1" applyBorder="1" applyAlignment="1">
      <alignment horizontal="center" vertical="center"/>
    </xf>
    <xf numFmtId="2" fontId="20" fillId="12" borderId="42" xfId="5" applyNumberFormat="1" applyFill="1" applyBorder="1" applyAlignment="1">
      <alignment horizontal="center" vertical="center"/>
    </xf>
    <xf numFmtId="2" fontId="20" fillId="21" borderId="61" xfId="5" applyNumberFormat="1" applyFill="1" applyBorder="1" applyAlignment="1">
      <alignment horizontal="center" vertical="center"/>
    </xf>
    <xf numFmtId="0" fontId="20" fillId="13" borderId="42" xfId="5" applyFill="1" applyBorder="1" applyAlignment="1" applyProtection="1">
      <alignment horizontal="center"/>
      <protection locked="0"/>
    </xf>
    <xf numFmtId="0" fontId="53" fillId="12" borderId="71" xfId="5" applyFont="1" applyFill="1" applyBorder="1"/>
    <xf numFmtId="0" fontId="53" fillId="12" borderId="72" xfId="5" applyFont="1" applyFill="1" applyBorder="1"/>
    <xf numFmtId="0" fontId="20" fillId="0" borderId="0" xfId="5" applyProtection="1">
      <protection locked="0"/>
    </xf>
    <xf numFmtId="0" fontId="20" fillId="0" borderId="73" xfId="5" applyBorder="1"/>
    <xf numFmtId="0" fontId="20" fillId="14" borderId="74" xfId="5" applyFill="1" applyBorder="1" applyAlignment="1">
      <alignment horizontal="center"/>
    </xf>
    <xf numFmtId="0" fontId="20" fillId="14" borderId="75" xfId="5" applyFill="1" applyBorder="1" applyAlignment="1">
      <alignment horizontal="center"/>
    </xf>
    <xf numFmtId="0" fontId="20" fillId="14" borderId="76" xfId="5" applyFill="1" applyBorder="1" applyAlignment="1">
      <alignment horizontal="center"/>
    </xf>
    <xf numFmtId="0" fontId="20" fillId="14" borderId="45" xfId="5" applyFill="1" applyBorder="1" applyAlignment="1">
      <alignment horizontal="center"/>
    </xf>
    <xf numFmtId="0" fontId="20" fillId="14" borderId="77" xfId="5" applyFill="1" applyBorder="1" applyAlignment="1">
      <alignment horizontal="center"/>
    </xf>
    <xf numFmtId="49" fontId="53" fillId="12" borderId="71" xfId="6" applyNumberFormat="1" applyFont="1" applyFill="1" applyBorder="1" applyAlignment="1" applyProtection="1"/>
    <xf numFmtId="0" fontId="53" fillId="12" borderId="78" xfId="5" applyFont="1" applyFill="1" applyBorder="1"/>
    <xf numFmtId="0" fontId="20" fillId="14" borderId="41" xfId="5" applyFill="1" applyBorder="1" applyAlignment="1">
      <alignment horizontal="center"/>
    </xf>
    <xf numFmtId="0" fontId="20" fillId="14" borderId="79" xfId="5" applyFill="1" applyBorder="1" applyAlignment="1">
      <alignment horizontal="center"/>
    </xf>
    <xf numFmtId="0" fontId="20" fillId="0" borderId="80" xfId="5" applyBorder="1" applyAlignment="1">
      <alignment horizontal="center"/>
    </xf>
    <xf numFmtId="0" fontId="20" fillId="0" borderId="81" xfId="5" applyBorder="1" applyAlignment="1">
      <alignment horizontal="center"/>
    </xf>
    <xf numFmtId="0" fontId="20" fillId="0" borderId="82" xfId="5" applyBorder="1" applyAlignment="1">
      <alignment horizontal="center"/>
    </xf>
    <xf numFmtId="0" fontId="20" fillId="0" borderId="49" xfId="5" applyBorder="1" applyAlignment="1">
      <alignment horizontal="center"/>
    </xf>
    <xf numFmtId="0" fontId="20" fillId="14" borderId="80" xfId="5" applyFill="1" applyBorder="1" applyAlignment="1">
      <alignment horizontal="center"/>
    </xf>
    <xf numFmtId="0" fontId="20" fillId="14" borderId="0" xfId="5" applyFill="1" applyAlignment="1">
      <alignment horizontal="center"/>
    </xf>
    <xf numFmtId="0" fontId="53" fillId="12" borderId="71" xfId="6" applyNumberFormat="1" applyFont="1" applyFill="1" applyBorder="1" applyAlignment="1" applyProtection="1"/>
    <xf numFmtId="0" fontId="20" fillId="0" borderId="41" xfId="5" applyBorder="1" applyAlignment="1">
      <alignment horizontal="center"/>
    </xf>
    <xf numFmtId="0" fontId="20" fillId="0" borderId="83" xfId="5" applyBorder="1" applyAlignment="1">
      <alignment horizontal="center"/>
    </xf>
    <xf numFmtId="0" fontId="20" fillId="0" borderId="84" xfId="5" applyBorder="1" applyAlignment="1">
      <alignment horizontal="center"/>
    </xf>
    <xf numFmtId="0" fontId="20" fillId="23" borderId="84" xfId="5" applyFill="1" applyBorder="1" applyAlignment="1">
      <alignment horizontal="center"/>
    </xf>
    <xf numFmtId="0" fontId="20" fillId="23" borderId="83" xfId="5" applyFill="1" applyBorder="1" applyAlignment="1">
      <alignment horizontal="center"/>
    </xf>
    <xf numFmtId="0" fontId="20" fillId="0" borderId="85" xfId="5" applyBorder="1" applyAlignment="1">
      <alignment horizontal="center"/>
    </xf>
    <xf numFmtId="0" fontId="20" fillId="0" borderId="86" xfId="5" applyBorder="1" applyAlignment="1">
      <alignment horizontal="center"/>
    </xf>
    <xf numFmtId="0" fontId="20" fillId="0" borderId="83" xfId="5" applyBorder="1"/>
    <xf numFmtId="0" fontId="55" fillId="12" borderId="42" xfId="5" applyFont="1" applyFill="1" applyBorder="1" applyAlignment="1">
      <alignment horizontal="center"/>
    </xf>
    <xf numFmtId="0" fontId="54" fillId="13" borderId="61" xfId="6" quotePrefix="1" applyFill="1" applyBorder="1" applyAlignment="1" applyProtection="1">
      <alignment horizontal="center"/>
      <protection locked="0"/>
    </xf>
    <xf numFmtId="0" fontId="20" fillId="0" borderId="43" xfId="5" applyBorder="1" applyAlignment="1" applyProtection="1">
      <alignment horizontal="center"/>
      <protection locked="0"/>
    </xf>
    <xf numFmtId="0" fontId="20" fillId="0" borderId="87" xfId="5" applyBorder="1" applyAlignment="1">
      <alignment horizontal="center"/>
    </xf>
    <xf numFmtId="0" fontId="20" fillId="0" borderId="88" xfId="5" applyBorder="1" applyAlignment="1">
      <alignment horizontal="center"/>
    </xf>
    <xf numFmtId="0" fontId="20" fillId="23" borderId="88" xfId="5" applyFill="1" applyBorder="1" applyAlignment="1">
      <alignment horizontal="center"/>
    </xf>
    <xf numFmtId="0" fontId="20" fillId="23" borderId="87" xfId="5" applyFill="1" applyBorder="1" applyAlignment="1">
      <alignment horizontal="center"/>
    </xf>
    <xf numFmtId="0" fontId="20" fillId="0" borderId="89" xfId="5" applyBorder="1" applyAlignment="1">
      <alignment horizontal="center"/>
    </xf>
    <xf numFmtId="0" fontId="20" fillId="0" borderId="90" xfId="5" applyBorder="1" applyAlignment="1">
      <alignment horizontal="center"/>
    </xf>
    <xf numFmtId="0" fontId="55" fillId="0" borderId="42" xfId="5" applyFont="1" applyBorder="1" applyAlignment="1">
      <alignment horizontal="center"/>
    </xf>
    <xf numFmtId="0" fontId="53" fillId="0" borderId="91" xfId="5" applyFont="1" applyBorder="1"/>
    <xf numFmtId="0" fontId="53" fillId="0" borderId="92" xfId="5" applyFont="1" applyBorder="1"/>
    <xf numFmtId="0" fontId="54" fillId="13" borderId="42" xfId="6" quotePrefix="1" applyFill="1" applyBorder="1" applyAlignment="1" applyProtection="1">
      <alignment horizontal="center"/>
      <protection locked="0"/>
    </xf>
    <xf numFmtId="2" fontId="20" fillId="13" borderId="45" xfId="5" applyNumberFormat="1" applyFill="1" applyBorder="1" applyAlignment="1" applyProtection="1">
      <alignment horizontal="center"/>
      <protection locked="0"/>
    </xf>
    <xf numFmtId="2" fontId="20" fillId="14" borderId="45" xfId="5" applyNumberFormat="1" applyFill="1" applyBorder="1" applyAlignment="1">
      <alignment horizontal="center"/>
    </xf>
    <xf numFmtId="2" fontId="20" fillId="14" borderId="42" xfId="5" applyNumberFormat="1" applyFill="1" applyBorder="1" applyAlignment="1">
      <alignment horizontal="center"/>
    </xf>
    <xf numFmtId="2" fontId="20" fillId="24" borderId="45" xfId="5" applyNumberFormat="1" applyFill="1" applyBorder="1" applyAlignment="1">
      <alignment horizontal="center"/>
    </xf>
    <xf numFmtId="2" fontId="20" fillId="25" borderId="45" xfId="5" applyNumberFormat="1" applyFill="1" applyBorder="1" applyAlignment="1">
      <alignment horizontal="center"/>
    </xf>
    <xf numFmtId="2" fontId="20" fillId="25" borderId="45" xfId="5" applyNumberFormat="1" applyFill="1" applyBorder="1" applyProtection="1">
      <protection locked="0"/>
    </xf>
    <xf numFmtId="2" fontId="20" fillId="25" borderId="42" xfId="5" applyNumberFormat="1" applyFill="1" applyBorder="1" applyAlignment="1" applyProtection="1">
      <alignment horizontal="center"/>
      <protection locked="0"/>
    </xf>
    <xf numFmtId="2" fontId="20" fillId="25" borderId="45" xfId="5" applyNumberFormat="1" applyFill="1" applyBorder="1" applyAlignment="1" applyProtection="1">
      <alignment horizontal="center"/>
      <protection locked="0"/>
    </xf>
    <xf numFmtId="2" fontId="20" fillId="25" borderId="42" xfId="5" applyNumberFormat="1" applyFill="1" applyBorder="1" applyProtection="1">
      <protection locked="0"/>
    </xf>
    <xf numFmtId="2" fontId="20" fillId="13" borderId="42" xfId="5" applyNumberFormat="1" applyFill="1" applyBorder="1" applyAlignment="1" applyProtection="1">
      <alignment horizontal="center"/>
      <protection locked="0"/>
    </xf>
    <xf numFmtId="2" fontId="20" fillId="25" borderId="42" xfId="5" applyNumberFormat="1" applyFill="1" applyBorder="1" applyAlignment="1">
      <alignment horizontal="center"/>
    </xf>
    <xf numFmtId="2" fontId="20" fillId="25" borderId="42" xfId="5" applyNumberFormat="1" applyFill="1" applyBorder="1"/>
    <xf numFmtId="0" fontId="54" fillId="13" borderId="45" xfId="6" quotePrefix="1" applyFill="1" applyBorder="1" applyAlignment="1" applyProtection="1">
      <alignment horizontal="center"/>
      <protection locked="0"/>
    </xf>
    <xf numFmtId="0" fontId="34" fillId="15" borderId="53" xfId="1" applyFont="1" applyFill="1" applyBorder="1" applyAlignment="1" applyProtection="1">
      <alignment horizontal="center" vertical="center"/>
      <protection locked="0"/>
    </xf>
    <xf numFmtId="2" fontId="34" fillId="15" borderId="54" xfId="1" applyNumberFormat="1" applyFont="1" applyFill="1" applyBorder="1" applyAlignment="1" applyProtection="1">
      <alignment horizontal="center" vertical="center"/>
      <protection locked="0"/>
    </xf>
    <xf numFmtId="2" fontId="34" fillId="15" borderId="54" xfId="1" applyNumberFormat="1" applyFont="1" applyFill="1" applyBorder="1" applyAlignment="1">
      <alignment horizontal="center" vertical="center"/>
    </xf>
    <xf numFmtId="2" fontId="34" fillId="3" borderId="54" xfId="1" applyNumberFormat="1" applyFont="1" applyFill="1" applyBorder="1" applyAlignment="1" applyProtection="1">
      <alignment horizontal="center" vertical="center"/>
      <protection locked="0"/>
    </xf>
    <xf numFmtId="2" fontId="34" fillId="15" borderId="55" xfId="1" applyNumberFormat="1" applyFont="1" applyFill="1" applyBorder="1" applyAlignment="1">
      <alignment horizontal="center" vertical="center"/>
    </xf>
    <xf numFmtId="2" fontId="34" fillId="3" borderId="42" xfId="1" applyNumberFormat="1" applyFont="1" applyFill="1" applyBorder="1" applyAlignment="1" applyProtection="1">
      <alignment horizontal="center" vertical="center"/>
      <protection locked="0"/>
    </xf>
    <xf numFmtId="2" fontId="34" fillId="15" borderId="42" xfId="1" applyNumberFormat="1" applyFont="1" applyFill="1" applyBorder="1" applyAlignment="1" applyProtection="1">
      <alignment horizontal="center" vertical="center"/>
      <protection locked="0"/>
    </xf>
    <xf numFmtId="2" fontId="34" fillId="15" borderId="42" xfId="1" applyNumberFormat="1" applyFont="1" applyFill="1" applyBorder="1" applyAlignment="1">
      <alignment horizontal="center" vertical="center"/>
    </xf>
    <xf numFmtId="49" fontId="34" fillId="3" borderId="42" xfId="1" applyNumberFormat="1" applyFont="1" applyFill="1" applyBorder="1" applyAlignment="1" applyProtection="1">
      <alignment horizontal="center" vertical="center"/>
      <protection locked="0"/>
    </xf>
    <xf numFmtId="1" fontId="36" fillId="15" borderId="42" xfId="4" applyNumberFormat="1" applyFont="1" applyFill="1" applyBorder="1" applyAlignment="1" applyProtection="1">
      <alignment horizontal="center" vertical="center" shrinkToFit="1"/>
      <protection hidden="1"/>
    </xf>
    <xf numFmtId="1" fontId="36" fillId="15" borderId="42" xfId="4" applyNumberFormat="1" applyFont="1" applyFill="1" applyBorder="1" applyAlignment="1" applyProtection="1">
      <alignment horizontal="center" vertical="center"/>
      <protection hidden="1"/>
    </xf>
    <xf numFmtId="9" fontId="34" fillId="15" borderId="42" xfId="1" applyNumberFormat="1" applyFont="1" applyFill="1" applyBorder="1" applyAlignment="1">
      <alignment horizontal="center" vertical="center"/>
    </xf>
    <xf numFmtId="49" fontId="36" fillId="3" borderId="42" xfId="1" applyNumberFormat="1" applyFont="1" applyFill="1" applyBorder="1" applyAlignment="1" applyProtection="1">
      <alignment horizontal="center" vertical="center" wrapText="1"/>
      <protection locked="0"/>
    </xf>
    <xf numFmtId="0" fontId="52" fillId="17" borderId="42" xfId="1" applyFont="1" applyFill="1" applyBorder="1" applyAlignment="1">
      <alignment horizontal="center" vertical="center"/>
    </xf>
    <xf numFmtId="2" fontId="52" fillId="17" borderId="42" xfId="1" applyNumberFormat="1" applyFont="1" applyFill="1" applyBorder="1" applyAlignment="1">
      <alignment horizontal="center" vertical="center"/>
    </xf>
    <xf numFmtId="165" fontId="21" fillId="3" borderId="44" xfId="3" applyNumberFormat="1" applyFont="1" applyFill="1" applyBorder="1" applyAlignment="1" applyProtection="1">
      <alignment horizontal="center" vertical="center"/>
      <protection locked="0"/>
    </xf>
    <xf numFmtId="165" fontId="21" fillId="3" borderId="42" xfId="3" applyNumberFormat="1" applyFont="1" applyFill="1" applyBorder="1" applyAlignment="1" applyProtection="1">
      <alignment horizontal="center" vertical="center"/>
      <protection locked="0"/>
    </xf>
    <xf numFmtId="164" fontId="21" fillId="15" borderId="42" xfId="3" applyFont="1" applyFill="1" applyBorder="1" applyAlignment="1" applyProtection="1">
      <alignment horizontal="center" vertical="center"/>
    </xf>
    <xf numFmtId="0" fontId="19" fillId="0" borderId="0" xfId="1" applyFont="1" applyAlignment="1">
      <alignment horizontal="center" vertical="center"/>
    </xf>
    <xf numFmtId="0" fontId="34" fillId="16" borderId="53" xfId="1" applyFont="1" applyFill="1" applyBorder="1" applyAlignment="1" applyProtection="1">
      <alignment horizontal="center" vertical="center"/>
      <protection locked="0"/>
    </xf>
    <xf numFmtId="2" fontId="34" fillId="16" borderId="54" xfId="1" applyNumberFormat="1" applyFont="1" applyFill="1" applyBorder="1" applyAlignment="1" applyProtection="1">
      <alignment horizontal="center" vertical="center"/>
      <protection locked="0"/>
    </xf>
    <xf numFmtId="2" fontId="34" fillId="16" borderId="54" xfId="1" applyNumberFormat="1" applyFont="1" applyFill="1" applyBorder="1" applyAlignment="1">
      <alignment horizontal="center" vertical="center"/>
    </xf>
    <xf numFmtId="2" fontId="34" fillId="7" borderId="54" xfId="1" applyNumberFormat="1" applyFont="1" applyFill="1" applyBorder="1" applyAlignment="1" applyProtection="1">
      <alignment horizontal="center" vertical="center"/>
      <protection locked="0"/>
    </xf>
    <xf numFmtId="2" fontId="34" fillId="16" borderId="55" xfId="1" applyNumberFormat="1" applyFont="1" applyFill="1" applyBorder="1" applyAlignment="1">
      <alignment horizontal="center" vertical="center"/>
    </xf>
    <xf numFmtId="2" fontId="34" fillId="7" borderId="42" xfId="1" applyNumberFormat="1" applyFont="1" applyFill="1" applyBorder="1" applyAlignment="1" applyProtection="1">
      <alignment horizontal="center" vertical="center"/>
      <protection locked="0"/>
    </xf>
    <xf numFmtId="2" fontId="34" fillId="16" borderId="42" xfId="1" applyNumberFormat="1" applyFont="1" applyFill="1" applyBorder="1" applyAlignment="1" applyProtection="1">
      <alignment horizontal="center" vertical="center"/>
      <protection locked="0"/>
    </xf>
    <xf numFmtId="2" fontId="34" fillId="16" borderId="42" xfId="1" applyNumberFormat="1" applyFont="1" applyFill="1" applyBorder="1" applyAlignment="1">
      <alignment horizontal="center" vertical="center"/>
    </xf>
    <xf numFmtId="1" fontId="36" fillId="16" borderId="42" xfId="4" applyNumberFormat="1" applyFont="1" applyFill="1" applyBorder="1" applyAlignment="1" applyProtection="1">
      <alignment horizontal="center" vertical="center" shrinkToFit="1"/>
      <protection hidden="1"/>
    </xf>
    <xf numFmtId="1" fontId="36" fillId="16" borderId="42" xfId="4" applyNumberFormat="1" applyFont="1" applyFill="1" applyBorder="1" applyAlignment="1" applyProtection="1">
      <alignment horizontal="center" vertical="center"/>
      <protection hidden="1"/>
    </xf>
    <xf numFmtId="9" fontId="34" fillId="16" borderId="42" xfId="1" applyNumberFormat="1" applyFont="1" applyFill="1" applyBorder="1" applyAlignment="1">
      <alignment horizontal="center" vertical="center"/>
    </xf>
    <xf numFmtId="49" fontId="36" fillId="7" borderId="42" xfId="1" applyNumberFormat="1" applyFont="1" applyFill="1" applyBorder="1" applyAlignment="1" applyProtection="1">
      <alignment horizontal="center" vertical="center" wrapText="1"/>
      <protection locked="0"/>
    </xf>
    <xf numFmtId="0" fontId="52" fillId="18" borderId="42" xfId="1" applyFont="1" applyFill="1" applyBorder="1" applyAlignment="1">
      <alignment horizontal="center" vertical="center"/>
    </xf>
    <xf numFmtId="2" fontId="52" fillId="18" borderId="42" xfId="1" applyNumberFormat="1" applyFont="1" applyFill="1" applyBorder="1" applyAlignment="1">
      <alignment horizontal="center" vertical="center"/>
    </xf>
    <xf numFmtId="165" fontId="21" fillId="7" borderId="44" xfId="3" applyNumberFormat="1" applyFont="1" applyFill="1" applyBorder="1" applyAlignment="1" applyProtection="1">
      <alignment horizontal="center" vertical="center"/>
      <protection locked="0"/>
    </xf>
    <xf numFmtId="165" fontId="21" fillId="7" borderId="42" xfId="3" applyNumberFormat="1" applyFont="1" applyFill="1" applyBorder="1" applyAlignment="1" applyProtection="1">
      <alignment horizontal="center" vertical="center"/>
      <protection locked="0"/>
    </xf>
    <xf numFmtId="164" fontId="21" fillId="16" borderId="42" xfId="3" applyFont="1" applyFill="1" applyBorder="1" applyAlignment="1" applyProtection="1">
      <alignment horizontal="center" vertical="center"/>
    </xf>
    <xf numFmtId="49" fontId="34" fillId="7" borderId="42" xfId="1" applyNumberFormat="1" applyFont="1" applyFill="1" applyBorder="1" applyAlignment="1" applyProtection="1">
      <alignment horizontal="center" vertical="center"/>
      <protection locked="0"/>
    </xf>
    <xf numFmtId="0" fontId="52" fillId="3" borderId="42" xfId="1" applyFont="1" applyFill="1" applyBorder="1" applyAlignment="1" applyProtection="1">
      <alignment horizontal="center" vertical="center"/>
      <protection locked="0"/>
    </xf>
    <xf numFmtId="0" fontId="52" fillId="7" borderId="63" xfId="1" applyFont="1" applyFill="1" applyBorder="1" applyAlignment="1">
      <alignment horizontal="center" vertical="center"/>
    </xf>
    <xf numFmtId="0" fontId="52" fillId="7" borderId="59" xfId="1" applyFont="1" applyFill="1" applyBorder="1" applyAlignment="1">
      <alignment horizontal="center" vertical="center"/>
    </xf>
    <xf numFmtId="0" fontId="52" fillId="16" borderId="60" xfId="1" applyFont="1" applyFill="1" applyBorder="1" applyAlignment="1">
      <alignment horizontal="center" vertical="center"/>
    </xf>
    <xf numFmtId="0" fontId="52" fillId="3" borderId="53" xfId="1" applyFont="1" applyFill="1" applyBorder="1" applyAlignment="1">
      <alignment horizontal="center" vertical="center"/>
    </xf>
    <xf numFmtId="0" fontId="52" fillId="3" borderId="54" xfId="1" applyFont="1" applyFill="1" applyBorder="1" applyAlignment="1">
      <alignment horizontal="center" vertical="center"/>
    </xf>
    <xf numFmtId="0" fontId="52" fillId="15" borderId="55" xfId="1" applyFont="1" applyFill="1" applyBorder="1" applyAlignment="1">
      <alignment horizontal="center" vertical="center"/>
    </xf>
    <xf numFmtId="0" fontId="52" fillId="7" borderId="53" xfId="1" applyFont="1" applyFill="1" applyBorder="1" applyAlignment="1">
      <alignment horizontal="center" vertical="center"/>
    </xf>
    <xf numFmtId="0" fontId="52" fillId="7" borderId="54" xfId="1" applyFont="1" applyFill="1" applyBorder="1" applyAlignment="1">
      <alignment horizontal="center" vertical="center"/>
    </xf>
    <xf numFmtId="0" fontId="52" fillId="16" borderId="55" xfId="1" applyFont="1" applyFill="1" applyBorder="1" applyAlignment="1">
      <alignment horizontal="center" vertical="center"/>
    </xf>
    <xf numFmtId="165" fontId="36" fillId="3" borderId="54" xfId="3" applyNumberFormat="1" applyFont="1" applyFill="1" applyBorder="1" applyAlignment="1" applyProtection="1">
      <alignment horizontal="center" vertical="center"/>
      <protection locked="0"/>
    </xf>
    <xf numFmtId="165" fontId="36" fillId="15" borderId="55" xfId="3" applyNumberFormat="1" applyFont="1" applyFill="1" applyBorder="1" applyAlignment="1" applyProtection="1">
      <alignment horizontal="center" vertical="center"/>
      <protection locked="0"/>
    </xf>
    <xf numFmtId="165" fontId="36" fillId="7" borderId="54" xfId="3" applyNumberFormat="1" applyFont="1" applyFill="1" applyBorder="1" applyAlignment="1" applyProtection="1">
      <alignment horizontal="center" vertical="center"/>
      <protection locked="0"/>
    </xf>
    <xf numFmtId="165" fontId="36" fillId="16" borderId="55" xfId="3" applyNumberFormat="1" applyFont="1" applyFill="1" applyBorder="1" applyAlignment="1" applyProtection="1">
      <alignment horizontal="center" vertical="center"/>
      <protection locked="0"/>
    </xf>
  </cellXfs>
  <cellStyles count="7">
    <cellStyle name="Accent6 9" xfId="2" xr:uid="{75B0B4E3-2B48-41B1-B8CC-AC249289C047}"/>
    <cellStyle name="Comma 2" xfId="3" xr:uid="{4B60AA6C-B5C3-471D-A933-D9208D8A0679}"/>
    <cellStyle name="Hyperlink" xfId="6" builtinId="8"/>
    <cellStyle name="Normal" xfId="0" builtinId="0"/>
    <cellStyle name="Normal 2" xfId="1" xr:uid="{7857FC99-84F2-4435-91D0-EB26384E3F2C}"/>
    <cellStyle name="Normal 3" xfId="5" xr:uid="{BEA6F24A-04CA-4668-9707-6385E5C7F324}"/>
    <cellStyle name="Normal_Shiningbank SLIDE SHEET" xfId="4" xr:uid="{4768E51B-C517-47E6-80D3-33FBDBC16947}"/>
  </cellStyles>
  <dxfs count="12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50800</xdr:rowOff>
        </xdr:from>
        <xdr:to>
          <xdr:col>16</xdr:col>
          <xdr:colOff>933450</xdr:colOff>
          <xdr:row>0</xdr:row>
          <xdr:rowOff>330200</xdr:rowOff>
        </xdr:to>
        <xdr:sp macro="" textlink="">
          <xdr:nvSpPr>
            <xdr:cNvPr id="2105" name="BtnOCRefresh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47F88E2F-4FF3-24AC-FDE9-85544C6C47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333333"/>
                  </a:solidFill>
                  <a:latin typeface="Consolas"/>
                </a:rPr>
                <a:t>REFRESH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50800</xdr:rowOff>
        </xdr:from>
        <xdr:to>
          <xdr:col>11</xdr:col>
          <xdr:colOff>647700</xdr:colOff>
          <xdr:row>0</xdr:row>
          <xdr:rowOff>330200</xdr:rowOff>
        </xdr:to>
        <xdr:sp macro="" textlink="">
          <xdr:nvSpPr>
            <xdr:cNvPr id="2106" name="BtnOCRebuild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1D6DAE3C-42C3-DD9B-2AF4-34F9E7D431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333333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27</xdr:row>
          <xdr:rowOff>25400</xdr:rowOff>
        </xdr:from>
        <xdr:to>
          <xdr:col>11</xdr:col>
          <xdr:colOff>355600</xdr:colOff>
          <xdr:row>27</xdr:row>
          <xdr:rowOff>254000</xdr:rowOff>
        </xdr:to>
        <xdr:sp macro="" textlink="">
          <xdr:nvSpPr>
            <xdr:cNvPr id="2107" name="BtnImportPlan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74B9B97F-BDF7-7EBB-01EF-B2DD5216B6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333333"/>
                  </a:solidFill>
                  <a:latin typeface="Consolas"/>
                </a:rPr>
                <a:t>Import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28</xdr:row>
          <xdr:rowOff>25400</xdr:rowOff>
        </xdr:from>
        <xdr:to>
          <xdr:col>11</xdr:col>
          <xdr:colOff>355600</xdr:colOff>
          <xdr:row>28</xdr:row>
          <xdr:rowOff>254000</xdr:rowOff>
        </xdr:to>
        <xdr:sp macro="" textlink="">
          <xdr:nvSpPr>
            <xdr:cNvPr id="2108" name="BtnImportAC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3470DEB1-9786-A652-B3A0-9ECFC2F3B5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333333"/>
                  </a:solidFill>
                  <a:latin typeface="Consolas"/>
                </a:rPr>
                <a:t>Import AC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10</xdr:col>
          <xdr:colOff>0</xdr:colOff>
          <xdr:row>2</xdr:row>
          <xdr:rowOff>6350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ED145FC8-9AFE-4512-914D-99C867EE00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91993A79-7AE9-4F8C-BCC0-3DAD74E847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Sheet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Continuous%20DI%20BHA%20with%20DLS.WithButton.Original.1.xls" TargetMode="External"/><Relationship Id="rId2" Type="http://schemas.openxmlformats.org/officeDocument/2006/relationships/externalLinkPath" Target="file:///C:\Users\User\Downloads\Continuous%20DI%20BHA%20with%20DLS.WithButton.Original.1.xls" TargetMode="External"/><Relationship Id="rId1" Type="http://schemas.openxmlformats.org/officeDocument/2006/relationships/externalLinkPath" Target="/Users/User/Downloads/Continuous%20DI%20BHA%20with%20DLS.WithButton.Original.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Begin"/>
    </sheetNames>
    <definedNames>
      <definedName name="DeleteSheetsRightOfBegin"/>
      <definedName name="NewSheet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FFE28-5D72-44B2-B590-1CC2AB0723CD}">
  <sheetPr codeName="Sheet2">
    <tabColor rgb="FF004F4F"/>
  </sheetPr>
  <dimension ref="A1:W253"/>
  <sheetViews>
    <sheetView showGridLines="0" showRowColHeaders="0" workbookViewId="0">
      <pane ySplit="2" topLeftCell="A3" activePane="bottomLeft" state="frozen"/>
      <selection pane="bottomLeft" activeCell="A3" sqref="A3:H3"/>
    </sheetView>
  </sheetViews>
  <sheetFormatPr defaultColWidth="8.90625" defaultRowHeight="12" x14ac:dyDescent="0.3"/>
  <cols>
    <col min="1" max="1" width="2" style="1" customWidth="1"/>
    <col min="2" max="2" width="11.6328125" style="1" customWidth="1"/>
    <col min="3" max="3" width="8.6328125" style="1" customWidth="1"/>
    <col min="4" max="4" width="15.6328125" style="1" customWidth="1"/>
    <col min="5" max="5" width="9.6328125" style="1" customWidth="1"/>
    <col min="6" max="6" width="14.6328125" style="1" customWidth="1"/>
    <col min="7" max="7" width="13.6328125" style="1" customWidth="1"/>
    <col min="8" max="8" width="8.6328125" style="1" customWidth="1"/>
    <col min="9" max="9" width="2.453125" style="1" customWidth="1"/>
    <col min="10" max="10" width="10.6328125" style="1" customWidth="1"/>
    <col min="11" max="11" width="4.6328125" style="1" customWidth="1"/>
    <col min="12" max="12" width="17.6328125" style="1" customWidth="1"/>
    <col min="13" max="13" width="4.6328125" style="1" customWidth="1"/>
    <col min="14" max="16" width="8.90625" style="1"/>
    <col min="17" max="17" width="18.6328125" style="1" customWidth="1"/>
    <col min="18" max="18" width="8.6328125" style="1" customWidth="1"/>
    <col min="19" max="19" width="5.6328125" style="1" customWidth="1"/>
    <col min="20" max="20" width="15.6328125" style="1" customWidth="1"/>
    <col min="21" max="21" width="20.6328125" style="1" customWidth="1"/>
    <col min="22" max="22" width="17.6328125" style="1" customWidth="1"/>
    <col min="23" max="23" width="10.6328125" style="1" customWidth="1"/>
    <col min="24" max="16384" width="8.90625" style="1"/>
  </cols>
  <sheetData>
    <row r="1" spans="1:23" ht="30" customHeight="1" x14ac:dyDescent="0.3">
      <c r="A1" s="91" t="s">
        <v>0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2" t="s">
        <v>1</v>
      </c>
      <c r="T1" s="92"/>
      <c r="U1" s="92"/>
      <c r="V1" s="92"/>
      <c r="W1" s="92"/>
    </row>
    <row r="2" spans="1:23" ht="3" customHeight="1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18" customHeight="1" x14ac:dyDescent="0.3">
      <c r="A3" s="73" t="s">
        <v>2</v>
      </c>
      <c r="B3" s="100"/>
      <c r="C3" s="100"/>
      <c r="D3" s="100"/>
      <c r="E3" s="100"/>
      <c r="F3" s="100"/>
      <c r="G3" s="100"/>
      <c r="H3" s="85"/>
      <c r="J3" s="73" t="s">
        <v>60</v>
      </c>
      <c r="K3" s="100"/>
      <c r="L3" s="100"/>
      <c r="M3" s="100"/>
      <c r="N3" s="100"/>
      <c r="O3" s="100"/>
      <c r="P3" s="100"/>
      <c r="Q3" s="100"/>
      <c r="R3" s="100"/>
      <c r="S3" s="21" t="s">
        <v>93</v>
      </c>
      <c r="T3" s="22" t="s">
        <v>94</v>
      </c>
      <c r="U3" s="22" t="s">
        <v>95</v>
      </c>
      <c r="V3" s="22" t="s">
        <v>96</v>
      </c>
      <c r="W3" s="23" t="s">
        <v>97</v>
      </c>
    </row>
    <row r="4" spans="1:23" ht="20" customHeight="1" x14ac:dyDescent="0.3">
      <c r="A4" s="5"/>
      <c r="B4" s="96" t="s">
        <v>3</v>
      </c>
      <c r="C4" s="96"/>
      <c r="D4" s="97" t="s">
        <v>512</v>
      </c>
      <c r="E4" s="97"/>
      <c r="F4" s="98" t="s">
        <v>5</v>
      </c>
      <c r="G4" s="99" t="s">
        <v>206</v>
      </c>
      <c r="H4" s="86"/>
      <c r="J4" s="12" t="s">
        <v>61</v>
      </c>
      <c r="K4" s="104" t="s">
        <v>62</v>
      </c>
      <c r="L4" s="104"/>
      <c r="M4" s="104" t="s">
        <v>63</v>
      </c>
      <c r="N4" s="104"/>
      <c r="O4" s="104"/>
      <c r="P4" s="104" t="s">
        <v>64</v>
      </c>
      <c r="Q4" s="104"/>
      <c r="R4" s="104"/>
      <c r="S4" s="93" t="s">
        <v>98</v>
      </c>
      <c r="T4" s="94"/>
      <c r="U4" s="94"/>
      <c r="V4" s="94"/>
      <c r="W4" s="95"/>
    </row>
    <row r="5" spans="1:23" ht="16" customHeight="1" x14ac:dyDescent="0.35">
      <c r="A5" s="6"/>
      <c r="B5" s="77" t="s">
        <v>6</v>
      </c>
      <c r="C5" s="77"/>
      <c r="D5" s="78" t="s">
        <v>182</v>
      </c>
      <c r="E5" s="78"/>
      <c r="F5" s="3" t="s">
        <v>7</v>
      </c>
      <c r="G5" s="79" t="s">
        <v>218</v>
      </c>
      <c r="H5" s="80"/>
      <c r="J5" s="26"/>
      <c r="K5" s="74" t="s">
        <v>226</v>
      </c>
      <c r="L5" s="74"/>
      <c r="M5" s="75" t="s">
        <v>227</v>
      </c>
      <c r="N5" s="75"/>
      <c r="O5" s="75"/>
      <c r="P5" s="75" t="s">
        <v>228</v>
      </c>
      <c r="Q5" s="75"/>
      <c r="R5" s="76"/>
      <c r="S5"/>
      <c r="T5"/>
      <c r="U5"/>
      <c r="V5"/>
      <c r="W5"/>
    </row>
    <row r="6" spans="1:23" ht="16" customHeight="1" x14ac:dyDescent="0.35">
      <c r="A6" s="6"/>
      <c r="B6" s="77" t="s">
        <v>8</v>
      </c>
      <c r="C6" s="77"/>
      <c r="D6" s="90" t="s">
        <v>4</v>
      </c>
      <c r="E6" s="90"/>
      <c r="F6" s="3" t="s">
        <v>9</v>
      </c>
      <c r="G6" s="79" t="s">
        <v>185</v>
      </c>
      <c r="H6" s="80"/>
      <c r="J6" s="27"/>
      <c r="K6" s="31" t="s">
        <v>229</v>
      </c>
      <c r="L6" s="31"/>
      <c r="M6" s="32" t="s">
        <v>230</v>
      </c>
      <c r="N6" s="32"/>
      <c r="O6" s="32"/>
      <c r="P6" s="32" t="s">
        <v>231</v>
      </c>
      <c r="Q6" s="32"/>
      <c r="R6" s="33"/>
      <c r="S6"/>
      <c r="T6"/>
      <c r="U6"/>
      <c r="V6"/>
      <c r="W6"/>
    </row>
    <row r="7" spans="1:23" ht="16" customHeight="1" x14ac:dyDescent="0.35">
      <c r="A7" s="6"/>
      <c r="B7" s="77" t="s">
        <v>10</v>
      </c>
      <c r="C7" s="77"/>
      <c r="D7" s="78" t="s">
        <v>217</v>
      </c>
      <c r="E7" s="78"/>
      <c r="F7" s="3" t="s">
        <v>11</v>
      </c>
      <c r="G7" s="79">
        <v>44156</v>
      </c>
      <c r="H7" s="80"/>
      <c r="J7" s="28"/>
      <c r="K7" s="37" t="s">
        <v>232</v>
      </c>
      <c r="L7" s="37"/>
      <c r="M7" s="38" t="s">
        <v>233</v>
      </c>
      <c r="N7" s="38"/>
      <c r="O7" s="38"/>
      <c r="P7" s="38" t="s">
        <v>234</v>
      </c>
      <c r="Q7" s="38"/>
      <c r="R7" s="39"/>
      <c r="S7"/>
      <c r="T7"/>
      <c r="U7"/>
      <c r="V7"/>
      <c r="W7"/>
    </row>
    <row r="8" spans="1:23" ht="16" customHeight="1" x14ac:dyDescent="0.35">
      <c r="A8" s="6"/>
      <c r="B8" s="77" t="s">
        <v>12</v>
      </c>
      <c r="C8" s="77"/>
      <c r="D8" s="78" t="s">
        <v>216</v>
      </c>
      <c r="E8" s="78"/>
      <c r="F8" s="3" t="s">
        <v>13</v>
      </c>
      <c r="G8" s="79" t="s">
        <v>209</v>
      </c>
      <c r="H8" s="80"/>
      <c r="J8" s="27"/>
      <c r="K8" s="31" t="s">
        <v>235</v>
      </c>
      <c r="L8" s="31"/>
      <c r="M8" s="32" t="s">
        <v>236</v>
      </c>
      <c r="N8" s="32"/>
      <c r="O8" s="32"/>
      <c r="P8" s="32" t="s">
        <v>237</v>
      </c>
      <c r="Q8" s="32"/>
      <c r="R8" s="33"/>
      <c r="S8"/>
      <c r="T8"/>
      <c r="U8"/>
      <c r="V8"/>
      <c r="W8"/>
    </row>
    <row r="9" spans="1:23" ht="16" customHeight="1" x14ac:dyDescent="0.35">
      <c r="A9" s="6"/>
      <c r="B9" s="77" t="s">
        <v>14</v>
      </c>
      <c r="C9" s="77"/>
      <c r="D9" s="78" t="s">
        <v>513</v>
      </c>
      <c r="E9" s="78"/>
      <c r="F9" s="3" t="s">
        <v>15</v>
      </c>
      <c r="G9" s="88"/>
      <c r="H9" s="89"/>
      <c r="J9" s="28"/>
      <c r="K9" s="37" t="s">
        <v>238</v>
      </c>
      <c r="L9" s="37"/>
      <c r="M9" s="38" t="s">
        <v>239</v>
      </c>
      <c r="N9" s="38"/>
      <c r="O9" s="38"/>
      <c r="P9" s="38" t="s">
        <v>240</v>
      </c>
      <c r="Q9" s="38"/>
      <c r="R9" s="39"/>
      <c r="S9"/>
      <c r="T9"/>
      <c r="U9"/>
      <c r="V9"/>
      <c r="W9"/>
    </row>
    <row r="10" spans="1:23" ht="16" customHeight="1" x14ac:dyDescent="0.35">
      <c r="A10" s="7"/>
      <c r="B10" s="81" t="s">
        <v>16</v>
      </c>
      <c r="C10" s="81"/>
      <c r="D10" s="82" t="s">
        <v>202</v>
      </c>
      <c r="E10" s="82"/>
      <c r="F10" s="4" t="s">
        <v>17</v>
      </c>
      <c r="G10" s="83" t="b">
        <v>1</v>
      </c>
      <c r="H10" s="84"/>
      <c r="J10" s="27"/>
      <c r="K10" s="31" t="s">
        <v>241</v>
      </c>
      <c r="L10" s="31"/>
      <c r="M10" s="32" t="s">
        <v>242</v>
      </c>
      <c r="N10" s="32"/>
      <c r="O10" s="32"/>
      <c r="P10" s="32" t="s">
        <v>243</v>
      </c>
      <c r="Q10" s="32"/>
      <c r="R10" s="33"/>
      <c r="S10"/>
      <c r="T10"/>
      <c r="U10"/>
      <c r="V10"/>
      <c r="W10"/>
    </row>
    <row r="11" spans="1:23" ht="16" customHeight="1" x14ac:dyDescent="0.35">
      <c r="A11" s="8"/>
      <c r="B11" s="101"/>
      <c r="C11" s="101"/>
      <c r="D11" s="101"/>
      <c r="E11" s="101"/>
      <c r="F11" s="101"/>
      <c r="G11" s="101"/>
      <c r="H11" s="9"/>
      <c r="J11" s="29"/>
      <c r="K11" s="34" t="s">
        <v>244</v>
      </c>
      <c r="L11" s="34"/>
      <c r="M11" s="35" t="s">
        <v>245</v>
      </c>
      <c r="N11" s="35"/>
      <c r="O11" s="35"/>
      <c r="P11" s="35" t="s">
        <v>246</v>
      </c>
      <c r="Q11" s="35"/>
      <c r="R11" s="36"/>
      <c r="S11"/>
      <c r="T11"/>
      <c r="U11"/>
      <c r="V11"/>
      <c r="W11"/>
    </row>
    <row r="12" spans="1:23" ht="18" customHeight="1" x14ac:dyDescent="0.35">
      <c r="A12" s="40" t="s">
        <v>18</v>
      </c>
      <c r="B12" s="102"/>
      <c r="C12" s="102"/>
      <c r="D12" s="102"/>
      <c r="E12" s="102"/>
      <c r="F12" s="102"/>
      <c r="G12" s="102"/>
      <c r="H12" s="41"/>
      <c r="S12"/>
      <c r="T12"/>
      <c r="U12"/>
      <c r="V12"/>
      <c r="W12"/>
    </row>
    <row r="13" spans="1:23" ht="17" customHeight="1" x14ac:dyDescent="0.35">
      <c r="A13" s="5"/>
      <c r="B13" s="96" t="s">
        <v>19</v>
      </c>
      <c r="C13" s="96"/>
      <c r="D13" s="97" t="s">
        <v>514</v>
      </c>
      <c r="E13" s="97"/>
      <c r="F13" s="98" t="s">
        <v>20</v>
      </c>
      <c r="G13" s="99" t="s">
        <v>515</v>
      </c>
      <c r="H13" s="86"/>
      <c r="S13"/>
      <c r="T13"/>
      <c r="U13"/>
      <c r="V13"/>
      <c r="W13"/>
    </row>
    <row r="14" spans="1:23" ht="17" customHeight="1" x14ac:dyDescent="0.35">
      <c r="A14" s="6"/>
      <c r="B14" s="77" t="s">
        <v>21</v>
      </c>
      <c r="C14" s="77"/>
      <c r="D14" s="78" t="s">
        <v>516</v>
      </c>
      <c r="E14" s="78"/>
      <c r="F14" s="3" t="s">
        <v>22</v>
      </c>
      <c r="G14" s="79" t="s">
        <v>517</v>
      </c>
      <c r="H14" s="80"/>
      <c r="S14"/>
      <c r="T14"/>
      <c r="U14"/>
      <c r="V14"/>
      <c r="W14"/>
    </row>
    <row r="15" spans="1:23" ht="17" customHeight="1" x14ac:dyDescent="0.35">
      <c r="A15" s="6"/>
      <c r="B15" s="77" t="s">
        <v>23</v>
      </c>
      <c r="C15" s="77"/>
      <c r="D15" s="78" t="s">
        <v>199</v>
      </c>
      <c r="E15" s="78"/>
      <c r="F15" s="3" t="s">
        <v>24</v>
      </c>
      <c r="G15" s="79" t="s">
        <v>200</v>
      </c>
      <c r="H15" s="80"/>
      <c r="S15"/>
      <c r="T15"/>
      <c r="U15"/>
      <c r="V15"/>
      <c r="W15"/>
    </row>
    <row r="16" spans="1:23" ht="17" customHeight="1" x14ac:dyDescent="0.35">
      <c r="A16" s="7"/>
      <c r="B16" s="81" t="s">
        <v>25</v>
      </c>
      <c r="C16" s="81"/>
      <c r="D16" s="82" t="s">
        <v>518</v>
      </c>
      <c r="E16" s="82"/>
      <c r="F16" s="4" t="s">
        <v>26</v>
      </c>
      <c r="G16" s="83" t="s">
        <v>218</v>
      </c>
      <c r="H16" s="84"/>
      <c r="S16"/>
      <c r="T16"/>
      <c r="U16"/>
      <c r="V16"/>
      <c r="W16"/>
    </row>
    <row r="17" spans="1:23" ht="7" customHeight="1" x14ac:dyDescent="0.35">
      <c r="A17" s="8"/>
      <c r="B17" s="101"/>
      <c r="C17" s="101"/>
      <c r="D17" s="101"/>
      <c r="E17" s="101"/>
      <c r="F17" s="101"/>
      <c r="G17" s="101"/>
      <c r="H17" s="9"/>
      <c r="S17"/>
      <c r="T17"/>
      <c r="U17"/>
      <c r="V17"/>
      <c r="W17"/>
    </row>
    <row r="18" spans="1:23" ht="18" customHeight="1" x14ac:dyDescent="0.35">
      <c r="A18" s="40" t="s">
        <v>27</v>
      </c>
      <c r="B18" s="102"/>
      <c r="C18" s="102"/>
      <c r="D18" s="102"/>
      <c r="E18" s="102"/>
      <c r="F18" s="102"/>
      <c r="G18" s="102"/>
      <c r="H18" s="41"/>
      <c r="J18" s="64" t="s">
        <v>65</v>
      </c>
      <c r="K18" s="64"/>
      <c r="L18" s="64"/>
      <c r="M18" s="64"/>
      <c r="N18" s="64"/>
      <c r="O18" s="64"/>
      <c r="P18" s="64"/>
      <c r="Q18" s="64"/>
      <c r="R18" s="64"/>
      <c r="S18"/>
      <c r="T18"/>
      <c r="U18"/>
      <c r="V18"/>
      <c r="W18"/>
    </row>
    <row r="19" spans="1:23" ht="14" customHeight="1" x14ac:dyDescent="0.35">
      <c r="A19" s="5"/>
      <c r="B19" s="96" t="s">
        <v>28</v>
      </c>
      <c r="C19" s="96"/>
      <c r="D19" s="97" t="s">
        <v>519</v>
      </c>
      <c r="E19" s="97"/>
      <c r="F19" s="98" t="s">
        <v>29</v>
      </c>
      <c r="G19" s="99" t="s">
        <v>201</v>
      </c>
      <c r="H19" s="86"/>
      <c r="J19" s="103" t="s">
        <v>66</v>
      </c>
      <c r="K19" s="104" t="s">
        <v>67</v>
      </c>
      <c r="L19" s="104"/>
      <c r="M19" s="104" t="s">
        <v>68</v>
      </c>
      <c r="N19" s="104"/>
      <c r="O19" s="104"/>
      <c r="P19" s="103" t="s">
        <v>69</v>
      </c>
      <c r="Q19" s="104" t="s">
        <v>70</v>
      </c>
      <c r="R19" s="104"/>
      <c r="S19"/>
      <c r="T19"/>
      <c r="U19"/>
      <c r="V19"/>
      <c r="W19"/>
    </row>
    <row r="20" spans="1:23" ht="18" customHeight="1" x14ac:dyDescent="0.35">
      <c r="A20" s="6"/>
      <c r="B20" s="77" t="s">
        <v>30</v>
      </c>
      <c r="C20" s="77"/>
      <c r="D20" s="78" t="s">
        <v>520</v>
      </c>
      <c r="E20" s="78"/>
      <c r="F20" s="3" t="s">
        <v>31</v>
      </c>
      <c r="G20" s="87">
        <v>46111</v>
      </c>
      <c r="H20" s="80"/>
      <c r="J20" s="15" t="s">
        <v>71</v>
      </c>
      <c r="K20" s="65" t="s">
        <v>72</v>
      </c>
      <c r="L20" s="65"/>
      <c r="M20" s="66" t="s">
        <v>73</v>
      </c>
      <c r="N20" s="66"/>
      <c r="O20" s="66"/>
      <c r="P20" s="13">
        <v>1</v>
      </c>
      <c r="Q20" s="67" t="s">
        <v>74</v>
      </c>
      <c r="R20" s="68"/>
      <c r="S20"/>
      <c r="T20"/>
      <c r="U20"/>
      <c r="V20"/>
      <c r="W20"/>
    </row>
    <row r="21" spans="1:23" ht="18" customHeight="1" x14ac:dyDescent="0.35">
      <c r="A21" s="6"/>
      <c r="B21" s="77" t="s">
        <v>32</v>
      </c>
      <c r="C21" s="77"/>
      <c r="D21" s="78" t="s">
        <v>521</v>
      </c>
      <c r="E21" s="78"/>
      <c r="F21" s="3" t="s">
        <v>33</v>
      </c>
      <c r="G21" s="79">
        <v>0.560118</v>
      </c>
      <c r="H21" s="80"/>
      <c r="J21" s="16" t="s">
        <v>71</v>
      </c>
      <c r="K21" s="56" t="s">
        <v>75</v>
      </c>
      <c r="L21" s="56"/>
      <c r="M21" s="57" t="s">
        <v>76</v>
      </c>
      <c r="N21" s="57"/>
      <c r="O21" s="57"/>
      <c r="P21" s="14">
        <v>7</v>
      </c>
      <c r="Q21" s="58" t="s">
        <v>77</v>
      </c>
      <c r="R21" s="59"/>
      <c r="S21"/>
      <c r="T21"/>
      <c r="U21"/>
      <c r="V21"/>
      <c r="W21"/>
    </row>
    <row r="22" spans="1:23" ht="18" customHeight="1" x14ac:dyDescent="0.35">
      <c r="A22" s="6"/>
      <c r="B22" s="77" t="s">
        <v>34</v>
      </c>
      <c r="C22" s="77"/>
      <c r="D22" s="78" t="s">
        <v>522</v>
      </c>
      <c r="E22" s="78"/>
      <c r="F22" s="3" t="s">
        <v>35</v>
      </c>
      <c r="G22" s="79">
        <v>0.25</v>
      </c>
      <c r="H22" s="80"/>
      <c r="J22" s="16" t="s">
        <v>71</v>
      </c>
      <c r="K22" s="56" t="s">
        <v>78</v>
      </c>
      <c r="L22" s="56"/>
      <c r="M22" s="57" t="s">
        <v>79</v>
      </c>
      <c r="N22" s="57"/>
      <c r="O22" s="57"/>
      <c r="P22" s="14">
        <v>159</v>
      </c>
      <c r="Q22" s="58" t="s">
        <v>80</v>
      </c>
      <c r="R22" s="59"/>
      <c r="S22"/>
      <c r="T22"/>
      <c r="U22"/>
      <c r="V22"/>
      <c r="W22"/>
    </row>
    <row r="23" spans="1:23" ht="18" customHeight="1" x14ac:dyDescent="0.35">
      <c r="A23" s="7"/>
      <c r="B23" s="81" t="s">
        <v>36</v>
      </c>
      <c r="C23" s="81"/>
      <c r="D23" s="82" t="s">
        <v>197</v>
      </c>
      <c r="E23" s="82"/>
      <c r="F23" s="4" t="s">
        <v>37</v>
      </c>
      <c r="G23" s="83" t="s">
        <v>196</v>
      </c>
      <c r="H23" s="84"/>
      <c r="J23" s="16" t="s">
        <v>71</v>
      </c>
      <c r="K23" s="56" t="s">
        <v>81</v>
      </c>
      <c r="L23" s="56"/>
      <c r="M23" s="57" t="s">
        <v>82</v>
      </c>
      <c r="N23" s="57"/>
      <c r="O23" s="57"/>
      <c r="P23" s="14">
        <v>21</v>
      </c>
      <c r="Q23" s="58" t="s">
        <v>83</v>
      </c>
      <c r="R23" s="59"/>
      <c r="S23"/>
      <c r="T23"/>
      <c r="U23"/>
      <c r="V23"/>
      <c r="W23"/>
    </row>
    <row r="24" spans="1:23" ht="18" customHeight="1" x14ac:dyDescent="0.35">
      <c r="A24" s="8"/>
      <c r="B24" s="101"/>
      <c r="C24" s="101"/>
      <c r="D24" s="101"/>
      <c r="E24" s="101"/>
      <c r="F24" s="101"/>
      <c r="G24" s="101"/>
      <c r="H24" s="9"/>
      <c r="J24" s="17" t="s">
        <v>71</v>
      </c>
      <c r="K24" s="60" t="s">
        <v>84</v>
      </c>
      <c r="L24" s="60"/>
      <c r="M24" s="61" t="s">
        <v>85</v>
      </c>
      <c r="N24" s="61"/>
      <c r="O24" s="61"/>
      <c r="P24" s="18">
        <v>141</v>
      </c>
      <c r="Q24" s="62" t="s">
        <v>86</v>
      </c>
      <c r="R24" s="63"/>
      <c r="S24"/>
      <c r="T24"/>
      <c r="U24"/>
      <c r="V24"/>
      <c r="W24"/>
    </row>
    <row r="25" spans="1:23" ht="18" customHeight="1" x14ac:dyDescent="0.35">
      <c r="A25" s="73" t="s">
        <v>38</v>
      </c>
      <c r="B25" s="100"/>
      <c r="C25" s="100"/>
      <c r="D25" s="100"/>
      <c r="E25" s="100"/>
      <c r="F25" s="100"/>
      <c r="G25" s="100"/>
      <c r="H25" s="85"/>
      <c r="S25"/>
      <c r="T25"/>
      <c r="U25"/>
      <c r="V25"/>
      <c r="W25"/>
    </row>
    <row r="26" spans="1:23" ht="20" customHeight="1" x14ac:dyDescent="0.35">
      <c r="A26" s="5"/>
      <c r="B26" s="96" t="s">
        <v>39</v>
      </c>
      <c r="C26" s="96"/>
      <c r="D26" s="97" t="s">
        <v>211</v>
      </c>
      <c r="E26" s="97"/>
      <c r="F26" s="98" t="s">
        <v>40</v>
      </c>
      <c r="G26" s="99" t="s">
        <v>197</v>
      </c>
      <c r="H26" s="86"/>
      <c r="J26" s="40" t="s">
        <v>87</v>
      </c>
      <c r="K26" s="102"/>
      <c r="L26" s="102"/>
      <c r="M26" s="102"/>
      <c r="N26" s="102"/>
      <c r="O26" s="102"/>
      <c r="P26" s="102"/>
      <c r="Q26" s="102"/>
      <c r="R26" s="41"/>
      <c r="S26"/>
      <c r="T26"/>
      <c r="U26"/>
      <c r="V26"/>
      <c r="W26"/>
    </row>
    <row r="27" spans="1:23" ht="12" customHeight="1" x14ac:dyDescent="0.35">
      <c r="A27" s="6"/>
      <c r="B27" s="77" t="s">
        <v>41</v>
      </c>
      <c r="C27" s="77"/>
      <c r="D27" s="78" t="s">
        <v>192</v>
      </c>
      <c r="E27" s="78"/>
      <c r="F27" s="3" t="s">
        <v>42</v>
      </c>
      <c r="G27" s="79" t="s">
        <v>197</v>
      </c>
      <c r="H27" s="80"/>
      <c r="J27" s="12" t="s">
        <v>88</v>
      </c>
      <c r="K27" s="104" t="s">
        <v>89</v>
      </c>
      <c r="L27" s="104"/>
      <c r="M27" s="104"/>
      <c r="N27" s="104"/>
      <c r="O27" s="104"/>
      <c r="P27" s="104"/>
      <c r="Q27" s="104"/>
      <c r="R27" s="42"/>
      <c r="S27"/>
      <c r="T27"/>
      <c r="U27"/>
      <c r="V27"/>
      <c r="W27"/>
    </row>
    <row r="28" spans="1:23" ht="22" customHeight="1" x14ac:dyDescent="0.35">
      <c r="A28" s="6"/>
      <c r="B28" s="77" t="s">
        <v>43</v>
      </c>
      <c r="C28" s="77"/>
      <c r="D28" s="78" t="s">
        <v>205</v>
      </c>
      <c r="E28" s="78"/>
      <c r="F28" s="3" t="s">
        <v>44</v>
      </c>
      <c r="G28" s="79" t="s">
        <v>186</v>
      </c>
      <c r="H28" s="80"/>
      <c r="J28" s="19" t="s">
        <v>90</v>
      </c>
      <c r="K28" s="43"/>
      <c r="L28" s="43"/>
      <c r="M28" s="43"/>
      <c r="N28" s="43"/>
      <c r="O28" s="43"/>
      <c r="P28" s="43"/>
      <c r="Q28" s="43"/>
      <c r="R28" s="44"/>
      <c r="S28"/>
      <c r="T28"/>
      <c r="U28"/>
      <c r="V28"/>
      <c r="W28"/>
    </row>
    <row r="29" spans="1:23" ht="22" customHeight="1" x14ac:dyDescent="0.35">
      <c r="A29" s="7"/>
      <c r="B29" s="81" t="s">
        <v>45</v>
      </c>
      <c r="C29" s="81"/>
      <c r="D29" s="82" t="s">
        <v>523</v>
      </c>
      <c r="E29" s="82"/>
      <c r="F29" s="4" t="s">
        <v>46</v>
      </c>
      <c r="G29" s="83" t="s">
        <v>197</v>
      </c>
      <c r="H29" s="84"/>
      <c r="J29" s="20" t="s">
        <v>91</v>
      </c>
      <c r="K29" s="45"/>
      <c r="L29" s="45"/>
      <c r="M29" s="45"/>
      <c r="N29" s="45"/>
      <c r="O29" s="45"/>
      <c r="P29" s="45"/>
      <c r="Q29" s="45"/>
      <c r="R29" s="46"/>
      <c r="S29"/>
      <c r="T29"/>
      <c r="U29"/>
      <c r="V29"/>
      <c r="W29"/>
    </row>
    <row r="30" spans="1:23" ht="7" customHeight="1" x14ac:dyDescent="0.35">
      <c r="A30" s="8"/>
      <c r="B30" s="101"/>
      <c r="C30" s="101"/>
      <c r="D30" s="101"/>
      <c r="E30" s="101"/>
      <c r="F30" s="101"/>
      <c r="G30" s="101"/>
      <c r="H30" s="9"/>
      <c r="S30"/>
      <c r="T30"/>
      <c r="U30"/>
      <c r="V30"/>
      <c r="W30"/>
    </row>
    <row r="31" spans="1:23" ht="18" customHeight="1" x14ac:dyDescent="0.35">
      <c r="A31" s="73" t="s">
        <v>47</v>
      </c>
      <c r="B31" s="100"/>
      <c r="C31" s="100"/>
      <c r="D31" s="100"/>
      <c r="E31" s="100"/>
      <c r="F31" s="100"/>
      <c r="G31" s="100"/>
      <c r="H31" s="85"/>
      <c r="J31" s="47" t="s">
        <v>92</v>
      </c>
      <c r="K31" s="47"/>
      <c r="L31" s="47"/>
      <c r="M31" s="47"/>
      <c r="N31" s="47"/>
      <c r="O31" s="47"/>
      <c r="P31" s="47"/>
      <c r="Q31" s="47"/>
      <c r="R31" s="47"/>
      <c r="S31"/>
      <c r="T31"/>
      <c r="U31"/>
      <c r="V31"/>
      <c r="W31"/>
    </row>
    <row r="32" spans="1:23" ht="16" customHeight="1" x14ac:dyDescent="0.35">
      <c r="A32" s="5"/>
      <c r="B32" s="96" t="s">
        <v>48</v>
      </c>
      <c r="C32" s="96"/>
      <c r="D32" s="97" t="s">
        <v>189</v>
      </c>
      <c r="E32" s="97"/>
      <c r="F32" s="98" t="s">
        <v>49</v>
      </c>
      <c r="G32" s="99">
        <v>7808867557</v>
      </c>
      <c r="H32" s="86"/>
      <c r="J32" s="48"/>
      <c r="K32" s="49"/>
      <c r="L32" s="49"/>
      <c r="M32" s="49"/>
      <c r="N32" s="49"/>
      <c r="O32" s="49"/>
      <c r="P32" s="49"/>
      <c r="Q32" s="49"/>
      <c r="R32" s="50"/>
      <c r="S32"/>
      <c r="T32"/>
      <c r="U32"/>
      <c r="V32"/>
      <c r="W32"/>
    </row>
    <row r="33" spans="1:23" ht="16" customHeight="1" x14ac:dyDescent="0.35">
      <c r="A33" s="6"/>
      <c r="B33" s="77" t="s">
        <v>50</v>
      </c>
      <c r="C33" s="77"/>
      <c r="D33" s="78" t="s">
        <v>214</v>
      </c>
      <c r="E33" s="78"/>
      <c r="F33" s="3" t="s">
        <v>51</v>
      </c>
      <c r="G33" s="79">
        <v>7808867557</v>
      </c>
      <c r="H33" s="80"/>
      <c r="J33" s="51"/>
      <c r="K33" s="105"/>
      <c r="L33" s="105"/>
      <c r="M33" s="105"/>
      <c r="N33" s="105"/>
      <c r="O33" s="105"/>
      <c r="P33" s="105"/>
      <c r="Q33" s="105"/>
      <c r="R33" s="52"/>
      <c r="S33"/>
      <c r="T33"/>
      <c r="U33"/>
      <c r="V33"/>
      <c r="W33"/>
    </row>
    <row r="34" spans="1:23" ht="16" customHeight="1" x14ac:dyDescent="0.35">
      <c r="A34" s="6"/>
      <c r="B34" s="77" t="s">
        <v>52</v>
      </c>
      <c r="C34" s="77"/>
      <c r="D34" s="78" t="s">
        <v>198</v>
      </c>
      <c r="E34" s="78"/>
      <c r="F34" s="3" t="s">
        <v>53</v>
      </c>
      <c r="G34" s="79">
        <v>4037673576</v>
      </c>
      <c r="H34" s="80"/>
      <c r="J34" s="51"/>
      <c r="K34" s="105"/>
      <c r="L34" s="105"/>
      <c r="M34" s="105"/>
      <c r="N34" s="105"/>
      <c r="O34" s="105"/>
      <c r="P34" s="105"/>
      <c r="Q34" s="105"/>
      <c r="R34" s="52"/>
      <c r="S34"/>
      <c r="T34"/>
      <c r="U34"/>
      <c r="V34"/>
      <c r="W34"/>
    </row>
    <row r="35" spans="1:23" ht="16" customHeight="1" x14ac:dyDescent="0.35">
      <c r="A35" s="6"/>
      <c r="B35" s="77" t="s">
        <v>54</v>
      </c>
      <c r="C35" s="77"/>
      <c r="D35" s="78" t="s">
        <v>193</v>
      </c>
      <c r="E35" s="78"/>
      <c r="F35" s="3" t="s">
        <v>55</v>
      </c>
      <c r="G35" s="79" t="s">
        <v>194</v>
      </c>
      <c r="H35" s="80"/>
      <c r="J35" s="51"/>
      <c r="K35" s="105"/>
      <c r="L35" s="105"/>
      <c r="M35" s="105"/>
      <c r="N35" s="105"/>
      <c r="O35" s="105"/>
      <c r="P35" s="105"/>
      <c r="Q35" s="105"/>
      <c r="R35" s="52"/>
      <c r="S35"/>
      <c r="T35"/>
      <c r="U35"/>
      <c r="V35"/>
      <c r="W35"/>
    </row>
    <row r="36" spans="1:23" ht="16" customHeight="1" x14ac:dyDescent="0.35">
      <c r="A36" s="6"/>
      <c r="B36" s="77" t="s">
        <v>56</v>
      </c>
      <c r="C36" s="77"/>
      <c r="D36" s="78" t="s">
        <v>203</v>
      </c>
      <c r="E36" s="78"/>
      <c r="F36" s="3" t="s">
        <v>57</v>
      </c>
      <c r="G36" s="79" t="s">
        <v>204</v>
      </c>
      <c r="H36" s="80"/>
      <c r="J36" s="51"/>
      <c r="K36" s="105"/>
      <c r="L36" s="105"/>
      <c r="M36" s="105"/>
      <c r="N36" s="105"/>
      <c r="O36" s="105"/>
      <c r="P36" s="105"/>
      <c r="Q36" s="105"/>
      <c r="R36" s="52"/>
      <c r="S36"/>
      <c r="T36"/>
      <c r="U36"/>
      <c r="V36"/>
      <c r="W36"/>
    </row>
    <row r="37" spans="1:23" ht="16" customHeight="1" x14ac:dyDescent="0.35">
      <c r="A37" s="10"/>
      <c r="B37" s="69" t="s">
        <v>58</v>
      </c>
      <c r="C37" s="69"/>
      <c r="D37" s="70" t="s">
        <v>212</v>
      </c>
      <c r="E37" s="70"/>
      <c r="F37" s="11" t="s">
        <v>59</v>
      </c>
      <c r="G37" s="71" t="s">
        <v>213</v>
      </c>
      <c r="H37" s="72"/>
      <c r="J37" s="53"/>
      <c r="K37" s="54"/>
      <c r="L37" s="54"/>
      <c r="M37" s="54"/>
      <c r="N37" s="54"/>
      <c r="O37" s="54"/>
      <c r="P37" s="54"/>
      <c r="Q37" s="54"/>
      <c r="R37" s="55"/>
      <c r="S37"/>
      <c r="T37"/>
      <c r="U37"/>
      <c r="V37"/>
      <c r="W37"/>
    </row>
    <row r="38" spans="1:23" ht="16" customHeight="1" x14ac:dyDescent="0.35">
      <c r="S38"/>
      <c r="T38"/>
      <c r="U38"/>
      <c r="V38"/>
      <c r="W38"/>
    </row>
    <row r="39" spans="1:23" ht="16" customHeight="1" x14ac:dyDescent="0.35">
      <c r="S39"/>
      <c r="T39"/>
      <c r="U39"/>
      <c r="V39"/>
      <c r="W39"/>
    </row>
    <row r="40" spans="1:23" ht="16" customHeight="1" x14ac:dyDescent="0.35">
      <c r="S40"/>
      <c r="T40"/>
      <c r="U40"/>
      <c r="V40"/>
      <c r="W40"/>
    </row>
    <row r="41" spans="1:23" ht="16" customHeight="1" x14ac:dyDescent="0.35">
      <c r="S41"/>
      <c r="T41"/>
      <c r="U41"/>
      <c r="V41"/>
      <c r="W41"/>
    </row>
    <row r="42" spans="1:23" ht="16" customHeight="1" x14ac:dyDescent="0.35">
      <c r="S42"/>
      <c r="T42"/>
      <c r="U42"/>
      <c r="V42"/>
      <c r="W42"/>
    </row>
    <row r="43" spans="1:23" ht="16" customHeight="1" x14ac:dyDescent="0.35">
      <c r="S43"/>
      <c r="T43"/>
      <c r="U43"/>
      <c r="V43"/>
      <c r="W43"/>
    </row>
    <row r="44" spans="1:23" ht="16" customHeight="1" x14ac:dyDescent="0.35">
      <c r="S44"/>
      <c r="T44"/>
      <c r="U44"/>
      <c r="V44"/>
      <c r="W44"/>
    </row>
    <row r="45" spans="1:23" ht="16" customHeight="1" x14ac:dyDescent="0.35">
      <c r="S45"/>
      <c r="T45"/>
      <c r="U45"/>
      <c r="V45"/>
      <c r="W45"/>
    </row>
    <row r="46" spans="1:23" ht="16" customHeight="1" x14ac:dyDescent="0.35">
      <c r="S46"/>
      <c r="T46"/>
      <c r="U46"/>
      <c r="V46"/>
      <c r="W46"/>
    </row>
    <row r="47" spans="1:23" ht="16" customHeight="1" x14ac:dyDescent="0.35">
      <c r="S47"/>
      <c r="T47"/>
      <c r="U47"/>
      <c r="V47"/>
      <c r="W47"/>
    </row>
    <row r="48" spans="1:23" ht="16" customHeight="1" x14ac:dyDescent="0.35">
      <c r="S48"/>
      <c r="T48"/>
      <c r="U48"/>
      <c r="V48"/>
      <c r="W48"/>
    </row>
    <row r="49" spans="19:23" ht="16" customHeight="1" x14ac:dyDescent="0.35">
      <c r="S49"/>
      <c r="T49"/>
      <c r="U49"/>
      <c r="V49"/>
      <c r="W49"/>
    </row>
    <row r="50" spans="19:23" ht="16" customHeight="1" x14ac:dyDescent="0.35">
      <c r="S50"/>
      <c r="T50"/>
      <c r="U50"/>
      <c r="V50"/>
      <c r="W50"/>
    </row>
    <row r="51" spans="19:23" ht="16" customHeight="1" x14ac:dyDescent="0.35">
      <c r="S51"/>
      <c r="T51"/>
      <c r="U51"/>
      <c r="V51"/>
      <c r="W51"/>
    </row>
    <row r="52" spans="19:23" ht="16" customHeight="1" x14ac:dyDescent="0.35">
      <c r="S52"/>
      <c r="T52"/>
      <c r="U52"/>
      <c r="V52"/>
      <c r="W52"/>
    </row>
    <row r="53" spans="19:23" ht="16" customHeight="1" x14ac:dyDescent="0.35">
      <c r="S53"/>
      <c r="T53"/>
      <c r="U53"/>
      <c r="V53"/>
      <c r="W53"/>
    </row>
    <row r="54" spans="19:23" ht="16" customHeight="1" x14ac:dyDescent="0.35">
      <c r="S54"/>
      <c r="T54"/>
      <c r="U54"/>
      <c r="V54"/>
      <c r="W54"/>
    </row>
    <row r="55" spans="19:23" ht="16" customHeight="1" x14ac:dyDescent="0.35">
      <c r="S55"/>
      <c r="T55"/>
      <c r="U55"/>
      <c r="V55"/>
      <c r="W55"/>
    </row>
    <row r="56" spans="19:23" ht="16" customHeight="1" x14ac:dyDescent="0.35">
      <c r="S56"/>
      <c r="T56"/>
      <c r="U56"/>
      <c r="V56"/>
      <c r="W56"/>
    </row>
    <row r="57" spans="19:23" ht="16" customHeight="1" x14ac:dyDescent="0.35">
      <c r="S57"/>
      <c r="T57"/>
      <c r="U57"/>
      <c r="V57"/>
      <c r="W57"/>
    </row>
    <row r="58" spans="19:23" ht="16" customHeight="1" x14ac:dyDescent="0.35">
      <c r="S58"/>
      <c r="T58"/>
      <c r="U58"/>
      <c r="V58"/>
      <c r="W58"/>
    </row>
    <row r="59" spans="19:23" ht="16" customHeight="1" x14ac:dyDescent="0.35">
      <c r="S59"/>
      <c r="T59"/>
      <c r="U59"/>
      <c r="V59"/>
      <c r="W59"/>
    </row>
    <row r="60" spans="19:23" ht="16" customHeight="1" x14ac:dyDescent="0.35">
      <c r="S60"/>
      <c r="T60"/>
      <c r="U60"/>
      <c r="V60"/>
      <c r="W60"/>
    </row>
    <row r="61" spans="19:23" ht="16" customHeight="1" x14ac:dyDescent="0.35">
      <c r="S61"/>
      <c r="T61"/>
      <c r="U61"/>
      <c r="V61"/>
      <c r="W61"/>
    </row>
    <row r="62" spans="19:23" ht="16" customHeight="1" x14ac:dyDescent="0.35">
      <c r="S62"/>
      <c r="T62"/>
      <c r="U62"/>
      <c r="V62"/>
      <c r="W62"/>
    </row>
    <row r="63" spans="19:23" ht="16" customHeight="1" x14ac:dyDescent="0.35">
      <c r="S63"/>
      <c r="T63"/>
      <c r="U63"/>
      <c r="V63"/>
      <c r="W63"/>
    </row>
    <row r="64" spans="19:23" ht="16" customHeight="1" x14ac:dyDescent="0.35">
      <c r="S64"/>
      <c r="T64"/>
      <c r="U64"/>
      <c r="V64"/>
      <c r="W64"/>
    </row>
    <row r="65" spans="19:23" ht="16" customHeight="1" x14ac:dyDescent="0.35">
      <c r="S65"/>
      <c r="T65"/>
      <c r="U65"/>
      <c r="V65"/>
      <c r="W65"/>
    </row>
    <row r="66" spans="19:23" ht="16" customHeight="1" x14ac:dyDescent="0.35">
      <c r="S66"/>
      <c r="T66"/>
      <c r="U66"/>
      <c r="V66"/>
      <c r="W66"/>
    </row>
    <row r="67" spans="19:23" ht="16" customHeight="1" x14ac:dyDescent="0.35">
      <c r="S67"/>
      <c r="T67"/>
      <c r="U67"/>
      <c r="V67"/>
      <c r="W67"/>
    </row>
    <row r="68" spans="19:23" ht="16" customHeight="1" x14ac:dyDescent="0.35">
      <c r="S68"/>
      <c r="T68"/>
      <c r="U68"/>
      <c r="V68"/>
      <c r="W68"/>
    </row>
    <row r="69" spans="19:23" ht="16" customHeight="1" x14ac:dyDescent="0.35">
      <c r="S69"/>
      <c r="T69"/>
      <c r="U69"/>
      <c r="V69"/>
      <c r="W69"/>
    </row>
    <row r="70" spans="19:23" ht="16" customHeight="1" x14ac:dyDescent="0.35">
      <c r="S70"/>
      <c r="T70"/>
      <c r="U70"/>
      <c r="V70"/>
      <c r="W70"/>
    </row>
    <row r="71" spans="19:23" ht="16" customHeight="1" x14ac:dyDescent="0.35">
      <c r="S71"/>
      <c r="T71"/>
      <c r="U71"/>
      <c r="V71"/>
      <c r="W71"/>
    </row>
    <row r="72" spans="19:23" ht="16" customHeight="1" x14ac:dyDescent="0.35">
      <c r="S72"/>
      <c r="T72"/>
      <c r="U72"/>
      <c r="V72"/>
      <c r="W72"/>
    </row>
    <row r="73" spans="19:23" ht="16" customHeight="1" x14ac:dyDescent="0.35">
      <c r="S73"/>
      <c r="T73"/>
      <c r="U73"/>
      <c r="V73"/>
      <c r="W73"/>
    </row>
    <row r="74" spans="19:23" ht="16" customHeight="1" x14ac:dyDescent="0.35">
      <c r="S74"/>
      <c r="T74"/>
      <c r="U74"/>
      <c r="V74"/>
      <c r="W74"/>
    </row>
    <row r="75" spans="19:23" ht="16" customHeight="1" x14ac:dyDescent="0.35">
      <c r="S75"/>
      <c r="T75"/>
      <c r="U75"/>
      <c r="V75"/>
      <c r="W75"/>
    </row>
    <row r="76" spans="19:23" ht="16" customHeight="1" x14ac:dyDescent="0.35">
      <c r="S76"/>
      <c r="T76"/>
      <c r="U76"/>
      <c r="V76"/>
      <c r="W76"/>
    </row>
    <row r="77" spans="19:23" ht="16" customHeight="1" x14ac:dyDescent="0.35">
      <c r="S77"/>
      <c r="T77"/>
      <c r="U77"/>
      <c r="V77"/>
      <c r="W77"/>
    </row>
    <row r="78" spans="19:23" ht="16" customHeight="1" x14ac:dyDescent="0.35">
      <c r="S78"/>
      <c r="T78"/>
      <c r="U78"/>
      <c r="V78"/>
      <c r="W78"/>
    </row>
    <row r="79" spans="19:23" ht="16" customHeight="1" x14ac:dyDescent="0.35">
      <c r="S79"/>
      <c r="T79"/>
      <c r="U79"/>
      <c r="V79"/>
      <c r="W79"/>
    </row>
    <row r="80" spans="19:23" ht="16" customHeight="1" x14ac:dyDescent="0.35">
      <c r="S80"/>
      <c r="T80"/>
      <c r="U80"/>
      <c r="V80"/>
      <c r="W80"/>
    </row>
    <row r="81" spans="19:23" ht="16" customHeight="1" x14ac:dyDescent="0.35">
      <c r="S81"/>
      <c r="T81"/>
      <c r="U81"/>
      <c r="V81"/>
      <c r="W81"/>
    </row>
    <row r="82" spans="19:23" ht="16" customHeight="1" x14ac:dyDescent="0.35">
      <c r="S82"/>
      <c r="T82"/>
      <c r="U82"/>
      <c r="V82"/>
      <c r="W82"/>
    </row>
    <row r="83" spans="19:23" ht="16" customHeight="1" x14ac:dyDescent="0.35">
      <c r="S83"/>
      <c r="T83"/>
      <c r="U83"/>
      <c r="V83"/>
      <c r="W83"/>
    </row>
    <row r="84" spans="19:23" ht="16" customHeight="1" x14ac:dyDescent="0.35">
      <c r="S84"/>
      <c r="T84"/>
      <c r="U84"/>
      <c r="V84"/>
      <c r="W84"/>
    </row>
    <row r="85" spans="19:23" ht="16" customHeight="1" x14ac:dyDescent="0.35">
      <c r="S85"/>
      <c r="T85"/>
      <c r="U85"/>
      <c r="V85"/>
      <c r="W85"/>
    </row>
    <row r="86" spans="19:23" ht="16" customHeight="1" x14ac:dyDescent="0.35">
      <c r="S86"/>
      <c r="T86"/>
      <c r="U86"/>
      <c r="V86"/>
      <c r="W86"/>
    </row>
    <row r="87" spans="19:23" ht="16" customHeight="1" x14ac:dyDescent="0.35">
      <c r="S87"/>
      <c r="T87"/>
      <c r="U87"/>
      <c r="V87"/>
      <c r="W87"/>
    </row>
    <row r="88" spans="19:23" ht="16" customHeight="1" x14ac:dyDescent="0.35">
      <c r="S88"/>
      <c r="T88"/>
      <c r="U88"/>
      <c r="V88"/>
      <c r="W88"/>
    </row>
    <row r="89" spans="19:23" ht="16" customHeight="1" x14ac:dyDescent="0.35">
      <c r="S89"/>
      <c r="T89"/>
      <c r="U89"/>
      <c r="V89"/>
      <c r="W89"/>
    </row>
    <row r="90" spans="19:23" ht="16" customHeight="1" x14ac:dyDescent="0.35">
      <c r="S90"/>
      <c r="T90"/>
      <c r="U90"/>
      <c r="V90"/>
      <c r="W90"/>
    </row>
    <row r="91" spans="19:23" ht="16" customHeight="1" x14ac:dyDescent="0.35">
      <c r="S91"/>
      <c r="T91"/>
      <c r="U91"/>
      <c r="V91"/>
      <c r="W91"/>
    </row>
    <row r="92" spans="19:23" ht="16" customHeight="1" x14ac:dyDescent="0.35">
      <c r="S92"/>
      <c r="T92"/>
      <c r="U92"/>
      <c r="V92"/>
      <c r="W92"/>
    </row>
    <row r="93" spans="19:23" ht="16" customHeight="1" x14ac:dyDescent="0.35">
      <c r="S93"/>
      <c r="T93"/>
      <c r="U93"/>
      <c r="V93"/>
      <c r="W93"/>
    </row>
    <row r="94" spans="19:23" ht="16" customHeight="1" x14ac:dyDescent="0.35">
      <c r="S94"/>
      <c r="T94"/>
      <c r="U94"/>
      <c r="V94"/>
      <c r="W94"/>
    </row>
    <row r="95" spans="19:23" ht="16" customHeight="1" x14ac:dyDescent="0.35">
      <c r="S95"/>
      <c r="T95"/>
      <c r="U95"/>
      <c r="V95"/>
      <c r="W95"/>
    </row>
    <row r="96" spans="19:23" ht="16" customHeight="1" x14ac:dyDescent="0.35">
      <c r="S96"/>
      <c r="T96"/>
      <c r="U96"/>
      <c r="V96"/>
      <c r="W96"/>
    </row>
    <row r="97" spans="19:23" ht="16" customHeight="1" x14ac:dyDescent="0.35">
      <c r="S97"/>
      <c r="T97"/>
      <c r="U97"/>
      <c r="V97"/>
      <c r="W97"/>
    </row>
    <row r="98" spans="19:23" ht="16" customHeight="1" x14ac:dyDescent="0.35">
      <c r="S98"/>
      <c r="T98"/>
      <c r="U98"/>
      <c r="V98"/>
      <c r="W98"/>
    </row>
    <row r="99" spans="19:23" ht="16" customHeight="1" x14ac:dyDescent="0.35">
      <c r="S99"/>
      <c r="T99"/>
      <c r="U99"/>
      <c r="V99"/>
      <c r="W99"/>
    </row>
    <row r="100" spans="19:23" ht="16" customHeight="1" x14ac:dyDescent="0.35">
      <c r="S100"/>
      <c r="T100"/>
      <c r="U100"/>
      <c r="V100"/>
      <c r="W100"/>
    </row>
    <row r="101" spans="19:23" ht="16" customHeight="1" x14ac:dyDescent="0.35">
      <c r="S101"/>
      <c r="T101"/>
      <c r="U101"/>
      <c r="V101"/>
      <c r="W101"/>
    </row>
    <row r="102" spans="19:23" ht="16" customHeight="1" x14ac:dyDescent="0.35">
      <c r="S102"/>
      <c r="T102"/>
      <c r="U102"/>
      <c r="V102"/>
      <c r="W102"/>
    </row>
    <row r="103" spans="19:23" ht="16" customHeight="1" x14ac:dyDescent="0.35">
      <c r="S103"/>
      <c r="T103"/>
      <c r="U103"/>
      <c r="V103"/>
      <c r="W103"/>
    </row>
    <row r="104" spans="19:23" ht="16" customHeight="1" x14ac:dyDescent="0.35">
      <c r="S104"/>
      <c r="T104"/>
      <c r="U104"/>
      <c r="V104"/>
      <c r="W104"/>
    </row>
    <row r="105" spans="19:23" ht="16" customHeight="1" x14ac:dyDescent="0.35">
      <c r="S105"/>
      <c r="T105"/>
      <c r="U105"/>
      <c r="V105"/>
      <c r="W105"/>
    </row>
    <row r="106" spans="19:23" ht="16" customHeight="1" x14ac:dyDescent="0.35">
      <c r="S106"/>
      <c r="T106"/>
      <c r="U106"/>
      <c r="V106"/>
      <c r="W106"/>
    </row>
    <row r="107" spans="19:23" ht="16" customHeight="1" x14ac:dyDescent="0.35">
      <c r="S107"/>
      <c r="T107"/>
      <c r="U107"/>
      <c r="V107"/>
      <c r="W107"/>
    </row>
    <row r="108" spans="19:23" ht="16" customHeight="1" x14ac:dyDescent="0.35">
      <c r="S108"/>
      <c r="T108"/>
      <c r="U108"/>
      <c r="V108"/>
      <c r="W108"/>
    </row>
    <row r="109" spans="19:23" ht="16" customHeight="1" x14ac:dyDescent="0.35">
      <c r="S109"/>
      <c r="T109"/>
      <c r="U109"/>
      <c r="V109"/>
      <c r="W109"/>
    </row>
    <row r="110" spans="19:23" ht="16" customHeight="1" x14ac:dyDescent="0.35">
      <c r="S110"/>
      <c r="T110"/>
      <c r="U110"/>
      <c r="V110"/>
      <c r="W110"/>
    </row>
    <row r="111" spans="19:23" ht="16" customHeight="1" x14ac:dyDescent="0.35">
      <c r="S111"/>
      <c r="T111"/>
      <c r="U111"/>
      <c r="V111"/>
      <c r="W111"/>
    </row>
    <row r="112" spans="19:23" ht="16" customHeight="1" x14ac:dyDescent="0.35">
      <c r="S112"/>
      <c r="T112"/>
      <c r="U112"/>
      <c r="V112"/>
      <c r="W112"/>
    </row>
    <row r="113" spans="19:23" ht="16" customHeight="1" x14ac:dyDescent="0.35">
      <c r="S113"/>
      <c r="T113"/>
      <c r="U113"/>
      <c r="V113"/>
      <c r="W113"/>
    </row>
    <row r="114" spans="19:23" ht="16" customHeight="1" x14ac:dyDescent="0.35">
      <c r="S114"/>
      <c r="T114"/>
      <c r="U114"/>
      <c r="V114"/>
      <c r="W114"/>
    </row>
    <row r="115" spans="19:23" ht="16" customHeight="1" x14ac:dyDescent="0.35">
      <c r="S115"/>
      <c r="T115"/>
      <c r="U115"/>
      <c r="V115"/>
      <c r="W115"/>
    </row>
    <row r="116" spans="19:23" ht="16" customHeight="1" x14ac:dyDescent="0.35">
      <c r="S116"/>
      <c r="T116"/>
      <c r="U116"/>
      <c r="V116"/>
      <c r="W116"/>
    </row>
    <row r="117" spans="19:23" ht="16" customHeight="1" x14ac:dyDescent="0.35">
      <c r="S117"/>
      <c r="T117"/>
      <c r="U117"/>
      <c r="V117"/>
      <c r="W117"/>
    </row>
    <row r="118" spans="19:23" ht="16" customHeight="1" x14ac:dyDescent="0.35">
      <c r="S118"/>
      <c r="T118"/>
      <c r="U118"/>
      <c r="V118"/>
      <c r="W118"/>
    </row>
    <row r="119" spans="19:23" ht="16" customHeight="1" x14ac:dyDescent="0.35">
      <c r="S119"/>
      <c r="T119"/>
      <c r="U119"/>
      <c r="V119"/>
      <c r="W119"/>
    </row>
    <row r="120" spans="19:23" ht="16" customHeight="1" x14ac:dyDescent="0.35">
      <c r="S120"/>
      <c r="T120"/>
      <c r="U120"/>
      <c r="V120"/>
      <c r="W120"/>
    </row>
    <row r="121" spans="19:23" ht="16" customHeight="1" x14ac:dyDescent="0.35">
      <c r="S121"/>
      <c r="T121"/>
      <c r="U121"/>
      <c r="V121"/>
      <c r="W121"/>
    </row>
    <row r="122" spans="19:23" ht="16" customHeight="1" x14ac:dyDescent="0.35">
      <c r="S122"/>
      <c r="T122"/>
      <c r="U122"/>
      <c r="V122"/>
      <c r="W122"/>
    </row>
    <row r="123" spans="19:23" ht="16" customHeight="1" x14ac:dyDescent="0.35">
      <c r="S123"/>
      <c r="T123"/>
      <c r="U123"/>
      <c r="V123"/>
      <c r="W123"/>
    </row>
    <row r="124" spans="19:23" ht="16" customHeight="1" x14ac:dyDescent="0.35">
      <c r="S124"/>
      <c r="T124"/>
      <c r="U124"/>
      <c r="V124"/>
      <c r="W124"/>
    </row>
    <row r="125" spans="19:23" ht="16" customHeight="1" x14ac:dyDescent="0.35">
      <c r="S125"/>
      <c r="T125"/>
      <c r="U125"/>
      <c r="V125"/>
      <c r="W125"/>
    </row>
    <row r="126" spans="19:23" ht="16" customHeight="1" x14ac:dyDescent="0.35">
      <c r="S126"/>
      <c r="T126"/>
      <c r="U126"/>
      <c r="V126"/>
      <c r="W126"/>
    </row>
    <row r="127" spans="19:23" ht="16" customHeight="1" x14ac:dyDescent="0.35">
      <c r="S127"/>
      <c r="T127"/>
      <c r="U127"/>
      <c r="V127"/>
      <c r="W127"/>
    </row>
    <row r="128" spans="19:23" ht="16" customHeight="1" x14ac:dyDescent="0.35">
      <c r="S128"/>
      <c r="T128"/>
      <c r="U128"/>
      <c r="V128"/>
      <c r="W128"/>
    </row>
    <row r="129" spans="19:23" ht="16" customHeight="1" x14ac:dyDescent="0.35">
      <c r="S129"/>
      <c r="T129"/>
      <c r="U129"/>
      <c r="V129"/>
      <c r="W129"/>
    </row>
    <row r="130" spans="19:23" ht="16" customHeight="1" x14ac:dyDescent="0.35">
      <c r="S130"/>
      <c r="T130"/>
      <c r="U130"/>
      <c r="V130"/>
      <c r="W130"/>
    </row>
    <row r="131" spans="19:23" ht="14.5" x14ac:dyDescent="0.35">
      <c r="S131"/>
      <c r="T131"/>
      <c r="U131"/>
      <c r="V131"/>
      <c r="W131"/>
    </row>
    <row r="132" spans="19:23" ht="14.5" x14ac:dyDescent="0.35">
      <c r="S132"/>
      <c r="T132"/>
      <c r="U132"/>
      <c r="V132"/>
      <c r="W132"/>
    </row>
    <row r="133" spans="19:23" ht="14.5" x14ac:dyDescent="0.35">
      <c r="S133"/>
      <c r="T133"/>
      <c r="U133"/>
      <c r="V133"/>
      <c r="W133"/>
    </row>
    <row r="134" spans="19:23" ht="14.5" x14ac:dyDescent="0.35">
      <c r="S134"/>
      <c r="T134"/>
      <c r="U134"/>
      <c r="V134"/>
      <c r="W134"/>
    </row>
    <row r="135" spans="19:23" ht="14.5" x14ac:dyDescent="0.35">
      <c r="S135"/>
      <c r="T135"/>
      <c r="U135"/>
      <c r="V135"/>
      <c r="W135"/>
    </row>
    <row r="136" spans="19:23" ht="14.5" x14ac:dyDescent="0.35">
      <c r="S136"/>
      <c r="T136"/>
      <c r="U136"/>
      <c r="V136"/>
      <c r="W136"/>
    </row>
    <row r="137" spans="19:23" ht="14.5" x14ac:dyDescent="0.35">
      <c r="S137"/>
      <c r="T137"/>
      <c r="U137"/>
      <c r="V137"/>
      <c r="W137"/>
    </row>
    <row r="138" spans="19:23" ht="14.5" x14ac:dyDescent="0.35">
      <c r="S138"/>
      <c r="T138"/>
      <c r="U138"/>
      <c r="V138"/>
      <c r="W138"/>
    </row>
    <row r="139" spans="19:23" ht="14.5" x14ac:dyDescent="0.35">
      <c r="S139"/>
      <c r="T139"/>
      <c r="U139"/>
      <c r="V139"/>
      <c r="W139"/>
    </row>
    <row r="140" spans="19:23" ht="14.5" x14ac:dyDescent="0.35">
      <c r="S140"/>
      <c r="T140"/>
      <c r="U140"/>
      <c r="V140"/>
      <c r="W140"/>
    </row>
    <row r="141" spans="19:23" ht="14.5" x14ac:dyDescent="0.35">
      <c r="S141"/>
      <c r="T141"/>
      <c r="U141"/>
      <c r="V141"/>
      <c r="W141"/>
    </row>
    <row r="142" spans="19:23" ht="14.5" x14ac:dyDescent="0.35">
      <c r="S142"/>
      <c r="T142"/>
      <c r="U142"/>
      <c r="V142"/>
      <c r="W142"/>
    </row>
    <row r="143" spans="19:23" ht="14.5" x14ac:dyDescent="0.35">
      <c r="S143"/>
      <c r="T143"/>
      <c r="U143"/>
      <c r="V143"/>
      <c r="W143"/>
    </row>
    <row r="144" spans="19:23" ht="14.5" x14ac:dyDescent="0.35">
      <c r="S144"/>
      <c r="T144"/>
      <c r="U144"/>
      <c r="V144"/>
      <c r="W144"/>
    </row>
    <row r="145" spans="19:23" ht="14.5" x14ac:dyDescent="0.35">
      <c r="S145"/>
      <c r="T145"/>
      <c r="U145"/>
      <c r="V145"/>
      <c r="W145"/>
    </row>
    <row r="146" spans="19:23" ht="14.5" x14ac:dyDescent="0.35">
      <c r="S146"/>
      <c r="T146"/>
      <c r="U146"/>
      <c r="V146"/>
      <c r="W146"/>
    </row>
    <row r="147" spans="19:23" ht="14.5" x14ac:dyDescent="0.35">
      <c r="S147"/>
      <c r="T147"/>
      <c r="U147"/>
      <c r="V147"/>
      <c r="W147"/>
    </row>
    <row r="148" spans="19:23" ht="14.5" x14ac:dyDescent="0.35">
      <c r="S148"/>
      <c r="T148"/>
      <c r="U148"/>
      <c r="V148"/>
      <c r="W148"/>
    </row>
    <row r="149" spans="19:23" ht="14.5" x14ac:dyDescent="0.35">
      <c r="S149"/>
      <c r="T149"/>
      <c r="U149"/>
      <c r="V149"/>
      <c r="W149"/>
    </row>
    <row r="150" spans="19:23" ht="14.5" x14ac:dyDescent="0.35">
      <c r="S150"/>
      <c r="T150"/>
      <c r="U150"/>
      <c r="V150"/>
      <c r="W150"/>
    </row>
    <row r="151" spans="19:23" ht="14.5" x14ac:dyDescent="0.35">
      <c r="S151"/>
      <c r="T151"/>
      <c r="U151"/>
      <c r="V151"/>
      <c r="W151"/>
    </row>
    <row r="152" spans="19:23" ht="14.5" x14ac:dyDescent="0.35">
      <c r="S152"/>
      <c r="T152"/>
      <c r="U152"/>
      <c r="V152"/>
      <c r="W152"/>
    </row>
    <row r="153" spans="19:23" ht="14.5" x14ac:dyDescent="0.35">
      <c r="S153"/>
      <c r="T153"/>
      <c r="U153"/>
      <c r="V153"/>
      <c r="W153"/>
    </row>
    <row r="154" spans="19:23" ht="14.5" x14ac:dyDescent="0.35">
      <c r="S154"/>
      <c r="T154"/>
      <c r="U154"/>
      <c r="V154"/>
      <c r="W154"/>
    </row>
    <row r="155" spans="19:23" ht="14.5" x14ac:dyDescent="0.35">
      <c r="S155"/>
      <c r="T155"/>
      <c r="U155"/>
      <c r="V155"/>
      <c r="W155"/>
    </row>
    <row r="156" spans="19:23" ht="14.5" x14ac:dyDescent="0.35">
      <c r="S156"/>
      <c r="T156"/>
      <c r="U156"/>
      <c r="V156"/>
      <c r="W156"/>
    </row>
    <row r="157" spans="19:23" ht="14.5" x14ac:dyDescent="0.35">
      <c r="S157"/>
      <c r="T157"/>
      <c r="U157"/>
      <c r="V157"/>
      <c r="W157"/>
    </row>
    <row r="158" spans="19:23" ht="14.5" x14ac:dyDescent="0.35">
      <c r="S158"/>
      <c r="T158"/>
      <c r="U158"/>
      <c r="V158"/>
      <c r="W158"/>
    </row>
    <row r="159" spans="19:23" ht="14.5" x14ac:dyDescent="0.35">
      <c r="S159"/>
      <c r="T159"/>
      <c r="U159"/>
      <c r="V159"/>
      <c r="W159"/>
    </row>
    <row r="160" spans="19:23" ht="14.5" x14ac:dyDescent="0.35">
      <c r="S160"/>
      <c r="T160"/>
      <c r="U160"/>
      <c r="V160"/>
      <c r="W160"/>
    </row>
    <row r="161" spans="19:23" ht="14.5" x14ac:dyDescent="0.35">
      <c r="S161"/>
      <c r="T161"/>
      <c r="U161"/>
      <c r="V161"/>
      <c r="W161"/>
    </row>
    <row r="162" spans="19:23" ht="14.5" x14ac:dyDescent="0.35">
      <c r="S162"/>
      <c r="T162"/>
      <c r="U162"/>
      <c r="V162"/>
      <c r="W162"/>
    </row>
    <row r="163" spans="19:23" ht="14.5" x14ac:dyDescent="0.35">
      <c r="S163"/>
      <c r="T163"/>
      <c r="U163"/>
      <c r="V163"/>
      <c r="W163"/>
    </row>
    <row r="164" spans="19:23" ht="14.5" x14ac:dyDescent="0.35">
      <c r="S164"/>
      <c r="T164"/>
      <c r="U164"/>
      <c r="V164"/>
      <c r="W164"/>
    </row>
    <row r="165" spans="19:23" ht="14.5" x14ac:dyDescent="0.35">
      <c r="S165"/>
      <c r="T165"/>
      <c r="U165"/>
      <c r="V165"/>
      <c r="W165"/>
    </row>
    <row r="166" spans="19:23" ht="14.5" x14ac:dyDescent="0.35">
      <c r="S166"/>
      <c r="T166"/>
      <c r="U166"/>
      <c r="V166"/>
      <c r="W166"/>
    </row>
    <row r="167" spans="19:23" ht="14.5" x14ac:dyDescent="0.35">
      <c r="S167"/>
      <c r="T167"/>
      <c r="U167"/>
      <c r="V167"/>
      <c r="W167"/>
    </row>
    <row r="168" spans="19:23" ht="14.5" x14ac:dyDescent="0.35">
      <c r="S168"/>
      <c r="T168"/>
      <c r="U168"/>
      <c r="V168"/>
      <c r="W168"/>
    </row>
    <row r="169" spans="19:23" ht="14.5" x14ac:dyDescent="0.35">
      <c r="S169"/>
      <c r="T169"/>
      <c r="U169"/>
      <c r="V169"/>
      <c r="W169"/>
    </row>
    <row r="170" spans="19:23" ht="14.5" x14ac:dyDescent="0.35">
      <c r="S170"/>
      <c r="T170"/>
      <c r="U170"/>
      <c r="V170"/>
      <c r="W170"/>
    </row>
    <row r="171" spans="19:23" ht="14.5" x14ac:dyDescent="0.35">
      <c r="S171"/>
      <c r="T171"/>
      <c r="U171"/>
      <c r="V171"/>
      <c r="W171"/>
    </row>
    <row r="172" spans="19:23" ht="14.5" x14ac:dyDescent="0.35">
      <c r="S172"/>
      <c r="T172"/>
      <c r="U172"/>
      <c r="V172"/>
      <c r="W172"/>
    </row>
    <row r="173" spans="19:23" ht="14.5" x14ac:dyDescent="0.35">
      <c r="S173"/>
      <c r="T173"/>
      <c r="U173"/>
      <c r="V173"/>
      <c r="W173"/>
    </row>
    <row r="174" spans="19:23" ht="14.5" x14ac:dyDescent="0.35">
      <c r="S174"/>
      <c r="T174"/>
      <c r="U174"/>
      <c r="V174"/>
      <c r="W174"/>
    </row>
    <row r="175" spans="19:23" ht="14.5" x14ac:dyDescent="0.35">
      <c r="S175"/>
      <c r="T175"/>
      <c r="U175"/>
      <c r="V175"/>
      <c r="W175"/>
    </row>
    <row r="176" spans="19:23" ht="14.5" x14ac:dyDescent="0.35">
      <c r="S176"/>
      <c r="T176"/>
      <c r="U176"/>
      <c r="V176"/>
      <c r="W176"/>
    </row>
    <row r="177" spans="19:23" ht="14.5" x14ac:dyDescent="0.35">
      <c r="S177"/>
      <c r="T177"/>
      <c r="U177"/>
      <c r="V177"/>
      <c r="W177"/>
    </row>
    <row r="178" spans="19:23" ht="14.5" x14ac:dyDescent="0.35">
      <c r="S178"/>
      <c r="T178"/>
      <c r="U178"/>
      <c r="V178"/>
      <c r="W178"/>
    </row>
    <row r="179" spans="19:23" ht="14.5" x14ac:dyDescent="0.35">
      <c r="S179"/>
      <c r="T179"/>
      <c r="U179"/>
      <c r="V179"/>
      <c r="W179"/>
    </row>
    <row r="180" spans="19:23" ht="14.5" x14ac:dyDescent="0.35">
      <c r="S180"/>
      <c r="T180"/>
      <c r="U180"/>
      <c r="V180"/>
      <c r="W180"/>
    </row>
    <row r="181" spans="19:23" ht="14.5" x14ac:dyDescent="0.35">
      <c r="S181"/>
      <c r="T181"/>
      <c r="U181"/>
      <c r="V181"/>
      <c r="W181"/>
    </row>
    <row r="182" spans="19:23" ht="14.5" x14ac:dyDescent="0.35">
      <c r="S182"/>
      <c r="T182"/>
      <c r="U182"/>
      <c r="V182"/>
      <c r="W182"/>
    </row>
    <row r="183" spans="19:23" ht="14.5" x14ac:dyDescent="0.35">
      <c r="S183"/>
      <c r="T183"/>
      <c r="U183"/>
      <c r="V183"/>
      <c r="W183"/>
    </row>
    <row r="184" spans="19:23" ht="14.5" x14ac:dyDescent="0.35">
      <c r="S184"/>
      <c r="T184"/>
      <c r="U184"/>
      <c r="V184"/>
      <c r="W184"/>
    </row>
    <row r="185" spans="19:23" ht="14.5" x14ac:dyDescent="0.35">
      <c r="S185"/>
      <c r="T185"/>
      <c r="U185"/>
      <c r="V185"/>
      <c r="W185"/>
    </row>
    <row r="186" spans="19:23" ht="14.5" x14ac:dyDescent="0.35">
      <c r="S186"/>
      <c r="T186"/>
      <c r="U186"/>
      <c r="V186"/>
      <c r="W186"/>
    </row>
    <row r="187" spans="19:23" ht="14.5" x14ac:dyDescent="0.35">
      <c r="S187"/>
      <c r="T187"/>
      <c r="U187"/>
      <c r="V187"/>
      <c r="W187"/>
    </row>
    <row r="188" spans="19:23" ht="14.5" x14ac:dyDescent="0.35">
      <c r="S188"/>
      <c r="T188"/>
      <c r="U188"/>
      <c r="V188"/>
      <c r="W188"/>
    </row>
    <row r="189" spans="19:23" ht="14.5" x14ac:dyDescent="0.35">
      <c r="S189"/>
      <c r="T189"/>
      <c r="U189"/>
      <c r="V189"/>
      <c r="W189"/>
    </row>
    <row r="190" spans="19:23" ht="14.5" x14ac:dyDescent="0.35">
      <c r="S190"/>
      <c r="T190"/>
      <c r="U190"/>
      <c r="V190"/>
      <c r="W190"/>
    </row>
    <row r="191" spans="19:23" ht="14.5" x14ac:dyDescent="0.35">
      <c r="S191"/>
      <c r="T191"/>
      <c r="U191"/>
      <c r="V191"/>
      <c r="W191"/>
    </row>
    <row r="192" spans="19:23" ht="14.5" x14ac:dyDescent="0.35">
      <c r="S192"/>
      <c r="T192"/>
      <c r="U192"/>
      <c r="V192"/>
      <c r="W192"/>
    </row>
    <row r="193" spans="19:23" ht="14.5" x14ac:dyDescent="0.35">
      <c r="S193"/>
      <c r="T193"/>
      <c r="U193"/>
      <c r="V193"/>
      <c r="W193"/>
    </row>
    <row r="194" spans="19:23" ht="14.5" x14ac:dyDescent="0.35">
      <c r="S194"/>
      <c r="T194"/>
      <c r="U194"/>
      <c r="V194"/>
      <c r="W194"/>
    </row>
    <row r="195" spans="19:23" ht="14.5" x14ac:dyDescent="0.35">
      <c r="S195"/>
      <c r="T195"/>
      <c r="U195"/>
      <c r="V195"/>
      <c r="W195"/>
    </row>
    <row r="196" spans="19:23" ht="14.5" x14ac:dyDescent="0.35">
      <c r="S196"/>
      <c r="T196"/>
      <c r="U196"/>
      <c r="V196"/>
      <c r="W196"/>
    </row>
    <row r="197" spans="19:23" ht="14.5" x14ac:dyDescent="0.35">
      <c r="S197"/>
      <c r="T197"/>
      <c r="U197"/>
      <c r="V197"/>
      <c r="W197"/>
    </row>
    <row r="198" spans="19:23" ht="14.5" x14ac:dyDescent="0.35">
      <c r="S198"/>
      <c r="T198"/>
      <c r="U198"/>
      <c r="V198"/>
      <c r="W198"/>
    </row>
    <row r="199" spans="19:23" ht="14.5" x14ac:dyDescent="0.35">
      <c r="S199"/>
      <c r="T199"/>
      <c r="U199"/>
      <c r="V199"/>
      <c r="W199"/>
    </row>
    <row r="200" spans="19:23" ht="14.5" x14ac:dyDescent="0.35">
      <c r="S200"/>
      <c r="T200"/>
      <c r="U200"/>
      <c r="V200"/>
      <c r="W200"/>
    </row>
    <row r="201" spans="19:23" ht="14.5" x14ac:dyDescent="0.35">
      <c r="S201"/>
      <c r="T201"/>
      <c r="U201"/>
      <c r="V201"/>
      <c r="W201"/>
    </row>
    <row r="202" spans="19:23" ht="14.5" x14ac:dyDescent="0.35">
      <c r="S202"/>
      <c r="T202"/>
      <c r="U202"/>
      <c r="V202"/>
      <c r="W202"/>
    </row>
    <row r="203" spans="19:23" ht="14.5" x14ac:dyDescent="0.35">
      <c r="S203"/>
      <c r="T203"/>
      <c r="U203"/>
      <c r="V203"/>
      <c r="W203"/>
    </row>
    <row r="204" spans="19:23" ht="14.5" x14ac:dyDescent="0.35">
      <c r="S204"/>
      <c r="T204"/>
      <c r="U204"/>
      <c r="V204"/>
      <c r="W204"/>
    </row>
    <row r="205" spans="19:23" ht="14.5" x14ac:dyDescent="0.35">
      <c r="S205"/>
      <c r="T205"/>
      <c r="U205"/>
      <c r="V205"/>
      <c r="W205"/>
    </row>
    <row r="206" spans="19:23" ht="14.5" x14ac:dyDescent="0.35">
      <c r="S206"/>
      <c r="T206"/>
      <c r="U206"/>
      <c r="V206"/>
      <c r="W206"/>
    </row>
    <row r="207" spans="19:23" ht="14.5" x14ac:dyDescent="0.35">
      <c r="S207"/>
      <c r="T207"/>
      <c r="U207"/>
      <c r="V207"/>
      <c r="W207"/>
    </row>
    <row r="208" spans="19:23" ht="14.5" x14ac:dyDescent="0.35">
      <c r="S208"/>
      <c r="T208"/>
      <c r="U208"/>
      <c r="V208"/>
      <c r="W208"/>
    </row>
    <row r="209" spans="19:23" ht="14.5" x14ac:dyDescent="0.35">
      <c r="S209"/>
      <c r="T209"/>
      <c r="U209"/>
      <c r="V209"/>
      <c r="W209"/>
    </row>
    <row r="210" spans="19:23" ht="14.5" x14ac:dyDescent="0.35">
      <c r="S210"/>
      <c r="T210"/>
      <c r="U210"/>
      <c r="V210"/>
      <c r="W210"/>
    </row>
    <row r="211" spans="19:23" ht="14.5" x14ac:dyDescent="0.35">
      <c r="S211"/>
      <c r="T211"/>
      <c r="U211"/>
      <c r="V211"/>
      <c r="W211"/>
    </row>
    <row r="212" spans="19:23" ht="14.5" x14ac:dyDescent="0.35">
      <c r="S212"/>
      <c r="T212"/>
      <c r="U212"/>
      <c r="V212"/>
      <c r="W212"/>
    </row>
    <row r="213" spans="19:23" ht="14.5" x14ac:dyDescent="0.35">
      <c r="S213"/>
      <c r="T213"/>
      <c r="U213"/>
      <c r="V213"/>
      <c r="W213"/>
    </row>
    <row r="214" spans="19:23" ht="14.5" x14ac:dyDescent="0.35">
      <c r="S214"/>
      <c r="T214"/>
      <c r="U214"/>
      <c r="V214"/>
      <c r="W214"/>
    </row>
    <row r="215" spans="19:23" ht="14.5" x14ac:dyDescent="0.35">
      <c r="S215"/>
      <c r="T215"/>
      <c r="U215"/>
      <c r="V215"/>
      <c r="W215"/>
    </row>
    <row r="216" spans="19:23" ht="14.5" x14ac:dyDescent="0.35">
      <c r="S216"/>
      <c r="T216"/>
      <c r="U216"/>
      <c r="V216"/>
      <c r="W216"/>
    </row>
    <row r="217" spans="19:23" ht="14.5" x14ac:dyDescent="0.35">
      <c r="S217"/>
      <c r="T217"/>
      <c r="U217"/>
      <c r="V217"/>
      <c r="W217"/>
    </row>
    <row r="218" spans="19:23" ht="14.5" x14ac:dyDescent="0.35">
      <c r="S218"/>
      <c r="T218"/>
      <c r="U218"/>
      <c r="V218"/>
      <c r="W218"/>
    </row>
    <row r="219" spans="19:23" ht="14.5" x14ac:dyDescent="0.35">
      <c r="S219"/>
      <c r="T219"/>
      <c r="U219"/>
      <c r="V219"/>
      <c r="W219"/>
    </row>
    <row r="220" spans="19:23" ht="14.5" x14ac:dyDescent="0.35">
      <c r="S220"/>
      <c r="T220"/>
      <c r="U220"/>
      <c r="V220"/>
      <c r="W220"/>
    </row>
    <row r="221" spans="19:23" ht="14.5" x14ac:dyDescent="0.35">
      <c r="S221"/>
      <c r="T221"/>
      <c r="U221"/>
      <c r="V221"/>
      <c r="W221"/>
    </row>
    <row r="222" spans="19:23" ht="14.5" x14ac:dyDescent="0.35">
      <c r="S222"/>
      <c r="T222"/>
      <c r="U222"/>
      <c r="V222"/>
      <c r="W222"/>
    </row>
    <row r="223" spans="19:23" ht="14.5" x14ac:dyDescent="0.35">
      <c r="S223"/>
      <c r="T223"/>
      <c r="U223"/>
      <c r="V223"/>
      <c r="W223"/>
    </row>
    <row r="224" spans="19:23" ht="14.5" x14ac:dyDescent="0.35">
      <c r="S224"/>
      <c r="T224"/>
      <c r="U224"/>
      <c r="V224"/>
      <c r="W224"/>
    </row>
    <row r="225" spans="19:23" ht="14.5" x14ac:dyDescent="0.35">
      <c r="S225"/>
      <c r="T225"/>
      <c r="U225"/>
      <c r="V225"/>
      <c r="W225"/>
    </row>
    <row r="226" spans="19:23" ht="14.5" x14ac:dyDescent="0.35">
      <c r="S226"/>
      <c r="T226"/>
      <c r="U226"/>
      <c r="V226"/>
      <c r="W226"/>
    </row>
    <row r="227" spans="19:23" ht="14.5" x14ac:dyDescent="0.35">
      <c r="S227"/>
      <c r="T227"/>
      <c r="U227"/>
      <c r="V227"/>
      <c r="W227"/>
    </row>
    <row r="228" spans="19:23" ht="14.5" x14ac:dyDescent="0.35">
      <c r="S228"/>
      <c r="T228"/>
      <c r="U228"/>
      <c r="V228"/>
      <c r="W228"/>
    </row>
    <row r="229" spans="19:23" ht="14.5" x14ac:dyDescent="0.35">
      <c r="S229"/>
      <c r="T229"/>
      <c r="U229"/>
      <c r="V229"/>
      <c r="W229"/>
    </row>
    <row r="230" spans="19:23" ht="14.5" x14ac:dyDescent="0.35">
      <c r="S230"/>
      <c r="T230"/>
      <c r="U230"/>
      <c r="V230"/>
      <c r="W230"/>
    </row>
    <row r="231" spans="19:23" ht="14.5" x14ac:dyDescent="0.35">
      <c r="S231"/>
      <c r="T231"/>
      <c r="U231"/>
      <c r="V231"/>
      <c r="W231"/>
    </row>
    <row r="232" spans="19:23" ht="14.5" x14ac:dyDescent="0.35">
      <c r="S232"/>
      <c r="T232"/>
      <c r="U232"/>
      <c r="V232"/>
      <c r="W232"/>
    </row>
    <row r="233" spans="19:23" ht="14.5" x14ac:dyDescent="0.35">
      <c r="S233"/>
      <c r="T233"/>
      <c r="U233"/>
      <c r="V233"/>
      <c r="W233"/>
    </row>
    <row r="234" spans="19:23" ht="14.5" x14ac:dyDescent="0.35">
      <c r="S234"/>
      <c r="T234"/>
      <c r="U234"/>
      <c r="V234"/>
      <c r="W234"/>
    </row>
    <row r="235" spans="19:23" ht="14.5" x14ac:dyDescent="0.35">
      <c r="S235"/>
      <c r="T235"/>
      <c r="U235"/>
      <c r="V235"/>
      <c r="W235"/>
    </row>
    <row r="236" spans="19:23" ht="14.5" x14ac:dyDescent="0.35">
      <c r="S236"/>
      <c r="T236"/>
      <c r="U236"/>
      <c r="V236"/>
      <c r="W236"/>
    </row>
    <row r="237" spans="19:23" ht="14.5" x14ac:dyDescent="0.35">
      <c r="S237"/>
      <c r="T237"/>
      <c r="U237"/>
      <c r="V237"/>
      <c r="W237"/>
    </row>
    <row r="238" spans="19:23" ht="14.5" x14ac:dyDescent="0.35">
      <c r="S238"/>
      <c r="T238"/>
      <c r="U238"/>
      <c r="V238"/>
      <c r="W238"/>
    </row>
    <row r="239" spans="19:23" ht="14.5" x14ac:dyDescent="0.35">
      <c r="S239"/>
      <c r="T239"/>
      <c r="U239"/>
      <c r="V239"/>
      <c r="W239"/>
    </row>
    <row r="240" spans="19:23" ht="14.5" x14ac:dyDescent="0.35">
      <c r="S240"/>
      <c r="T240"/>
      <c r="U240"/>
      <c r="V240"/>
      <c r="W240"/>
    </row>
    <row r="241" spans="19:23" ht="14.5" x14ac:dyDescent="0.35">
      <c r="S241"/>
      <c r="T241"/>
      <c r="U241"/>
      <c r="V241"/>
      <c r="W241"/>
    </row>
    <row r="242" spans="19:23" ht="14.5" x14ac:dyDescent="0.35">
      <c r="S242"/>
      <c r="T242"/>
      <c r="U242"/>
      <c r="V242"/>
      <c r="W242"/>
    </row>
    <row r="243" spans="19:23" ht="14.5" x14ac:dyDescent="0.35">
      <c r="S243"/>
      <c r="T243"/>
      <c r="U243"/>
      <c r="V243"/>
      <c r="W243"/>
    </row>
    <row r="244" spans="19:23" ht="14.5" x14ac:dyDescent="0.35">
      <c r="S244"/>
      <c r="T244"/>
      <c r="U244"/>
      <c r="V244"/>
      <c r="W244"/>
    </row>
    <row r="245" spans="19:23" ht="14.5" x14ac:dyDescent="0.35">
      <c r="S245"/>
      <c r="T245"/>
      <c r="U245"/>
      <c r="V245"/>
      <c r="W245"/>
    </row>
    <row r="246" spans="19:23" ht="14.5" x14ac:dyDescent="0.35">
      <c r="S246"/>
      <c r="T246"/>
      <c r="U246"/>
      <c r="V246"/>
      <c r="W246"/>
    </row>
    <row r="247" spans="19:23" ht="14.5" x14ac:dyDescent="0.35">
      <c r="S247"/>
      <c r="T247"/>
      <c r="U247"/>
      <c r="V247"/>
      <c r="W247"/>
    </row>
    <row r="248" spans="19:23" ht="14.5" x14ac:dyDescent="0.35">
      <c r="S248"/>
      <c r="T248"/>
      <c r="U248"/>
      <c r="V248"/>
      <c r="W248"/>
    </row>
    <row r="249" spans="19:23" ht="14.5" x14ac:dyDescent="0.35">
      <c r="S249"/>
      <c r="T249"/>
      <c r="U249"/>
      <c r="V249"/>
      <c r="W249"/>
    </row>
    <row r="250" spans="19:23" ht="14.5" x14ac:dyDescent="0.35">
      <c r="S250"/>
      <c r="T250"/>
      <c r="U250"/>
      <c r="V250"/>
      <c r="W250"/>
    </row>
    <row r="251" spans="19:23" ht="14.5" x14ac:dyDescent="0.35">
      <c r="S251"/>
      <c r="T251"/>
      <c r="U251"/>
      <c r="V251"/>
      <c r="W251"/>
    </row>
    <row r="252" spans="19:23" ht="14.5" x14ac:dyDescent="0.35">
      <c r="S252"/>
      <c r="T252"/>
      <c r="U252"/>
      <c r="V252"/>
      <c r="W252"/>
    </row>
    <row r="253" spans="19:23" ht="14.5" x14ac:dyDescent="0.35">
      <c r="S253"/>
      <c r="T253"/>
      <c r="U253"/>
      <c r="V253"/>
      <c r="W253"/>
    </row>
  </sheetData>
  <mergeCells count="136">
    <mergeCell ref="A1:R1"/>
    <mergeCell ref="S1:W1"/>
    <mergeCell ref="A3:H3"/>
    <mergeCell ref="B4:C4"/>
    <mergeCell ref="D4:E4"/>
    <mergeCell ref="G4:H4"/>
    <mergeCell ref="S4:W4"/>
    <mergeCell ref="B7:C7"/>
    <mergeCell ref="D7:E7"/>
    <mergeCell ref="G7:H7"/>
    <mergeCell ref="B8:C8"/>
    <mergeCell ref="D8:E8"/>
    <mergeCell ref="G8:H8"/>
    <mergeCell ref="B5:C5"/>
    <mergeCell ref="D5:E5"/>
    <mergeCell ref="G5:H5"/>
    <mergeCell ref="B6:C6"/>
    <mergeCell ref="D6:E6"/>
    <mergeCell ref="G6:H6"/>
    <mergeCell ref="A12:H12"/>
    <mergeCell ref="B13:C13"/>
    <mergeCell ref="D13:E13"/>
    <mergeCell ref="G13:H13"/>
    <mergeCell ref="B14:C14"/>
    <mergeCell ref="D14:E14"/>
    <mergeCell ref="G14:H14"/>
    <mergeCell ref="B9:C9"/>
    <mergeCell ref="D9:E9"/>
    <mergeCell ref="G9:H9"/>
    <mergeCell ref="B10:C10"/>
    <mergeCell ref="D10:E10"/>
    <mergeCell ref="G10:H10"/>
    <mergeCell ref="A18:H18"/>
    <mergeCell ref="B19:C19"/>
    <mergeCell ref="D19:E19"/>
    <mergeCell ref="G19:H19"/>
    <mergeCell ref="B20:C20"/>
    <mergeCell ref="D20:E20"/>
    <mergeCell ref="G20:H20"/>
    <mergeCell ref="B15:C15"/>
    <mergeCell ref="D15:E15"/>
    <mergeCell ref="G15:H15"/>
    <mergeCell ref="B16:C16"/>
    <mergeCell ref="D16:E16"/>
    <mergeCell ref="G16:H16"/>
    <mergeCell ref="B23:C23"/>
    <mergeCell ref="D23:E23"/>
    <mergeCell ref="G23:H23"/>
    <mergeCell ref="A25:H25"/>
    <mergeCell ref="B26:C26"/>
    <mergeCell ref="D26:E26"/>
    <mergeCell ref="G26:H26"/>
    <mergeCell ref="B21:C21"/>
    <mergeCell ref="D21:E21"/>
    <mergeCell ref="G21:H21"/>
    <mergeCell ref="B22:C22"/>
    <mergeCell ref="D22:E22"/>
    <mergeCell ref="G22:H22"/>
    <mergeCell ref="G29:H29"/>
    <mergeCell ref="A31:H31"/>
    <mergeCell ref="B32:C32"/>
    <mergeCell ref="D32:E32"/>
    <mergeCell ref="G32:H32"/>
    <mergeCell ref="B27:C27"/>
    <mergeCell ref="D27:E27"/>
    <mergeCell ref="G27:H27"/>
    <mergeCell ref="B28:C28"/>
    <mergeCell ref="D28:E28"/>
    <mergeCell ref="G28:H28"/>
    <mergeCell ref="B37:C37"/>
    <mergeCell ref="D37:E37"/>
    <mergeCell ref="G37:H37"/>
    <mergeCell ref="J3:R3"/>
    <mergeCell ref="K4:L4"/>
    <mergeCell ref="M4:O4"/>
    <mergeCell ref="P4:R4"/>
    <mergeCell ref="K5:L5"/>
    <mergeCell ref="M5:O5"/>
    <mergeCell ref="P5:R5"/>
    <mergeCell ref="B35:C35"/>
    <mergeCell ref="D35:E35"/>
    <mergeCell ref="G35:H35"/>
    <mergeCell ref="B36:C36"/>
    <mergeCell ref="D36:E36"/>
    <mergeCell ref="G36:H36"/>
    <mergeCell ref="B33:C33"/>
    <mergeCell ref="D33:E33"/>
    <mergeCell ref="G33:H33"/>
    <mergeCell ref="B34:C34"/>
    <mergeCell ref="D34:E34"/>
    <mergeCell ref="G34:H34"/>
    <mergeCell ref="B29:C29"/>
    <mergeCell ref="D29:E29"/>
    <mergeCell ref="K29:R29"/>
    <mergeCell ref="J31:R31"/>
    <mergeCell ref="J32:R37"/>
    <mergeCell ref="K23:L23"/>
    <mergeCell ref="M23:O23"/>
    <mergeCell ref="Q23:R23"/>
    <mergeCell ref="K24:L24"/>
    <mergeCell ref="M24:O24"/>
    <mergeCell ref="Q24:R24"/>
    <mergeCell ref="K6:L6"/>
    <mergeCell ref="M6:O6"/>
    <mergeCell ref="P6:R6"/>
    <mergeCell ref="K7:L7"/>
    <mergeCell ref="M7:O7"/>
    <mergeCell ref="P7:R7"/>
    <mergeCell ref="J26:R26"/>
    <mergeCell ref="K27:R27"/>
    <mergeCell ref="K28:R28"/>
    <mergeCell ref="K21:L21"/>
    <mergeCell ref="M21:O21"/>
    <mergeCell ref="Q21:R21"/>
    <mergeCell ref="K22:L22"/>
    <mergeCell ref="M22:O22"/>
    <mergeCell ref="Q22:R22"/>
    <mergeCell ref="J18:R18"/>
    <mergeCell ref="K19:L19"/>
    <mergeCell ref="M19:O19"/>
    <mergeCell ref="Q19:R19"/>
    <mergeCell ref="K20:L20"/>
    <mergeCell ref="M20:O20"/>
    <mergeCell ref="Q20:R20"/>
    <mergeCell ref="K10:L10"/>
    <mergeCell ref="M10:O10"/>
    <mergeCell ref="P10:R10"/>
    <mergeCell ref="K11:L11"/>
    <mergeCell ref="M11:O11"/>
    <mergeCell ref="P11:R11"/>
    <mergeCell ref="K8:L8"/>
    <mergeCell ref="M8:O8"/>
    <mergeCell ref="P8:R8"/>
    <mergeCell ref="K9:L9"/>
    <mergeCell ref="M9:O9"/>
    <mergeCell ref="P9:R9"/>
  </mergeCells>
  <dataValidations count="1">
    <dataValidation type="list" allowBlank="1" showInputMessage="1" sqref="J5:J11" xr:uid="{6F0F80A1-8E8D-4E61-A27B-C43AEAED123D}">
      <formula1>"DD,MWD"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05" r:id="rId3" name="BtnOCRefresh">
              <controlPr defaultSize="0" print="0" autoFill="0" autoPict="0" macro="[0]!RefreshSetup">
                <anchor moveWithCells="1" sizeWithCells="1">
                  <from>
                    <xdr:col>14</xdr:col>
                    <xdr:colOff>0</xdr:colOff>
                    <xdr:row>0</xdr:row>
                    <xdr:rowOff>50800</xdr:rowOff>
                  </from>
                  <to>
                    <xdr:col>16</xdr:col>
                    <xdr:colOff>933450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" name="BtnOCRebuild">
              <controlPr defaultSize="0" print="0" autoFill="0" autoPict="0" macro="[0]!RebuildSetup">
                <anchor moveWithCells="1" sizeWithCells="1">
                  <from>
                    <xdr:col>10</xdr:col>
                    <xdr:colOff>0</xdr:colOff>
                    <xdr:row>0</xdr:row>
                    <xdr:rowOff>50800</xdr:rowOff>
                  </from>
                  <to>
                    <xdr:col>11</xdr:col>
                    <xdr:colOff>647700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5" name="BtnImportPlan">
              <controlPr defaultSize="0" print="0" autoFill="0" autoPict="0" macro="[0]!ImportSurveyPlan">
                <anchor moveWithCells="1" sizeWithCells="1">
                  <from>
                    <xdr:col>9</xdr:col>
                    <xdr:colOff>12700</xdr:colOff>
                    <xdr:row>27</xdr:row>
                    <xdr:rowOff>25400</xdr:rowOff>
                  </from>
                  <to>
                    <xdr:col>11</xdr:col>
                    <xdr:colOff>355600</xdr:colOff>
                    <xdr:row>27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6" name="BtnImportAC">
              <controlPr defaultSize="0" print="0" autoFill="0" autoPict="0" macro="[0]!ImportAntiCollision">
                <anchor moveWithCells="1" sizeWithCells="1">
                  <from>
                    <xdr:col>9</xdr:col>
                    <xdr:colOff>12700</xdr:colOff>
                    <xdr:row>28</xdr:row>
                    <xdr:rowOff>25400</xdr:rowOff>
                  </from>
                  <to>
                    <xdr:col>11</xdr:col>
                    <xdr:colOff>355600</xdr:colOff>
                    <xdr:row>28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674D6-2159-4E45-BF64-0B6DF2712976}">
  <sheetPr codeName="Sheet10">
    <tabColor rgb="FF004F4F"/>
  </sheetPr>
  <dimension ref="A1:AN503"/>
  <sheetViews>
    <sheetView showGridLines="0" showZeros="0" zoomScale="85" zoomScaleNormal="85" workbookViewId="0">
      <pane ySplit="5" topLeftCell="A6" activePane="bottomLeft" state="frozenSplit"/>
      <selection pane="bottomLeft" activeCell="D32" sqref="D32"/>
    </sheetView>
  </sheetViews>
  <sheetFormatPr defaultColWidth="8.6328125" defaultRowHeight="14.5" x14ac:dyDescent="0.35"/>
  <cols>
    <col min="1" max="1" width="4.453125" style="30" customWidth="1"/>
    <col min="2" max="2" width="7.453125" style="30" customWidth="1"/>
    <col min="3" max="3" width="7.36328125" style="30" customWidth="1"/>
    <col min="4" max="5" width="8.36328125" style="30" customWidth="1"/>
    <col min="6" max="7" width="7.36328125" style="30" customWidth="1"/>
    <col min="8" max="8" width="8.36328125" style="30" customWidth="1"/>
    <col min="9" max="9" width="7.36328125" style="30" customWidth="1"/>
    <col min="10" max="10" width="8.453125" style="30" customWidth="1"/>
    <col min="11" max="11" width="8.36328125" style="30" customWidth="1"/>
    <col min="12" max="12" width="6.6328125" style="30" customWidth="1"/>
    <col min="13" max="13" width="8" style="30" customWidth="1"/>
    <col min="14" max="15" width="6.6328125" style="30" customWidth="1"/>
    <col min="16" max="16" width="6.26953125" style="30" bestFit="1" customWidth="1"/>
    <col min="17" max="17" width="2.6328125" style="30" customWidth="1"/>
    <col min="18" max="18" width="9.453125" style="30" customWidth="1"/>
    <col min="19" max="19" width="7.6328125" style="30" customWidth="1"/>
    <col min="20" max="20" width="8.453125" style="30" customWidth="1"/>
    <col min="21" max="21" width="8.6328125" style="30" bestFit="1" customWidth="1"/>
    <col min="22" max="26" width="8.7265625" style="30" bestFit="1" customWidth="1"/>
    <col min="27" max="28" width="5.6328125" style="30" customWidth="1"/>
    <col min="29" max="29" width="36.36328125" style="30" customWidth="1"/>
    <col min="30" max="33" width="9.453125" style="30" hidden="1" customWidth="1"/>
    <col min="34" max="34" width="9.36328125" style="30" hidden="1" customWidth="1"/>
    <col min="35" max="35" width="7.36328125" style="30" hidden="1" customWidth="1"/>
    <col min="36" max="36" width="10" style="30" bestFit="1" customWidth="1"/>
    <col min="37" max="37" width="8.6328125" style="30"/>
    <col min="38" max="39" width="10.36328125" style="30" bestFit="1" customWidth="1"/>
    <col min="40" max="40" width="10.54296875" style="30" bestFit="1" customWidth="1"/>
    <col min="41" max="16384" width="8.6328125" style="30"/>
  </cols>
  <sheetData>
    <row r="1" spans="1:40" ht="16" customHeight="1" x14ac:dyDescent="0.35">
      <c r="A1" s="177" t="s">
        <v>524</v>
      </c>
      <c r="B1" s="178"/>
      <c r="C1" s="179" t="s">
        <v>525</v>
      </c>
      <c r="D1" s="180"/>
      <c r="E1" s="180"/>
      <c r="F1" s="180"/>
      <c r="G1" s="180"/>
      <c r="H1" s="181"/>
      <c r="I1" s="182"/>
      <c r="J1" s="183" t="s">
        <v>526</v>
      </c>
      <c r="K1" s="183" t="s">
        <v>527</v>
      </c>
      <c r="L1" s="183" t="s">
        <v>528</v>
      </c>
      <c r="M1" s="183" t="s">
        <v>20</v>
      </c>
      <c r="N1" s="183" t="s">
        <v>529</v>
      </c>
      <c r="O1" s="183" t="s">
        <v>530</v>
      </c>
      <c r="P1" s="183" t="s">
        <v>531</v>
      </c>
      <c r="Q1" s="184"/>
      <c r="R1" s="185" t="s">
        <v>532</v>
      </c>
      <c r="S1" s="186"/>
      <c r="T1" s="187"/>
      <c r="U1" s="188" t="s">
        <v>533</v>
      </c>
      <c r="V1" s="188" t="s">
        <v>527</v>
      </c>
      <c r="W1" s="188" t="s">
        <v>528</v>
      </c>
      <c r="X1" s="188" t="s">
        <v>20</v>
      </c>
      <c r="Y1" s="188" t="s">
        <v>529</v>
      </c>
      <c r="Z1" s="188" t="s">
        <v>530</v>
      </c>
      <c r="AA1" s="189" t="s">
        <v>534</v>
      </c>
      <c r="AB1" s="190"/>
      <c r="AC1" s="190"/>
      <c r="AD1" s="106" t="s">
        <v>535</v>
      </c>
      <c r="AE1" s="106" t="s">
        <v>536</v>
      </c>
      <c r="AF1" s="106"/>
      <c r="AG1" s="106"/>
      <c r="AH1" s="106"/>
      <c r="AI1" s="106" t="s">
        <v>537</v>
      </c>
      <c r="AJ1" s="154" t="s">
        <v>538</v>
      </c>
      <c r="AK1" s="154" t="s">
        <v>539</v>
      </c>
      <c r="AL1" s="155" t="s">
        <v>540</v>
      </c>
      <c r="AM1" s="155"/>
      <c r="AN1" s="155"/>
    </row>
    <row r="2" spans="1:40" ht="16" customHeight="1" x14ac:dyDescent="0.35">
      <c r="A2" s="177" t="s">
        <v>541</v>
      </c>
      <c r="B2" s="178"/>
      <c r="C2" s="179" t="s">
        <v>542</v>
      </c>
      <c r="D2" s="180"/>
      <c r="E2" s="180"/>
      <c r="F2" s="180"/>
      <c r="G2" s="180"/>
      <c r="H2" s="191" t="s">
        <v>543</v>
      </c>
      <c r="I2" s="192"/>
      <c r="J2" s="193">
        <v>5.9</v>
      </c>
      <c r="K2" s="193">
        <v>1.0000000000000001E-5</v>
      </c>
      <c r="L2" s="193">
        <v>1.0000000000000001E-5</v>
      </c>
      <c r="M2" s="193">
        <v>5.9</v>
      </c>
      <c r="N2" s="193">
        <v>9.9999999999999995E-8</v>
      </c>
      <c r="O2" s="193">
        <v>9.9999999999999995E-7</v>
      </c>
      <c r="P2" s="193">
        <v>152.99</v>
      </c>
      <c r="Q2" s="194"/>
      <c r="R2" s="186"/>
      <c r="S2" s="186"/>
      <c r="T2" s="187"/>
      <c r="U2" s="193">
        <v>2459.31</v>
      </c>
      <c r="V2" s="193">
        <v>90</v>
      </c>
      <c r="W2" s="193">
        <v>320.54000000000002</v>
      </c>
      <c r="X2" s="193">
        <v>2020.6</v>
      </c>
      <c r="Y2" s="193">
        <v>-395.71</v>
      </c>
      <c r="Z2" s="193">
        <v>-703.04</v>
      </c>
      <c r="AA2" s="190"/>
      <c r="AB2" s="190"/>
      <c r="AC2" s="190"/>
      <c r="AD2" s="106">
        <f>IF(V2&gt;0,RADIANS(V2),"")</f>
        <v>1.5707963267948966</v>
      </c>
      <c r="AE2" s="106">
        <f>IF(W2&gt;0,RADIANS(W2),"")</f>
        <v>5.594478384342624</v>
      </c>
      <c r="AF2" s="106"/>
      <c r="AG2" s="106"/>
      <c r="AH2" s="106"/>
      <c r="AI2" s="106"/>
      <c r="AJ2" s="208">
        <v>2.5</v>
      </c>
      <c r="AK2" s="208">
        <v>2.5</v>
      </c>
      <c r="AL2" s="156" t="s">
        <v>533</v>
      </c>
      <c r="AM2" s="156" t="s">
        <v>20</v>
      </c>
      <c r="AN2" s="156" t="s">
        <v>544</v>
      </c>
    </row>
    <row r="3" spans="1:40" ht="16" customHeight="1" x14ac:dyDescent="0.35">
      <c r="A3" s="177" t="s">
        <v>545</v>
      </c>
      <c r="B3" s="178"/>
      <c r="C3" s="195" t="s">
        <v>546</v>
      </c>
      <c r="D3" s="196"/>
      <c r="E3" s="197"/>
      <c r="F3" s="197"/>
      <c r="G3" s="197"/>
      <c r="H3" s="181"/>
      <c r="I3" s="182"/>
      <c r="J3" s="198"/>
      <c r="K3" s="198"/>
      <c r="L3" s="198"/>
      <c r="M3" s="198"/>
      <c r="N3" s="198"/>
      <c r="O3" s="198"/>
      <c r="P3" s="198"/>
      <c r="Q3" s="198"/>
      <c r="R3" s="198"/>
      <c r="S3" s="198"/>
      <c r="T3" s="199" t="s">
        <v>547</v>
      </c>
      <c r="U3" s="193"/>
      <c r="V3" s="193"/>
      <c r="W3" s="193"/>
      <c r="X3" s="193"/>
      <c r="Y3" s="193"/>
      <c r="Z3" s="193"/>
      <c r="AA3" s="190"/>
      <c r="AB3" s="190"/>
      <c r="AC3" s="190"/>
      <c r="AD3" s="106">
        <f>IF(K2&gt;0,RADIANS(K2),0)</f>
        <v>1.7453292519943297E-7</v>
      </c>
      <c r="AE3" s="106">
        <f>IF(L2&gt;0,RADIANS(L2),0)</f>
        <v>1.7453292519943297E-7</v>
      </c>
      <c r="AF3" s="106"/>
      <c r="AG3" s="106"/>
      <c r="AH3" s="106"/>
      <c r="AI3" s="106"/>
      <c r="AJ3" s="209" t="s">
        <v>548</v>
      </c>
      <c r="AK3" s="210" t="s">
        <v>622</v>
      </c>
      <c r="AL3" s="159">
        <v>2443</v>
      </c>
      <c r="AM3" s="159">
        <v>2019.44</v>
      </c>
      <c r="AN3" s="160"/>
    </row>
    <row r="4" spans="1:40" ht="16" customHeight="1" x14ac:dyDescent="0.35">
      <c r="A4" s="177" t="s">
        <v>549</v>
      </c>
      <c r="B4" s="178"/>
      <c r="C4" s="200">
        <v>34538</v>
      </c>
      <c r="D4" s="201"/>
      <c r="E4" s="202"/>
      <c r="F4" s="202"/>
      <c r="G4" s="202"/>
      <c r="H4" s="181"/>
      <c r="I4" s="203"/>
      <c r="J4" s="198"/>
      <c r="K4" s="198"/>
      <c r="L4" s="198"/>
      <c r="M4" s="198"/>
      <c r="N4" s="198"/>
      <c r="O4" s="198"/>
      <c r="P4" s="198"/>
      <c r="Q4" s="198"/>
      <c r="R4" s="198"/>
      <c r="S4" s="198"/>
      <c r="T4" s="199" t="s">
        <v>550</v>
      </c>
      <c r="U4" s="204"/>
      <c r="V4" s="204"/>
      <c r="W4" s="204"/>
      <c r="X4" s="204"/>
      <c r="Y4" s="204"/>
      <c r="Z4" s="204"/>
      <c r="AA4" s="205"/>
      <c r="AB4" s="205"/>
      <c r="AC4" s="205"/>
      <c r="AD4" s="106"/>
      <c r="AE4" s="106"/>
      <c r="AF4" s="106"/>
      <c r="AG4" s="106"/>
      <c r="AH4" s="106"/>
      <c r="AI4" s="106"/>
      <c r="AJ4" s="211"/>
      <c r="AK4" s="212"/>
      <c r="AL4" s="159">
        <v>2650</v>
      </c>
      <c r="AM4" s="159">
        <v>2017.7</v>
      </c>
      <c r="AN4" s="160">
        <f>IF(AL4="","",DEGREES(ACOS((AM4-AM3)/(AL4-AL3))))</f>
        <v>90.481622369169287</v>
      </c>
    </row>
    <row r="5" spans="1:40" ht="18" customHeight="1" x14ac:dyDescent="0.35">
      <c r="A5" s="107" t="s">
        <v>551</v>
      </c>
      <c r="B5" s="108" t="s">
        <v>552</v>
      </c>
      <c r="C5" s="108" t="s">
        <v>553</v>
      </c>
      <c r="D5" s="108" t="s">
        <v>533</v>
      </c>
      <c r="E5" s="108" t="s">
        <v>526</v>
      </c>
      <c r="F5" s="161" t="s">
        <v>527</v>
      </c>
      <c r="G5" s="161" t="s">
        <v>528</v>
      </c>
      <c r="H5" s="161" t="s">
        <v>20</v>
      </c>
      <c r="I5" s="161" t="s">
        <v>554</v>
      </c>
      <c r="J5" s="161" t="s">
        <v>555</v>
      </c>
      <c r="K5" s="161" t="s">
        <v>556</v>
      </c>
      <c r="L5" s="161" t="s">
        <v>557</v>
      </c>
      <c r="M5" s="161" t="s">
        <v>558</v>
      </c>
      <c r="N5" s="161" t="s">
        <v>559</v>
      </c>
      <c r="O5" s="161" t="s">
        <v>560</v>
      </c>
      <c r="P5" s="162" t="s">
        <v>561</v>
      </c>
      <c r="Q5" s="163"/>
      <c r="R5" s="161" t="s">
        <v>562</v>
      </c>
      <c r="S5" s="164" t="s">
        <v>563</v>
      </c>
      <c r="T5" s="164" t="s">
        <v>564</v>
      </c>
      <c r="U5" s="164" t="s">
        <v>565</v>
      </c>
      <c r="V5" s="161" t="s">
        <v>566</v>
      </c>
      <c r="W5" s="161" t="s">
        <v>567</v>
      </c>
      <c r="X5" s="161" t="s">
        <v>568</v>
      </c>
      <c r="Y5" s="161" t="s">
        <v>569</v>
      </c>
      <c r="Z5" s="161" t="s">
        <v>570</v>
      </c>
      <c r="AA5" s="161" t="s">
        <v>571</v>
      </c>
      <c r="AB5" s="161" t="s">
        <v>572</v>
      </c>
      <c r="AC5" s="161" t="s">
        <v>573</v>
      </c>
      <c r="AD5" s="165" t="s">
        <v>535</v>
      </c>
      <c r="AE5" s="165" t="s">
        <v>536</v>
      </c>
      <c r="AF5" s="165" t="s">
        <v>574</v>
      </c>
      <c r="AG5" s="165" t="s">
        <v>575</v>
      </c>
      <c r="AH5" s="165" t="s">
        <v>576</v>
      </c>
      <c r="AI5" s="165" t="s">
        <v>577</v>
      </c>
      <c r="AJ5" s="206"/>
      <c r="AK5" s="207"/>
      <c r="AL5" s="157">
        <v>2850</v>
      </c>
      <c r="AM5" s="157">
        <v>2016.3</v>
      </c>
      <c r="AN5" s="158">
        <f t="shared" ref="AN5:AN22" si="0">IF(AL5="","",DEGREES(ACOS((AM5-AM4)/(AL5-AL4))))</f>
        <v>90.401073732072547</v>
      </c>
    </row>
    <row r="6" spans="1:40" s="315" customFormat="1" ht="15" customHeight="1" x14ac:dyDescent="0.35">
      <c r="A6" s="297">
        <v>1</v>
      </c>
      <c r="B6" s="298">
        <v>19</v>
      </c>
      <c r="C6" s="299">
        <f>IF(D6&gt;0,E6-J2,"")</f>
        <v>40.1</v>
      </c>
      <c r="D6" s="300">
        <v>65</v>
      </c>
      <c r="E6" s="301">
        <f>IF(D6&gt;0,D6-B6,"")</f>
        <v>46</v>
      </c>
      <c r="F6" s="302">
        <v>1</v>
      </c>
      <c r="G6" s="302">
        <v>41.69</v>
      </c>
      <c r="H6" s="303">
        <v>46</v>
      </c>
      <c r="I6" s="304">
        <f>IF(OR(F6="",G6=""),"",DEGREES(ACOS(COS(AD6-AD3)-(SIN(AD6)*SIN(AD3)*(1-COS(AE6-AE3)))))*(30/AI6))</f>
        <v>0.74812408913566253</v>
      </c>
      <c r="J6" s="302"/>
      <c r="K6" s="304">
        <f>IF(L6="","",J6+L6)</f>
        <v>9</v>
      </c>
      <c r="L6" s="302">
        <v>9</v>
      </c>
      <c r="M6" s="305" t="s">
        <v>578</v>
      </c>
      <c r="N6" s="304" t="str">
        <f>IF(SUM(IF(AND(E6&gt;K3,E5&lt;=J3),L3,0)+IF(AND(E6&gt;=K3,E5&lt;K3,E5&gt;J3),K3-E5,0)+IF(AND(E6&gt;J3,E5&lt;=J3,E6&lt;K3),E6-J3,0)+IF(AND(E6&lt;K3,E5&gt;J3,E6&gt;E5),E6-E5,0)+IF(AND(E6&gt;K4,E5&lt;=J4),L4,0)+IF(AND(E6&gt;=K4,E5&lt;K4,E5&gt;J4),K4-E5,0)+IF(AND(E6&gt;J4,E5&lt;J4,E6&lt;=K4),E6-J4,0)+IF(AND(E6&lt;K4,E5&gt;J4,E6&gt;E5),E6-E5,0)+IF(AND(E6&gt;K5,E5&lt;=J5),L5,0)+IF(AND(E6&gt;=K5,E5&lt;K5,E5&gt;J5),K5-E5,0)+IF(AND(E6&gt;J5,E5&lt;J5,E6&lt;=K5),E6-J5,0)+IF(AND(E6&lt;K5,E5&gt;J5,E6&gt;E5),E6-E5,0))=0,"",SUM(IF(AND(E6&gt;K3,E5&lt;=J3),L3,0)+IF(AND(E6&gt;=K3,E5&lt;K3,E5&gt;J3),K3-E5,0)+IF(AND(E6&gt;J3,E5&lt;=J3,E6&lt;K3),E6-J3,0)+IF(AND(E6&lt;K3,E5&gt;J3,E6&gt;E5),E6-E5,0)+IF(AND(E6&gt;K4,E5&lt;=J4),L4,0)+IF(AND(E6&gt;=K4,E5&lt;K4,E5&gt;J4),K4-E5,0)+IF(AND(E6&gt;J4,E5&lt;J4,E6&lt;=K4),E6-J4,0)+IF(AND(E6&lt;K4,E5&gt;J4,E6&gt;E5),E6-E5,0)+IF(AND(E6&gt;K5,E5&lt;=J5),L5,0)+IF(AND(E6&gt;=K5,E5&lt;K5,E5&gt;J5),K5-E5,0)+IF(AND(E6&gt;J5,E5&lt;J5,E6&lt;=K5),E6-J5,0)+IF(AND(E6&lt;K5,E5&gt;J5,E6&gt;E5),E6-E5,0)))</f>
        <v/>
      </c>
      <c r="O6" s="304">
        <f>SUM(IF(AND(D6&gt;K3,E6&lt;=J3),L3,0)+IF(AND(D6&gt;=K3,E6&lt;K3,E6&gt;J3),K3-E6,0)+IF(AND(D6&gt;J3,E6&lt;=J3,D6&lt;K3),D6-J3,0)+IF(AND(D6&lt;K3,E6&gt;J3,D6&gt;E6),D6-E6,0)+IF(AND(D6&gt;K4,E6&lt;=J4),L4,0)+IF(AND(D6&gt;=K4,E6&lt;K4,E6&gt;J4),K4-E6,0)+IF(AND(D6&gt;J4,E6&lt;J4,D6&lt;=K4),D6-J4,0)+IF(AND(D6&lt;K4,E6&gt;J4,D6&gt;E6),D6-E6,0)+IF(AND(D6&gt;K5,E6&lt;=J5),L5,0)+IF(AND(D6&gt;=K5,E6&lt;K5,E6&gt;J5),K5-E6,0)+IF(AND(D6&gt;J5,E6&lt;J5,D6&lt;=K5),D6-J5,0)+IF(AND(D6&lt;K5,E6&gt;J5,D6&gt;E6),D6-E6,0))</f>
        <v>0</v>
      </c>
      <c r="P6" s="306" t="e">
        <f>IF(AND(ISNUMBER(C6),ISNUMBER(I6)),(IF(AND(I6&gt;0,G6&lt;&gt;G5),ACOS((C6*X6/30)/(C6*I6/30))*180/PI(),IF(AND(F6&gt;F5,G6=G5),"H/S",IF(AND(F6&lt;F5,G6=G5),"L/S","")))),"")</f>
        <v>#NUM!</v>
      </c>
      <c r="Q6" s="307" t="str">
        <f>IF(ISNUMBER(P6),(IF(Y6&gt;0,"R","L")),"")</f>
        <v/>
      </c>
      <c r="R6" s="304">
        <f t="shared" ref="R6:R69" si="1">IF(V6="","",(SIN($AD$2)-SIN(AD6))*1719/($X$2-H6))</f>
        <v>0.85536276376699572</v>
      </c>
      <c r="S6" s="304">
        <f>IF(V6="","",IF(AND(N6="",O6=""),F6,IF(O6="",O6*AVERAGE(V5,#REF!,V4)+F6,O6*V6+F6)))</f>
        <v>1</v>
      </c>
      <c r="T6" s="304">
        <f t="shared" ref="T6:T69" si="2">IF(V6="","",H6+(COS((AG6+AD6)/2))*B6)</f>
        <v>64.997106207971427</v>
      </c>
      <c r="U6" s="304">
        <f t="shared" ref="U6:U69" si="3">IF(V6="","",(SIN($AD$2)-SIN(AG6))*1719/($X$2-T6))</f>
        <v>0.86367192373050805</v>
      </c>
      <c r="V6" s="303">
        <f>IF(F6="","",IF(N6="",IF(O6="",(F6-F2)/30,0),(F6-F2)/N6))</f>
        <v>0</v>
      </c>
      <c r="W6" s="304" t="e">
        <f t="shared" ref="W6:W69" si="4">IF(G6="","",IF(N6="",(G6-G5)/30,AH6/N6))</f>
        <v>#VALUE!</v>
      </c>
      <c r="X6" s="304">
        <f>IF(V6="","",(F6-F2)*30/AI6)</f>
        <v>0.74812967581047374</v>
      </c>
      <c r="Y6" s="304" t="e">
        <f t="shared" ref="Y6:Y69" si="5">IF(W6="","",IF(F6="","",AH6*30/AI6))</f>
        <v>#VALUE!</v>
      </c>
      <c r="Z6" s="304">
        <f t="shared" ref="Z6:Z27" si="6">IF(V6="","",IF(N6="",I6,AI6/N6*I6))</f>
        <v>0.74812408913566253</v>
      </c>
      <c r="AA6" s="308">
        <f t="shared" ref="AA6:AA69" si="7">+IF(Z6="","",IF(N6="",0,N6/AI6))</f>
        <v>0</v>
      </c>
      <c r="AB6" s="304">
        <f>IF(L6="","",C7-L6)</f>
        <v>7.9300000000000068</v>
      </c>
      <c r="AC6" s="309"/>
      <c r="AD6" s="310">
        <f t="shared" ref="AD6:AE69" si="8">IF(F6&gt;0,RADIANS(F6),"")</f>
        <v>1.7453292519943295E-2</v>
      </c>
      <c r="AE6" s="310">
        <f t="shared" si="8"/>
        <v>0.7276277651564359</v>
      </c>
      <c r="AF6" s="310">
        <f t="shared" ref="AF6:AF69" si="9">IF(F6="","",2/RADIANS(I6)*TAN(RADIANS(I6)/2))</f>
        <v>1.0000142078437229</v>
      </c>
      <c r="AG6" s="310">
        <f t="shared" ref="AG6:AG69" si="10">IF(S6="","",RADIANS(S6))</f>
        <v>1.7453292519943295E-2</v>
      </c>
      <c r="AH6" s="310">
        <f>IF(G6="","",IF(G6&gt;L2,IF((G6-L2)&gt;180,(G6-L2)-360,G6-L2),IF((G6-L2)&lt;-180,(G6-L2)+360,G6-L2)))</f>
        <v>41.689989999999995</v>
      </c>
      <c r="AI6" s="310">
        <f>+IF(E6="","",E6-J2)</f>
        <v>40.1</v>
      </c>
      <c r="AJ6" s="311">
        <f>IFERROR(IF(E6="","",IF(E6&lt;$AL$3,AN$4,INDEX(AN$4:AN$22,MATCH(E6,AL$3:AL$22,1)))),"")</f>
        <v>90.481622369169287</v>
      </c>
      <c r="AK6" s="311" t="str" cm="1">
        <f t="array" ref="AK6">IF(OR(E6="", H6=""), "",
  IFERROR(
     (
      INDEX($AM$3:$AM$22, MATCH(E6, $AL$3:$AL$22, 1)) +
      (E6 - INDEX($AL$3:$AL$22, MATCH(E6, $AL$3:$AL$22, 1))) *
      (INDEX($AM$3:$AM$22, MATCH(E6, $AL$3:$AL$22, 1)+1) - INDEX($AM$3:$AM$22, MATCH(E6, $AL$3:$AL$22, 1))) /
      (INDEX($AL$3:$AL$22, MATCH(E6, $AL$3:$AL$22, 1)+1) - INDEX($AL$3:$AL$22, MATCH(E6, $AL$3:$AL$22, 1)))
    ) - H6,
    ""
  )
)</f>
        <v/>
      </c>
      <c r="AL6" s="312">
        <v>2900</v>
      </c>
      <c r="AM6" s="313">
        <v>2012.8</v>
      </c>
      <c r="AN6" s="314">
        <f t="shared" si="0"/>
        <v>94.013987218056315</v>
      </c>
    </row>
    <row r="7" spans="1:40" s="315" customFormat="1" ht="15" customHeight="1" x14ac:dyDescent="0.35">
      <c r="A7" s="316">
        <f t="shared" ref="A7:B22" si="11">+A6</f>
        <v>1</v>
      </c>
      <c r="B7" s="317">
        <f t="shared" si="11"/>
        <v>19</v>
      </c>
      <c r="C7" s="318">
        <f>IF(D7&gt;0,D7-D6,"")</f>
        <v>16.930000000000007</v>
      </c>
      <c r="D7" s="319">
        <v>81.93</v>
      </c>
      <c r="E7" s="320">
        <f>IF(D7&gt;0,D7-B7,"")</f>
        <v>62.930000000000007</v>
      </c>
      <c r="F7" s="321">
        <v>1.46</v>
      </c>
      <c r="G7" s="321">
        <v>82.08</v>
      </c>
      <c r="H7" s="322">
        <f t="shared" ref="H7:H70" si="12">IF(F7="","",H6+(COS((AD7+AD6)/2))*AI7)</f>
        <v>62.926099006366663</v>
      </c>
      <c r="I7" s="323">
        <f t="shared" ref="I7:I70" si="13">IF(OR(F7="",G7=""),"",DEGREES(ACOS(COS(AD7-AD6)-(SIN(AD7)*SIN(AD6)*(1-COS(AE7-AE6)))))*(30/AI7))</f>
        <v>1.6880468697698487</v>
      </c>
      <c r="J7" s="321">
        <f t="shared" ref="J7:J70" si="14">IF(L7="","",D7)</f>
        <v>81.93</v>
      </c>
      <c r="K7" s="323">
        <f>IF(L7="","",J7+L7)</f>
        <v>89.93</v>
      </c>
      <c r="L7" s="321">
        <v>8</v>
      </c>
      <c r="M7" s="321" t="s">
        <v>578</v>
      </c>
      <c r="N7" s="323" t="str">
        <f>IF(SUM(IF(AND(E7&gt;K4,E6&lt;=J4),L4,0)+IF(AND(E7&gt;=K4,E6&lt;K4,E6&gt;J4),K4-E6,0)+IF(AND(E7&gt;J4,E6&lt;=J4,E7&lt;K4),E7-J4,0)+IF(AND(E7&lt;K4,E6&gt;J4,E7&gt;E6),E7-E6,0)+IF(AND(E7&gt;K5,E6&lt;=J5),L5,0)+IF(AND(E7&gt;=K5,E6&lt;K5,E6&gt;J5),K5-E6,0)+IF(AND(E7&gt;J5,E6&lt;J5,E7&lt;=K5),E7-J5,0)+IF(AND(E7&lt;K5,E6&gt;J5,E7&gt;E6),E7-E6,0)+IF(AND(E7&gt;K6,E6&lt;=J6),L6,0)+IF(AND(E7&gt;=K6,E6&lt;K6,E6&gt;J6),K6-E6,0)+IF(AND(E7&gt;J6,E6&lt;J6,E7&lt;=K6),E7-J6,0)+IF(AND(E7&lt;K6,E6&gt;J6,E7&gt;E6),E7-E6,0))=0,"",SUM(IF(AND(E7&gt;K4,E6&lt;=J4),L4,0)+IF(AND(E7&gt;=K4,E6&lt;K4,E6&gt;J4),K4-E6,0)+IF(AND(E7&gt;J4,E6&lt;=J4,E7&lt;K4),E7-J4,0)+IF(AND(E7&lt;K4,E6&gt;J4,E7&gt;E6),E7-E6,0)+IF(AND(E7&gt;K5,E6&lt;=J5),L5,0)+IF(AND(E7&gt;=K5,E6&lt;K5,E6&gt;J5),K5-E6,0)+IF(AND(E7&gt;J5,E6&lt;J5,E7&lt;=K5),E7-J5,0)+IF(AND(E7&lt;K5,E6&gt;J5,E7&gt;E6),E7-E6,0)+IF(AND(E7&gt;K6,E6&lt;=J6),L6,0)+IF(AND(E7&gt;=K6,E6&lt;K6,E6&gt;J6),K6-E6,0)+IF(AND(E7&gt;J6,E6&lt;J6,E7&lt;=K6),E7-J6,0)+IF(AND(E7&lt;K6,E6&gt;J6,E7&gt;E6),E7-E6,0)))</f>
        <v/>
      </c>
      <c r="O7" s="323">
        <f>SUM(IF(AND(D7&gt;K4,E7&lt;=J4),L4,0)+IF(AND(D7&gt;=K4,E7&lt;K4,E7&gt;J4),K4-E7,0)+IF(AND(D7&gt;J4,E7&lt;=J4,D7&lt;K4),D7-J4,0)+IF(AND(D7&lt;K4,E7&gt;J4,D7&gt;E7),D7-E7,0)+IF(AND(D7&gt;K5,E7&lt;=J5),L5,0)+IF(AND(D7&gt;=K5,E7&lt;K5,E7&gt;J5),K5-E7,0)+IF(AND(D7&gt;J5,E7&lt;J5,D7&lt;=K5),D7-J5,0)+IF(AND(D7&lt;K5,E7&gt;J5,D7&gt;E7),D7-E7,0)+IF(AND(D7&gt;K6,E7&lt;=J6),L6,0)+IF(AND(D7&gt;=K6,E7&lt;K6,E7&gt;J6),K6-E7,0)+IF(AND(D7&gt;J6,E7&lt;J6,D7&lt;=K6),D7-J6,0)+IF(AND(D7&lt;K6,E7&gt;J6,D7&gt;E7),D7-E7,0))</f>
        <v>0</v>
      </c>
      <c r="P7" s="324">
        <f t="shared" ref="P7:P70" si="15">IF(AND(ISNUMBER(C7),ISNUMBER(I7)),(IF(AND(I7&gt;0,G7&lt;&gt;G6),ACOS((C7*X7/30)/(C7*I7/30))*180/PI(),IF(AND(F7&gt;F6,G7=G6),"H/S",IF(AND(F7&lt;F6,G7=G6),"L/S","")))),"")</f>
        <v>61.126446819397827</v>
      </c>
      <c r="Q7" s="325" t="str">
        <f t="shared" ref="Q7:Q70" si="16">IF(ISNUMBER(P7),(IF(Y7&gt;0,"R","L")),"")</f>
        <v>R</v>
      </c>
      <c r="R7" s="323">
        <f t="shared" si="1"/>
        <v>0.85571019413917004</v>
      </c>
      <c r="S7" s="323">
        <f>IF(V7="","",IF(AND(N7="",O7=""),F7,IF(O7="",O7*AVERAGE(V6,V5,#REF!)+F7,O7*V7+F7)))</f>
        <v>1.46</v>
      </c>
      <c r="T7" s="323">
        <f>IF(V7="","",H7+(COS((AG7+AD7)/2))*B7)</f>
        <v>81.919930776467538</v>
      </c>
      <c r="U7" s="323">
        <f t="shared" si="3"/>
        <v>0.86409384429860514</v>
      </c>
      <c r="V7" s="322">
        <f>IF(F7="","",IF(N7="",IF(O7="",(F7-F6)/30,AVERAGE(V6,V5)),(F7-F6)/N7))</f>
        <v>0</v>
      </c>
      <c r="W7" s="323">
        <f t="shared" si="4"/>
        <v>1.3463333333333334</v>
      </c>
      <c r="X7" s="323">
        <f t="shared" ref="X7:X70" si="17">IF(V7="","",(F7-F6)*30/AI7)</f>
        <v>0.81512108682811535</v>
      </c>
      <c r="Y7" s="323">
        <f t="shared" si="5"/>
        <v>71.571175428233872</v>
      </c>
      <c r="Z7" s="323">
        <f t="shared" si="6"/>
        <v>1.6880468697698487</v>
      </c>
      <c r="AA7" s="326">
        <f t="shared" si="7"/>
        <v>0</v>
      </c>
      <c r="AB7" s="323">
        <f t="shared" ref="AB7:AB70" si="18">IF(L7="","",C8-L7)</f>
        <v>20.97</v>
      </c>
      <c r="AC7" s="327"/>
      <c r="AD7" s="328">
        <f t="shared" si="8"/>
        <v>2.5481807079117211E-2</v>
      </c>
      <c r="AE7" s="328">
        <f t="shared" si="8"/>
        <v>1.4325662500369456</v>
      </c>
      <c r="AF7" s="328">
        <f t="shared" si="9"/>
        <v>1.000072340280731</v>
      </c>
      <c r="AG7" s="328">
        <f t="shared" si="10"/>
        <v>2.5481807079117211E-2</v>
      </c>
      <c r="AH7" s="328">
        <f t="shared" ref="AH7:AH70" si="19">IF(G7="","",IF(G7&gt;G6,IF((G7-G6)&gt;180,(G7-G6)-360,G7-G6),IF((G7-G6)&lt;-180,(G7-G6)+360,G7-G6)))</f>
        <v>40.39</v>
      </c>
      <c r="AI7" s="328">
        <f t="shared" ref="AI7:AI70" si="20">+IF(E7="","",E7-E6)</f>
        <v>16.930000000000007</v>
      </c>
      <c r="AJ7" s="329">
        <f t="shared" ref="AJ7:AJ70" si="21">IFERROR(IF(E7="","",IF(E7&lt;$AL$3,AN$4,INDEX(AN$4:AN$22,MATCH(E7,AL$3:AL$22,1)))),"")</f>
        <v>90.481622369169287</v>
      </c>
      <c r="AK7" s="329" t="str" cm="1">
        <f t="array" ref="AK7">IF(OR(E7="", H7=""), "",
  IFERROR(
     (
      INDEX($AM$3:$AM$22, MATCH(E7, $AL$3:$AL$22, 1)) +
      (E7 - INDEX($AL$3:$AL$22, MATCH(E7, $AL$3:$AL$22, 1))) *
      (INDEX($AM$3:$AM$22, MATCH(E7, $AL$3:$AL$22, 1)+1) - INDEX($AM$3:$AM$22, MATCH(E7, $AL$3:$AL$22, 1))) /
      (INDEX($AL$3:$AL$22, MATCH(E7, $AL$3:$AL$22, 1)+1) - INDEX($AL$3:$AL$22, MATCH(E7, $AL$3:$AL$22, 1)))
    ) - H7,
    ""
  )
)</f>
        <v/>
      </c>
      <c r="AL7" s="330">
        <v>3100</v>
      </c>
      <c r="AM7" s="331">
        <v>2010.4</v>
      </c>
      <c r="AN7" s="332">
        <f t="shared" si="0"/>
        <v>90.687565856410814</v>
      </c>
    </row>
    <row r="8" spans="1:40" s="315" customFormat="1" ht="15" customHeight="1" x14ac:dyDescent="0.35">
      <c r="A8" s="297">
        <f t="shared" si="11"/>
        <v>1</v>
      </c>
      <c r="B8" s="298">
        <f t="shared" si="11"/>
        <v>19</v>
      </c>
      <c r="C8" s="299">
        <f>IF(D8&gt;0,D8-D7,"")</f>
        <v>28.97</v>
      </c>
      <c r="D8" s="300">
        <v>110.9</v>
      </c>
      <c r="E8" s="301">
        <f>IF(D8&gt;0,D8-B8,"")</f>
        <v>91.9</v>
      </c>
      <c r="F8" s="302">
        <v>5.51</v>
      </c>
      <c r="G8" s="302">
        <v>129.88</v>
      </c>
      <c r="H8" s="303">
        <f t="shared" si="12"/>
        <v>91.842526137872269</v>
      </c>
      <c r="I8" s="304">
        <f t="shared" si="13"/>
        <v>4.8217964145018763</v>
      </c>
      <c r="J8" s="302">
        <f t="shared" si="14"/>
        <v>110.9</v>
      </c>
      <c r="K8" s="304">
        <f>IF(L8="","",J8+L8)</f>
        <v>115.9</v>
      </c>
      <c r="L8" s="302">
        <v>5</v>
      </c>
      <c r="M8" s="302" t="s">
        <v>579</v>
      </c>
      <c r="N8" s="304">
        <f>IF(SUM(IF(AND(E8&gt;K4,E7&lt;=J4),L4,0)+IF(AND(E8&gt;=K4,E7&lt;K4,E7&gt;J4),K4-E7,0)+IF(AND(E8&gt;J4,E7&lt;=J4,E8&lt;K4),E8-J4,0)+IF(AND(E8&lt;K4,E7&gt;J4,E8&gt;E7),E8-E7,0)+IF(AND(E8&gt;K5,E7&lt;=J5),L5,0)+IF(AND(E8&gt;=K5,E7&lt;K5,E7&gt;J5),K5-E7,0)+IF(AND(E8&gt;J5,E7&lt;=J5,E8&lt;K5),E8-J5,0)+IF(AND(E8&lt;K5,E7&gt;J5,E8&gt;E7),E8-E7,0)+IF(AND(E8&gt;K6,E7&lt;=J6),L6,0)+IF(AND(E8&gt;=K6,E7&lt;K6,E7&gt;J6),K6-E7,0)+IF(AND(E8&gt;J6,E7&lt;J6,E8&lt;=K6),E8-J6,0)+IF(AND(E8&lt;K6,E7&gt;J6,E8&gt;E7),E8-E7,0)+IF(AND(E8&gt;K7,E7&lt;=J7),L7,0)+IF(AND(E8&gt;=K7,E7&lt;K7,E7&gt;J7),K7-E7,0)+IF(AND(E8&gt;J7,E7&lt;J7,E8&lt;=K7),E8-J7,0)+IF(AND(E8&lt;K7,E7&gt;J7,E8&gt;E7),E8-E7,0))=0,"",SUM(IF(AND(E8&gt;K4,E7&lt;=J4),L4,0)+IF(AND(E8&gt;=K4,E7&lt;K4,E7&gt;J4),K4-E7,0)+IF(AND(E8&gt;J4,E7&lt;=J4,E8&lt;K4),E8-J4,0)+IF(AND(E8&lt;K4,E7&gt;J4,E8&gt;E7),E8-E7,0)+IF(AND(E8&gt;K5,E7&lt;=J5),L5,0)+IF(AND(E8&gt;=K5,E7&lt;K5,E7&gt;J5),K5-E7,0)+IF(AND(E8&gt;J5,E7&lt;=J5,E8&lt;K5),E8-J5,0)+IF(AND(E8&lt;K5,E7&gt;J5,E8&gt;E7),E8-E7,0)+IF(AND(E8&gt;K6,E7&lt;=J6),L6,0)+IF(AND(E8&gt;=K6,E7&lt;K6,E7&gt;J6),K6-E7,0)+IF(AND(E8&gt;J6,E7&lt;J6,E8&lt;=K6),E8-J6,0)+IF(AND(E8&lt;K6,E7&gt;J6,E8&gt;E7),E8-E7,0)+IF(AND(E8&gt;K7,E7&lt;=J7),L7,0)+IF(AND(E8&gt;=K7,E7&lt;K7,E7&gt;J7),K7-E7,0)+IF(AND(E8&gt;J7,E7&lt;J7,E8&lt;=K7),E8-J7,0)+IF(AND(E8&lt;K7,E7&gt;J7,E8&gt;E7),E8-E7,0)))</f>
        <v>8</v>
      </c>
      <c r="O8" s="304">
        <f>SUM(IF(AND(D8&gt;K5,E8&lt;=J5),L5,0)+IF(AND(D8&gt;=K5,E8&lt;K5,E8&gt;J5),K5-E8,0)+IF(AND(D8&gt;J5,E8&lt;=J5,D8&lt;K5),D8-J5,0)+IF(AND(D8&lt;K5,E8&gt;J5,D8&gt;E8),D8-E8,0)+IF(AND(D8&gt;K6,E8&lt;=J6),L6,0)+IF(AND(D8&gt;=K6,E8&lt;K6,E8&gt;J6),K6-E8,0)+IF(AND(D8&gt;J6,E8&lt;J6,D8&lt;=K6),D8-J6,0)+IF(AND(D8&lt;K6,E8&gt;J6,D8&gt;E8),D8-E8,0)+IF(AND(D8&gt;K7,E8&lt;=J7),L7,0)+IF(AND(D8&gt;=K7,E8&lt;K7,E8&gt;J7),K7-E8,0)+IF(AND(D8&gt;J7,E8&lt;J7,D8&lt;=K7),D8-J7,0)+IF(AND(D8&lt;K7,E8&gt;J7,D8&gt;E8),D8-E8,0))</f>
        <v>0</v>
      </c>
      <c r="P8" s="306">
        <f t="shared" si="15"/>
        <v>29.564707499448883</v>
      </c>
      <c r="Q8" s="307" t="str">
        <f t="shared" si="16"/>
        <v>R</v>
      </c>
      <c r="R8" s="304">
        <f t="shared" si="1"/>
        <v>0.80567024840136037</v>
      </c>
      <c r="S8" s="304">
        <f>IF(V8="","",IF(AND(N8="",O8=""),F8,IF(O8="",O8*AVERAGE(V7,V6,V5)+F8,O8*V8+F8)))</f>
        <v>5.51</v>
      </c>
      <c r="T8" s="304">
        <f t="shared" si="2"/>
        <v>110.75473578224447</v>
      </c>
      <c r="U8" s="304">
        <f t="shared" si="3"/>
        <v>0.81364838407940487</v>
      </c>
      <c r="V8" s="303">
        <f>IF(F8="","",IF(N8="",IF(O8="",(F8-F7)/30,AVERAGE(V7,V6,V5)),(F8-F7)/N8))</f>
        <v>0.50624999999999998</v>
      </c>
      <c r="W8" s="304">
        <f t="shared" si="4"/>
        <v>5.9749999999999996</v>
      </c>
      <c r="X8" s="304">
        <f t="shared" si="17"/>
        <v>4.1939937866758719</v>
      </c>
      <c r="Y8" s="304">
        <f t="shared" si="5"/>
        <v>49.4994822229893</v>
      </c>
      <c r="Z8" s="304">
        <f t="shared" si="6"/>
        <v>17.46093026601492</v>
      </c>
      <c r="AA8" s="308">
        <f t="shared" si="7"/>
        <v>0.27614773904038664</v>
      </c>
      <c r="AB8" s="304">
        <f t="shared" si="18"/>
        <v>22.739999999999981</v>
      </c>
      <c r="AC8" s="309"/>
      <c r="AD8" s="310">
        <f t="shared" si="8"/>
        <v>9.6167641784887556E-2</v>
      </c>
      <c r="AE8" s="310">
        <f t="shared" si="8"/>
        <v>2.266833632490235</v>
      </c>
      <c r="AF8" s="310">
        <f t="shared" si="9"/>
        <v>1.0005906074475877</v>
      </c>
      <c r="AG8" s="310">
        <f t="shared" si="10"/>
        <v>9.6167641784887556E-2</v>
      </c>
      <c r="AH8" s="310">
        <f t="shared" si="19"/>
        <v>47.8</v>
      </c>
      <c r="AI8" s="310">
        <f t="shared" si="20"/>
        <v>28.97</v>
      </c>
      <c r="AJ8" s="311">
        <f t="shared" si="21"/>
        <v>90.481622369169287</v>
      </c>
      <c r="AK8" s="311" t="str" cm="1">
        <f t="array" ref="AK8">IF(OR(E8="", H8=""), "",
  IFERROR(
     (
      INDEX($AM$3:$AM$22, MATCH(E8, $AL$3:$AL$22, 1)) +
      (E8 - INDEX($AL$3:$AL$22, MATCH(E8, $AL$3:$AL$22, 1))) *
      (INDEX($AM$3:$AM$22, MATCH(E8, $AL$3:$AL$22, 1)+1) - INDEX($AM$3:$AM$22, MATCH(E8, $AL$3:$AL$22, 1))) /
      (INDEX($AL$3:$AL$22, MATCH(E8, $AL$3:$AL$22, 1)+1) - INDEX($AL$3:$AL$22, MATCH(E8, $AL$3:$AL$22, 1)))
    ) - H8,
    ""
  )
)</f>
        <v/>
      </c>
      <c r="AL8" s="312">
        <v>3300</v>
      </c>
      <c r="AM8" s="313">
        <v>2007.3</v>
      </c>
      <c r="AN8" s="314">
        <f t="shared" si="0"/>
        <v>90.888120146684699</v>
      </c>
    </row>
    <row r="9" spans="1:40" s="315" customFormat="1" ht="15" customHeight="1" x14ac:dyDescent="0.35">
      <c r="A9" s="316">
        <f t="shared" si="11"/>
        <v>1</v>
      </c>
      <c r="B9" s="317">
        <f t="shared" si="11"/>
        <v>19</v>
      </c>
      <c r="C9" s="318">
        <f>IF(D9&gt;0,D9-D8,"")</f>
        <v>27.739999999999981</v>
      </c>
      <c r="D9" s="319">
        <v>138.63999999999999</v>
      </c>
      <c r="E9" s="320">
        <f>IF(D9&gt;0,D9-B9,"")</f>
        <v>119.63999999999999</v>
      </c>
      <c r="F9" s="321">
        <v>5.91</v>
      </c>
      <c r="G9" s="321">
        <v>146.72</v>
      </c>
      <c r="H9" s="322">
        <f t="shared" si="12"/>
        <v>119.44488636731039</v>
      </c>
      <c r="I9" s="323">
        <f t="shared" si="13"/>
        <v>1.855545300276642</v>
      </c>
      <c r="J9" s="321" t="str">
        <f t="shared" si="14"/>
        <v/>
      </c>
      <c r="K9" s="323" t="str">
        <f>IF(L9="","",J9+L9)</f>
        <v/>
      </c>
      <c r="L9" s="321"/>
      <c r="M9" s="321"/>
      <c r="N9" s="323">
        <f>IF(SUM(IF(AND(E9&gt;K5,E8&lt;=J5),L5,0)+IF(AND(E9&gt;=K5,E8&lt;K5,E8&gt;J5),K5-E8,0)+IF(AND(E9&gt;J5,E8&lt;=J5,E9&lt;K5),E9-J5,0)+IF(AND(E9&lt;K5,E8&gt;J5,E9&gt;E8),E9-E8,0)+IF(AND(E9&gt;K6,E8&lt;=J6),L6,0)+IF(AND(E9&gt;=K6,E8&lt;K6,E8&gt;J6),K6-E8,0)+IF(AND(E9&gt;J6,E8&lt;=J6,E9&lt;K6),E9-J6,0)+IF(AND(E9&lt;K6,E8&gt;J6,E9&gt;E8),E9-E8,0)+IF(AND(E9&gt;K7,E8&lt;=J7),L7,0)+IF(AND(E9&gt;=K7,E8&lt;K7,E8&gt;J7),K7-E8,0)+IF(AND(E9&gt;J7,E8&lt;J7,E9&lt;=K7),E9-J7,0)+IF(AND(E9&lt;K7,E8&gt;J7,E9&gt;E8),E9-E8,0)+IF(AND(E9&gt;K8,E8&lt;=J8),L8,0)+IF(AND(E9&gt;=K8,E8&lt;K8,E8&gt;J8),K8-E8,0)+IF(AND(E9&gt;J8,E8&lt;J8,E9&lt;=K8),E9-J8,0)+IF(AND(E9&lt;K8,E8&gt;J8,E9&gt;E8),E9-E8,0))=0,"",SUM(IF(AND(E9&gt;K5,E8&lt;=J5),L5,0)+IF(AND(E9&gt;=K5,E8&lt;K5,E8&gt;J5),K5-E8,0)+IF(AND(E9&gt;J5,E8&lt;=J5,E9&lt;K5),E9-J5,0)+IF(AND(E9&lt;K5,E8&gt;J5,E9&gt;E8),E9-E8,0)+IF(AND(E9&gt;K6,E8&lt;=J6),L6,0)+IF(AND(E9&gt;=K6,E8&lt;K6,E8&gt;J6),K6-E8,0)+IF(AND(E9&gt;J6,E8&lt;=J6,E9&lt;K6),E9-J6,0)+IF(AND(E9&lt;K6,E8&gt;J6,E9&gt;E8),E9-E8,0)+IF(AND(E9&gt;K7,E8&lt;=J7),L7,0)+IF(AND(E9&gt;=K7,E8&lt;K7,E8&gt;J7),K7-E8,0)+IF(AND(E9&gt;J7,E8&lt;J7,E9&lt;=K7),E9-J7,0)+IF(AND(E9&lt;K7,E8&gt;J7,E9&gt;E8),E9-E8,0)+IF(AND(E9&gt;K8,E8&lt;=J8),L8,0)+IF(AND(E9&gt;=K8,E8&lt;K8,E8&gt;J8),K8-E8,0)+IF(AND(E9&gt;J8,E8&lt;J8,E9&lt;=K8),E9-J8,0)+IF(AND(E9&lt;K8,E8&gt;J8,E9&gt;E8),E9-E8,0)))</f>
        <v>5</v>
      </c>
      <c r="O9" s="323">
        <f>SUM(IF(AND(D9&gt;K6,E9&lt;=J6),L6,0)+IF(AND(D9&gt;=K6,E9&lt;K6,E9&gt;J6),K6-E9,0)+IF(AND(D9&gt;J6,E9&lt;=J6,D9&lt;K6),D9-J6,0)+IF(AND(D9&lt;K6,E9&gt;J6,D9&gt;E9),D9-E9,0)+IF(AND(D9&gt;K7,E9&lt;=J7),L7,0)+IF(AND(D9&gt;=K7,E9&lt;K7,E9&gt;J7),K7-E9,0)+IF(AND(D9&gt;J7,E9&lt;J7,D9&lt;=K7),D9-J7,0)+IF(AND(D9&lt;K7,E9&gt;J7,D9&gt;E9),D9-E9,0)+IF(AND(D9&gt;K8,E9&lt;=J8),L8,0)+IF(AND(D9&gt;=K8,E9&lt;K8,E9&gt;J8),K8-E9,0)+IF(AND(D9&gt;J8,E9&lt;J8,D9&lt;=K8),D9-J8,0)+IF(AND(D9&lt;K8,E9&gt;J8,D9&gt;E9),D9-E9,0))</f>
        <v>0</v>
      </c>
      <c r="P9" s="324">
        <f t="shared" si="15"/>
        <v>76.518421558663121</v>
      </c>
      <c r="Q9" s="325" t="str">
        <f t="shared" si="16"/>
        <v>R</v>
      </c>
      <c r="R9" s="323">
        <f t="shared" si="1"/>
        <v>0.81108647478143914</v>
      </c>
      <c r="S9" s="323">
        <f>IF(V9="","",IF(AND(N9="",O9=""),F9,IF(O9="",O9*AVERAGE(V8,V7,V6)+F9,O9*V9+F9)))</f>
        <v>5.91</v>
      </c>
      <c r="T9" s="323">
        <f>IF(V9="","",H9+(COS((AG9+AD9)/2))*B9)</f>
        <v>138.34389873172427</v>
      </c>
      <c r="U9" s="323">
        <f t="shared" si="3"/>
        <v>0.81923028332331338</v>
      </c>
      <c r="V9" s="322">
        <f>IF(F9="","",IF(N9="",IF(O9="",(F9-F8)/30,AVERAGE(V8,V7,V6)),(F9-F8)/N9))</f>
        <v>8.0000000000000071E-2</v>
      </c>
      <c r="W9" s="323">
        <f t="shared" si="4"/>
        <v>3.3680000000000008</v>
      </c>
      <c r="X9" s="323">
        <f t="shared" si="17"/>
        <v>0.43258832011535758</v>
      </c>
      <c r="Y9" s="323">
        <f t="shared" si="5"/>
        <v>18.211968276856542</v>
      </c>
      <c r="Z9" s="323">
        <f t="shared" si="6"/>
        <v>10.294565325934803</v>
      </c>
      <c r="AA9" s="326">
        <f t="shared" si="7"/>
        <v>0.18024513338139883</v>
      </c>
      <c r="AB9" s="323" t="str">
        <f t="shared" si="18"/>
        <v/>
      </c>
      <c r="AC9" s="327"/>
      <c r="AD9" s="328">
        <f t="shared" si="8"/>
        <v>0.10314895879286488</v>
      </c>
      <c r="AE9" s="328">
        <f t="shared" si="8"/>
        <v>2.5607470785260804</v>
      </c>
      <c r="AF9" s="328">
        <f t="shared" si="9"/>
        <v>1.0000874102100406</v>
      </c>
      <c r="AG9" s="328">
        <f t="shared" si="10"/>
        <v>0.10314895879286488</v>
      </c>
      <c r="AH9" s="328">
        <f t="shared" si="19"/>
        <v>16.840000000000003</v>
      </c>
      <c r="AI9" s="328">
        <f t="shared" si="20"/>
        <v>27.739999999999981</v>
      </c>
      <c r="AJ9" s="329">
        <f t="shared" si="21"/>
        <v>90.481622369169287</v>
      </c>
      <c r="AK9" s="329" t="str" cm="1">
        <f t="array" ref="AK9">IF(OR(E9="", H9=""), "",
  IFERROR(
     (
      INDEX($AM$3:$AM$22, MATCH(E9, $AL$3:$AL$22, 1)) +
      (E9 - INDEX($AL$3:$AL$22, MATCH(E9, $AL$3:$AL$22, 1))) *
      (INDEX($AM$3:$AM$22, MATCH(E9, $AL$3:$AL$22, 1)+1) - INDEX($AM$3:$AM$22, MATCH(E9, $AL$3:$AL$22, 1))) /
      (INDEX($AL$3:$AL$22, MATCH(E9, $AL$3:$AL$22, 1)+1) - INDEX($AL$3:$AL$22, MATCH(E9, $AL$3:$AL$22, 1)))
    ) - H9,
    ""
  )
)</f>
        <v/>
      </c>
      <c r="AL9" s="330">
        <v>3500</v>
      </c>
      <c r="AM9" s="331">
        <v>2005.7</v>
      </c>
      <c r="AN9" s="332">
        <f t="shared" si="0"/>
        <v>90.4583711254853</v>
      </c>
    </row>
    <row r="10" spans="1:40" s="315" customFormat="1" ht="15" customHeight="1" x14ac:dyDescent="0.35">
      <c r="A10" s="297">
        <f t="shared" si="11"/>
        <v>1</v>
      </c>
      <c r="B10" s="298">
        <f t="shared" si="11"/>
        <v>19</v>
      </c>
      <c r="C10" s="299">
        <f>IF(D10&gt;0,D10-D9,"")</f>
        <v>28.100000000000023</v>
      </c>
      <c r="D10" s="300">
        <v>166.74</v>
      </c>
      <c r="E10" s="301">
        <f>IF(D10&gt;0,D10-B10,"")</f>
        <v>147.74</v>
      </c>
      <c r="F10" s="302">
        <v>5.53</v>
      </c>
      <c r="G10" s="302">
        <v>145.94</v>
      </c>
      <c r="H10" s="303">
        <f t="shared" si="12"/>
        <v>147.40497197712074</v>
      </c>
      <c r="I10" s="304">
        <f t="shared" si="13"/>
        <v>0.41408739131350131</v>
      </c>
      <c r="J10" s="302" t="str">
        <f t="shared" si="14"/>
        <v/>
      </c>
      <c r="K10" s="304" t="str">
        <f>IF(L10="","",J10+L10)</f>
        <v/>
      </c>
      <c r="L10" s="302"/>
      <c r="M10" s="305"/>
      <c r="N10" s="304" t="str">
        <f>IF(SUM(IF(AND(E10&gt;K6,E9&lt;=J6),L6,0)+IF(AND(E10&gt;=K6,E9&lt;K6,E9&gt;J6),K6-E9,0)+IF(AND(E10&gt;J6,E9&lt;=J6,E10&lt;K6),E10-J6,0)+IF(AND(E10&lt;K6,E9&gt;J6,E10&gt;E9),E10-E9,0)+IF(AND(E10&gt;K7,E9&lt;=J7),L7,0)+IF(AND(E10&gt;=K7,E9&lt;K7,E9&gt;J7),K7-E9,0)+IF(AND(E10&gt;J7,E9&lt;=J7,E10&lt;K7),E10-J7,0)+IF(AND(E10&lt;K7,E9&gt;J7,E10&gt;E9),E10-E9,0)+IF(AND(E10&gt;K8,E9&lt;=J8),L8,0)+IF(AND(E10&gt;=K8,E9&lt;K8,E9&gt;J8),K8-E9,0)+IF(AND(E10&gt;J8,E9&lt;J8,E10&lt;=K8),E10-J8,0)+IF(AND(E10&lt;K8,E9&gt;J8,E10&gt;E9),E10-E9,0)+IF(AND(E10&gt;K9,E9&lt;=J9),L9,0)+IF(AND(E10&gt;=K9,E9&lt;K9,E9&gt;J9),K9-E9,0)+IF(AND(E10&gt;J9,E9&lt;J9,E10&lt;=K9),E10-J9,0)+IF(AND(E10&lt;K9,E9&gt;J9,E10&gt;E9),E10-E9,0))=0,"",SUM(IF(AND(E10&gt;K6,E9&lt;=J6),L6,0)+IF(AND(E10&gt;=K6,E9&lt;K6,E9&gt;J6),K6-E9,0)+IF(AND(E10&gt;J6,E9&lt;=J6,E10&lt;K6),E10-J6,0)+IF(AND(E10&lt;K6,E9&gt;J6,E10&gt;E9),E10-E9,0)+IF(AND(E10&gt;K7,E9&lt;=J7),L7,0)+IF(AND(E10&gt;=K7,E9&lt;K7,E9&gt;J7),K7-E9,0)+IF(AND(E10&gt;J7,E9&lt;=J7,E10&lt;K7),E10-J7,0)+IF(AND(E10&lt;K7,E9&gt;J7,E10&gt;E9),E10-E9,0)+IF(AND(E10&gt;K8,E9&lt;=J8),L8,0)+IF(AND(E10&gt;=K8,E9&lt;K8,E9&gt;J8),K8-E9,0)+IF(AND(E10&gt;J8,E9&lt;J8,E10&lt;=K8),E10-J8,0)+IF(AND(E10&lt;K8,E9&gt;J8,E10&gt;E9),E10-E9,0)+IF(AND(E10&gt;K9,E9&lt;=J9),L9,0)+IF(AND(E10&gt;=K9,E9&lt;K9,E9&gt;J9),K9-E9,0)+IF(AND(E10&gt;J9,E9&lt;J9,E10&lt;=K9),E10-J9,0)+IF(AND(E10&lt;K9,E9&gt;J9,E10&gt;E9),E10-E9,0)))</f>
        <v/>
      </c>
      <c r="O10" s="304">
        <f>SUM(IF(AND(D10&gt;K7,E10&lt;=J7),L7,0)+IF(AND(D10&gt;=K7,E10&lt;K7,E10&gt;J7),K7-E10,0)+IF(AND(D10&gt;J7,E10&lt;=J7,D10&lt;K7),D10-J7,0)+IF(AND(D10&lt;K7,E10&gt;J7,D10&gt;E10),D10-E10,0)+IF(AND(D10&gt;K8,E10&lt;=J8),L8,0)+IF(AND(D10&gt;=K8,E10&lt;K8,E10&gt;J8),K8-E10,0)+IF(AND(D10&gt;J8,E10&lt;J8,D10&lt;=K8),D10-J8,0)+IF(AND(D10&lt;K8,E10&gt;J8,D10&gt;E10),D10-E10,0)+IF(AND(D10&gt;K9,E10&lt;=J9),L9,0)+IF(AND(D10&gt;=K9,E10&lt;K9,E10&gt;J9),K9-E10,0)+IF(AND(D10&gt;J9,E10&lt;J9,D10&lt;=K9),D10-J9,0)+IF(AND(D10&lt;K9,E10&gt;J9,D10&gt;E10),D10-E10,0))</f>
        <v>0</v>
      </c>
      <c r="P10" s="306">
        <f t="shared" si="15"/>
        <v>168.44425422296084</v>
      </c>
      <c r="Q10" s="307" t="str">
        <f t="shared" si="16"/>
        <v>L</v>
      </c>
      <c r="R10" s="304">
        <f t="shared" si="1"/>
        <v>0.82924907883959653</v>
      </c>
      <c r="S10" s="304">
        <f>IF(V10="","",IF(AND(N10="",O10=""),F10,IF(O10="",O10*AVERAGE(V9,V8,V7)+F10,O10*V10+F10)))</f>
        <v>5.53</v>
      </c>
      <c r="T10" s="304">
        <f t="shared" si="2"/>
        <v>166.31654364399768</v>
      </c>
      <c r="U10" s="304">
        <f t="shared" si="3"/>
        <v>0.83770647154857603</v>
      </c>
      <c r="V10" s="303">
        <f>IF(F10="","",IF(N10="",IF(O10="",(F10-F9)/30,AVERAGE(V9,V8,V7)),(F10-F9)/N10))</f>
        <v>0.19541666666666668</v>
      </c>
      <c r="W10" s="304">
        <f t="shared" si="4"/>
        <v>-2.6000000000000037E-2</v>
      </c>
      <c r="X10" s="304">
        <f t="shared" si="17"/>
        <v>-0.40569395017793553</v>
      </c>
      <c r="Y10" s="304">
        <f t="shared" si="5"/>
        <v>-0.83274021352313221</v>
      </c>
      <c r="Z10" s="304">
        <f t="shared" si="6"/>
        <v>0.41408739131350131</v>
      </c>
      <c r="AA10" s="308">
        <f t="shared" si="7"/>
        <v>0</v>
      </c>
      <c r="AB10" s="304" t="str">
        <f t="shared" si="18"/>
        <v/>
      </c>
      <c r="AC10" s="309"/>
      <c r="AD10" s="310">
        <f t="shared" si="8"/>
        <v>9.6516707635286428E-2</v>
      </c>
      <c r="AE10" s="310">
        <f t="shared" si="8"/>
        <v>2.5471335103605246</v>
      </c>
      <c r="AF10" s="310">
        <f t="shared" si="9"/>
        <v>1.0000043527103792</v>
      </c>
      <c r="AG10" s="310">
        <f t="shared" si="10"/>
        <v>9.6516707635286428E-2</v>
      </c>
      <c r="AH10" s="310">
        <f t="shared" si="19"/>
        <v>-0.78000000000000114</v>
      </c>
      <c r="AI10" s="310">
        <f t="shared" si="20"/>
        <v>28.100000000000023</v>
      </c>
      <c r="AJ10" s="311">
        <f t="shared" si="21"/>
        <v>90.481622369169287</v>
      </c>
      <c r="AK10" s="311" t="str" cm="1">
        <f t="array" ref="AK10">IF(OR(E10="", H10=""), "",
  IFERROR(
     (
      INDEX($AM$3:$AM$22, MATCH(E10, $AL$3:$AL$22, 1)) +
      (E10 - INDEX($AL$3:$AL$22, MATCH(E10, $AL$3:$AL$22, 1))) *
      (INDEX($AM$3:$AM$22, MATCH(E10, $AL$3:$AL$22, 1)+1) - INDEX($AM$3:$AM$22, MATCH(E10, $AL$3:$AL$22, 1))) /
      (INDEX($AL$3:$AL$22, MATCH(E10, $AL$3:$AL$22, 1)+1) - INDEX($AL$3:$AL$22, MATCH(E10, $AL$3:$AL$22, 1)))
    ) - H10,
    ""
  )
)</f>
        <v/>
      </c>
      <c r="AL10" s="312">
        <v>3800</v>
      </c>
      <c r="AM10" s="313">
        <v>2001.6</v>
      </c>
      <c r="AN10" s="314">
        <f t="shared" si="0"/>
        <v>90.783066697878567</v>
      </c>
    </row>
    <row r="11" spans="1:40" s="315" customFormat="1" ht="15" customHeight="1" x14ac:dyDescent="0.35">
      <c r="A11" s="316">
        <f t="shared" si="11"/>
        <v>1</v>
      </c>
      <c r="B11" s="317">
        <f t="shared" si="11"/>
        <v>19</v>
      </c>
      <c r="C11" s="318">
        <f t="shared" ref="C11:C72" si="22">IF(D11&gt;0,D11-D10,"")</f>
        <v>28.039999999999992</v>
      </c>
      <c r="D11" s="319">
        <v>194.78</v>
      </c>
      <c r="E11" s="320">
        <f t="shared" ref="E11:E72" si="23">IF(D11&gt;0,D11-B11,"")</f>
        <v>175.78</v>
      </c>
      <c r="F11" s="321">
        <v>4.67</v>
      </c>
      <c r="G11" s="321">
        <v>146.51</v>
      </c>
      <c r="H11" s="322">
        <f t="shared" si="12"/>
        <v>175.3339634512387</v>
      </c>
      <c r="I11" s="323">
        <f t="shared" si="13"/>
        <v>0.92169844964759917</v>
      </c>
      <c r="J11" s="321" t="str">
        <f t="shared" si="14"/>
        <v/>
      </c>
      <c r="K11" s="323" t="str">
        <f t="shared" ref="K11:K71" si="24">IF(L11="","",J11+L11)</f>
        <v/>
      </c>
      <c r="L11" s="321"/>
      <c r="M11" s="333"/>
      <c r="N11" s="323" t="str">
        <f t="shared" ref="N11:N72" si="25">IF(SUM(IF(AND(E11&gt;K7,E10&lt;=J7),L7,0)+IF(AND(E11&gt;=K7,E10&lt;K7,E10&gt;J7),K7-E10,0)+IF(AND(E11&gt;J7,E10&lt;=J7,E11&lt;K7),E11-J7,0)+IF(AND(E11&lt;K7,E10&gt;J7,E11&gt;E10),E11-E10,0)+IF(AND(E11&gt;K8,E10&lt;=J8),L8,0)+IF(AND(E11&gt;=K8,E10&lt;K8,E10&gt;J8),K8-E10,0)+IF(AND(E11&gt;J8,E10&lt;=J8,E11&lt;K8),E11-J8,0)+IF(AND(E11&lt;K8,E10&gt;J8,E11&gt;E10),E11-E10,0)+IF(AND(E11&gt;K9,E10&lt;=J9),L9,0)+IF(AND(E11&gt;=K9,E10&lt;K9,E10&gt;J9),K9-E10,0)+IF(AND(E11&gt;J9,E10&lt;J9,E11&lt;=K9),E11-J9,0)+IF(AND(E11&lt;K9,E10&gt;J9,E11&gt;E10),E11-E10,0)+IF(AND(E11&gt;K10,E10&lt;=J10),L10,0)+IF(AND(E11&gt;=K10,E10&lt;K10,E10&gt;J10),K10-E10,0)+IF(AND(E11&gt;J10,E10&lt;J10,E11&lt;=K10),E11-J10,0)+IF(AND(E11&lt;K10,E10&gt;J10,E11&gt;E10),E11-E10,0))=0,"",SUM(IF(AND(E11&gt;K7,E10&lt;=J7),L7,0)+IF(AND(E11&gt;=K7,E10&lt;K7,E10&gt;J7),K7-E10,0)+IF(AND(E11&gt;J7,E10&lt;=J7,E11&lt;K7),E11-J7,0)+IF(AND(E11&lt;K7,E10&gt;J7,E11&gt;E10),E11-E10,0)+IF(AND(E11&gt;K8,E10&lt;=J8),L8,0)+IF(AND(E11&gt;=K8,E10&lt;K8,E10&gt;J8),K8-E10,0)+IF(AND(E11&gt;J8,E10&lt;=J8,E11&lt;K8),E11-J8,0)+IF(AND(E11&lt;K8,E10&gt;J8,E11&gt;E10),E11-E10,0)+IF(AND(E11&gt;K9,E10&lt;=J9),L9,0)+IF(AND(E11&gt;=K9,E10&lt;K9,E10&gt;J9),K9-E10,0)+IF(AND(E11&gt;J9,E10&lt;J9,E11&lt;=K9),E11-J9,0)+IF(AND(E11&lt;K9,E10&gt;J9,E11&gt;E10),E11-E10,0)+IF(AND(E11&gt;K10,E10&lt;=J10),L10,0)+IF(AND(E11&gt;=K10,E10&lt;K10,E10&gt;J10),K10-E10,0)+IF(AND(E11&gt;J10,E10&lt;J10,E11&lt;=K10),E11-J10,0)+IF(AND(E11&lt;K10,E10&gt;J10,E11&gt;E10),E11-E10,0)))</f>
        <v/>
      </c>
      <c r="O11" s="323">
        <f t="shared" ref="O11:O72" si="26">SUM(IF(AND(D11&gt;K8,E11&lt;=J8),L8,0)+IF(AND(D11&gt;=K8,E11&lt;K8,E11&gt;J8),K8-E11,0)+IF(AND(D11&gt;J8,E11&lt;=J8,D11&lt;K8),D11-J8,0)+IF(AND(D11&lt;K8,E11&gt;J8,D11&gt;E11),D11-E11,0)+IF(AND(D11&gt;K9,E11&lt;=J9),L9,0)+IF(AND(D11&gt;=K9,E11&lt;K9,E11&gt;J9),K9-E11,0)+IF(AND(D11&gt;J9,E11&lt;J9,D11&lt;=K9),D11-J9,0)+IF(AND(D11&lt;K9,E11&gt;J9,D11&gt;E11),D11-E11,0)+IF(AND(D11&gt;K10,E11&lt;=J10),L10,0)+IF(AND(D11&gt;=K10,E11&lt;K10,E11&gt;J10),K10-E11,0)+IF(AND(D11&gt;J10,E11&lt;J10,D11&lt;=K10),D11-J10,0)+IF(AND(D11&lt;K10,E11&gt;J10,D11&gt;E11),D11-E11,0))</f>
        <v>0</v>
      </c>
      <c r="P11" s="324">
        <f t="shared" si="15"/>
        <v>176.64008849993093</v>
      </c>
      <c r="Q11" s="325" t="str">
        <f t="shared" si="16"/>
        <v>R</v>
      </c>
      <c r="R11" s="323">
        <f t="shared" si="1"/>
        <v>0.8557274297452977</v>
      </c>
      <c r="S11" s="323">
        <f t="shared" ref="S11:S74" si="27">IF(V11="","",IF(AND(N11="",O11=""),F11,IF(O11="",O11*AVERAGE(V10,V9,V8)+F11,O11*V11+F11)))</f>
        <v>4.67</v>
      </c>
      <c r="T11" s="323">
        <f t="shared" si="2"/>
        <v>194.27088636017618</v>
      </c>
      <c r="U11" s="323">
        <f t="shared" si="3"/>
        <v>0.86460033455042007</v>
      </c>
      <c r="V11" s="322">
        <f t="shared" ref="V11" si="28">IF(F11="","",IF(N11="",IF(O11="",(F11-F10)/30,AVERAGE(V10,V9,V8)),(F11-F10)/N11))</f>
        <v>0.2605555555555556</v>
      </c>
      <c r="W11" s="323">
        <f t="shared" si="4"/>
        <v>1.8999999999999774E-2</v>
      </c>
      <c r="X11" s="323">
        <f t="shared" si="17"/>
        <v>-0.92011412268188364</v>
      </c>
      <c r="Y11" s="323">
        <f t="shared" si="5"/>
        <v>0.60984308131240372</v>
      </c>
      <c r="Z11" s="323">
        <f t="shared" si="6"/>
        <v>0.92169844964759917</v>
      </c>
      <c r="AA11" s="326">
        <f t="shared" si="7"/>
        <v>0</v>
      </c>
      <c r="AB11" s="323" t="str">
        <f t="shared" si="18"/>
        <v/>
      </c>
      <c r="AC11" s="327"/>
      <c r="AD11" s="328">
        <f t="shared" si="8"/>
        <v>8.1506876068135184E-2</v>
      </c>
      <c r="AE11" s="328">
        <f t="shared" si="8"/>
        <v>2.5570818870968921</v>
      </c>
      <c r="AF11" s="328">
        <f t="shared" si="9"/>
        <v>1.0000215656445091</v>
      </c>
      <c r="AG11" s="328">
        <f t="shared" si="10"/>
        <v>8.1506876068135184E-2</v>
      </c>
      <c r="AH11" s="328">
        <f t="shared" si="19"/>
        <v>0.56999999999999318</v>
      </c>
      <c r="AI11" s="328">
        <f t="shared" si="20"/>
        <v>28.039999999999992</v>
      </c>
      <c r="AJ11" s="329">
        <f t="shared" si="21"/>
        <v>90.481622369169287</v>
      </c>
      <c r="AK11" s="329" t="str" cm="1">
        <f t="array" ref="AK11">IF(OR(E11="", H11=""), "",
  IFERROR(
     (
      INDEX($AM$3:$AM$22, MATCH(E11, $AL$3:$AL$22, 1)) +
      (E11 - INDEX($AL$3:$AL$22, MATCH(E11, $AL$3:$AL$22, 1))) *
      (INDEX($AM$3:$AM$22, MATCH(E11, $AL$3:$AL$22, 1)+1) - INDEX($AM$3:$AM$22, MATCH(E11, $AL$3:$AL$22, 1))) /
      (INDEX($AL$3:$AL$22, MATCH(E11, $AL$3:$AL$22, 1)+1) - INDEX($AL$3:$AL$22, MATCH(E11, $AL$3:$AL$22, 1)))
    ) - H11,
    ""
  )
)</f>
        <v/>
      </c>
      <c r="AL11" s="330">
        <v>4050</v>
      </c>
      <c r="AM11" s="331">
        <v>2001.1</v>
      </c>
      <c r="AN11" s="332">
        <f t="shared" si="0"/>
        <v>90.114591635420666</v>
      </c>
    </row>
    <row r="12" spans="1:40" s="315" customFormat="1" ht="15" customHeight="1" x14ac:dyDescent="0.35">
      <c r="A12" s="297">
        <f t="shared" si="11"/>
        <v>1</v>
      </c>
      <c r="B12" s="298">
        <f t="shared" si="11"/>
        <v>19</v>
      </c>
      <c r="C12" s="299">
        <f t="shared" si="22"/>
        <v>27.870000000000005</v>
      </c>
      <c r="D12" s="300">
        <v>222.65</v>
      </c>
      <c r="E12" s="301">
        <f t="shared" si="23"/>
        <v>203.65</v>
      </c>
      <c r="F12" s="302">
        <v>3.73</v>
      </c>
      <c r="G12" s="302">
        <v>148.76</v>
      </c>
      <c r="H12" s="303">
        <f t="shared" si="12"/>
        <v>203.12911793148436</v>
      </c>
      <c r="I12" s="304">
        <f t="shared" si="13"/>
        <v>1.0270773732723264</v>
      </c>
      <c r="J12" s="302">
        <f t="shared" si="14"/>
        <v>222.65</v>
      </c>
      <c r="K12" s="304">
        <f t="shared" si="24"/>
        <v>228.65</v>
      </c>
      <c r="L12" s="302">
        <v>6</v>
      </c>
      <c r="M12" s="305" t="s">
        <v>580</v>
      </c>
      <c r="N12" s="304" t="str">
        <f t="shared" si="25"/>
        <v/>
      </c>
      <c r="O12" s="304">
        <f t="shared" si="26"/>
        <v>0</v>
      </c>
      <c r="P12" s="306">
        <f t="shared" si="15"/>
        <v>170.11857343931479</v>
      </c>
      <c r="Q12" s="307" t="str">
        <f t="shared" si="16"/>
        <v>R</v>
      </c>
      <c r="R12" s="304">
        <f t="shared" si="1"/>
        <v>0.88428970334738566</v>
      </c>
      <c r="S12" s="304">
        <f t="shared" si="27"/>
        <v>3.73</v>
      </c>
      <c r="T12" s="304">
        <f t="shared" si="2"/>
        <v>222.08887008792078</v>
      </c>
      <c r="U12" s="304">
        <f t="shared" si="3"/>
        <v>0.89361181057881256</v>
      </c>
      <c r="V12" s="303">
        <f>IF(F12="","",IF(N12="",IF(O12="",(F12-F11)/30,AVERAGE(V11,V10,V9)),(F12-F11)/N12))</f>
        <v>0.17865740740740743</v>
      </c>
      <c r="W12" s="304">
        <f t="shared" si="4"/>
        <v>7.4999999999999997E-2</v>
      </c>
      <c r="X12" s="304">
        <f t="shared" si="17"/>
        <v>-1.0118406889128093</v>
      </c>
      <c r="Y12" s="304">
        <f t="shared" si="5"/>
        <v>2.4219590958019372</v>
      </c>
      <c r="Z12" s="304">
        <f t="shared" si="6"/>
        <v>1.0270773732723264</v>
      </c>
      <c r="AA12" s="308">
        <f t="shared" si="7"/>
        <v>0</v>
      </c>
      <c r="AB12" s="304">
        <f t="shared" si="18"/>
        <v>22.239999999999981</v>
      </c>
      <c r="AC12" s="309"/>
      <c r="AD12" s="310">
        <f t="shared" si="8"/>
        <v>6.5100781099388494E-2</v>
      </c>
      <c r="AE12" s="310">
        <f t="shared" si="8"/>
        <v>2.5963517952667643</v>
      </c>
      <c r="AF12" s="310">
        <f t="shared" si="9"/>
        <v>1.0000267789638091</v>
      </c>
      <c r="AG12" s="310">
        <f t="shared" si="10"/>
        <v>6.5100781099388494E-2</v>
      </c>
      <c r="AH12" s="310">
        <f t="shared" si="19"/>
        <v>2.25</v>
      </c>
      <c r="AI12" s="310">
        <f t="shared" si="20"/>
        <v>27.870000000000005</v>
      </c>
      <c r="AJ12" s="311">
        <f t="shared" si="21"/>
        <v>90.481622369169287</v>
      </c>
      <c r="AK12" s="311" t="str" cm="1">
        <f t="array" ref="AK12">IF(OR(E12="", H12=""), "",
  IFERROR(
     (
      INDEX($AM$3:$AM$22, MATCH(E12, $AL$3:$AL$22, 1)) +
      (E12 - INDEX($AL$3:$AL$22, MATCH(E12, $AL$3:$AL$22, 1))) *
      (INDEX($AM$3:$AM$22, MATCH(E12, $AL$3:$AL$22, 1)+1) - INDEX($AM$3:$AM$22, MATCH(E12, $AL$3:$AL$22, 1))) /
      (INDEX($AL$3:$AL$22, MATCH(E12, $AL$3:$AL$22, 1)+1) - INDEX($AL$3:$AL$22, MATCH(E12, $AL$3:$AL$22, 1)))
    ) - H12,
    ""
  )
)</f>
        <v/>
      </c>
      <c r="AL12" s="312">
        <v>4250</v>
      </c>
      <c r="AM12" s="313">
        <v>2000.1</v>
      </c>
      <c r="AN12" s="314">
        <f t="shared" si="0"/>
        <v>90.286480091240904</v>
      </c>
    </row>
    <row r="13" spans="1:40" s="315" customFormat="1" ht="15" customHeight="1" x14ac:dyDescent="0.35">
      <c r="A13" s="316">
        <f t="shared" si="11"/>
        <v>1</v>
      </c>
      <c r="B13" s="317">
        <f t="shared" si="11"/>
        <v>19</v>
      </c>
      <c r="C13" s="318">
        <f t="shared" si="22"/>
        <v>28.239999999999981</v>
      </c>
      <c r="D13" s="319">
        <v>250.89</v>
      </c>
      <c r="E13" s="320">
        <f t="shared" si="23"/>
        <v>231.89</v>
      </c>
      <c r="F13" s="321">
        <v>4.91</v>
      </c>
      <c r="G13" s="321">
        <v>148.61000000000001</v>
      </c>
      <c r="H13" s="322">
        <f t="shared" si="12"/>
        <v>231.28888527484406</v>
      </c>
      <c r="I13" s="323">
        <f t="shared" si="13"/>
        <v>1.2535974732692901</v>
      </c>
      <c r="J13" s="321" t="str">
        <f t="shared" si="14"/>
        <v/>
      </c>
      <c r="K13" s="323" t="str">
        <f t="shared" si="24"/>
        <v/>
      </c>
      <c r="L13" s="321"/>
      <c r="M13" s="333"/>
      <c r="N13" s="323">
        <f t="shared" si="25"/>
        <v>6</v>
      </c>
      <c r="O13" s="323">
        <f t="shared" si="26"/>
        <v>0</v>
      </c>
      <c r="P13" s="324">
        <f t="shared" si="15"/>
        <v>0.5434847550084182</v>
      </c>
      <c r="Q13" s="325" t="str">
        <f t="shared" si="16"/>
        <v>L</v>
      </c>
      <c r="R13" s="323">
        <f t="shared" si="1"/>
        <v>0.87847740553474951</v>
      </c>
      <c r="S13" s="323">
        <f t="shared" si="27"/>
        <v>4.91</v>
      </c>
      <c r="T13" s="323">
        <f t="shared" si="2"/>
        <v>250.21916236090013</v>
      </c>
      <c r="U13" s="323">
        <f t="shared" si="3"/>
        <v>0.88787076336322057</v>
      </c>
      <c r="V13" s="322">
        <f t="shared" ref="V13:V76" si="29">IF(F13="","",IF(N13="",IF(O13="",(F13-F12)/30,AVERAGE(V12,V11,V10)),(F13-F12)/N13))</f>
        <v>0.19666666666666668</v>
      </c>
      <c r="W13" s="323">
        <f t="shared" si="4"/>
        <v>-2.4999999999996209E-2</v>
      </c>
      <c r="X13" s="323">
        <f t="shared" si="17"/>
        <v>1.2535410764872532</v>
      </c>
      <c r="Y13" s="323">
        <f t="shared" si="5"/>
        <v>-0.15934844192632155</v>
      </c>
      <c r="Z13" s="323">
        <f t="shared" si="6"/>
        <v>5.9002654408541213</v>
      </c>
      <c r="AA13" s="326">
        <f t="shared" si="7"/>
        <v>0.21246458923512762</v>
      </c>
      <c r="AB13" s="323" t="str">
        <f t="shared" si="18"/>
        <v/>
      </c>
      <c r="AC13" s="327"/>
      <c r="AD13" s="328">
        <f t="shared" si="8"/>
        <v>8.5695666272921578E-2</v>
      </c>
      <c r="AE13" s="328">
        <f t="shared" si="8"/>
        <v>2.5937338013887734</v>
      </c>
      <c r="AF13" s="328">
        <f t="shared" si="9"/>
        <v>1.0000398942675461</v>
      </c>
      <c r="AG13" s="328">
        <f t="shared" si="10"/>
        <v>8.5695666272921578E-2</v>
      </c>
      <c r="AH13" s="328">
        <f t="shared" si="19"/>
        <v>-0.14999999999997726</v>
      </c>
      <c r="AI13" s="328">
        <f t="shared" si="20"/>
        <v>28.239999999999981</v>
      </c>
      <c r="AJ13" s="329">
        <f t="shared" si="21"/>
        <v>90.481622369169287</v>
      </c>
      <c r="AK13" s="329" t="str" cm="1">
        <f t="array" ref="AK13">IF(OR(E13="", H13=""), "",
  IFERROR(
     (
      INDEX($AM$3:$AM$22, MATCH(E13, $AL$3:$AL$22, 1)) +
      (E13 - INDEX($AL$3:$AL$22, MATCH(E13, $AL$3:$AL$22, 1))) *
      (INDEX($AM$3:$AM$22, MATCH(E13, $AL$3:$AL$22, 1)+1) - INDEX($AM$3:$AM$22, MATCH(E13, $AL$3:$AL$22, 1))) /
      (INDEX($AL$3:$AL$22, MATCH(E13, $AL$3:$AL$22, 1)+1) - INDEX($AL$3:$AL$22, MATCH(E13, $AL$3:$AL$22, 1)))
    ) - H13,
    ""
  )
)</f>
        <v/>
      </c>
      <c r="AL13" s="330">
        <v>4350</v>
      </c>
      <c r="AM13" s="331">
        <v>2001.7</v>
      </c>
      <c r="AN13" s="332">
        <f t="shared" si="0"/>
        <v>89.083228409365177</v>
      </c>
    </row>
    <row r="14" spans="1:40" s="315" customFormat="1" ht="15" customHeight="1" x14ac:dyDescent="0.35">
      <c r="A14" s="297">
        <f t="shared" si="11"/>
        <v>1</v>
      </c>
      <c r="B14" s="298">
        <f t="shared" si="11"/>
        <v>19</v>
      </c>
      <c r="C14" s="299">
        <f t="shared" si="22"/>
        <v>28.03000000000003</v>
      </c>
      <c r="D14" s="300">
        <v>278.92</v>
      </c>
      <c r="E14" s="301">
        <f t="shared" si="23"/>
        <v>259.92</v>
      </c>
      <c r="F14" s="302">
        <v>3.83</v>
      </c>
      <c r="G14" s="302">
        <v>145.52000000000001</v>
      </c>
      <c r="H14" s="303">
        <f t="shared" si="12"/>
        <v>259.23739605354274</v>
      </c>
      <c r="I14" s="304">
        <f t="shared" si="13"/>
        <v>1.1826386861516913</v>
      </c>
      <c r="J14" s="302">
        <f t="shared" si="14"/>
        <v>278.92</v>
      </c>
      <c r="K14" s="304">
        <f t="shared" si="24"/>
        <v>286.92</v>
      </c>
      <c r="L14" s="302">
        <v>8</v>
      </c>
      <c r="M14" s="305" t="s">
        <v>580</v>
      </c>
      <c r="N14" s="304" t="str">
        <f t="shared" si="25"/>
        <v/>
      </c>
      <c r="O14" s="304">
        <f t="shared" si="26"/>
        <v>0</v>
      </c>
      <c r="P14" s="306">
        <f t="shared" si="15"/>
        <v>167.79416432180389</v>
      </c>
      <c r="Q14" s="307" t="str">
        <f t="shared" si="16"/>
        <v>L</v>
      </c>
      <c r="R14" s="304">
        <f t="shared" si="1"/>
        <v>0.91075914170357064</v>
      </c>
      <c r="S14" s="304">
        <f t="shared" si="27"/>
        <v>3.83</v>
      </c>
      <c r="T14" s="304">
        <f t="shared" si="2"/>
        <v>278.19496203464001</v>
      </c>
      <c r="U14" s="304">
        <f t="shared" si="3"/>
        <v>0.92066830527089738</v>
      </c>
      <c r="V14" s="303">
        <f t="shared" si="29"/>
        <v>0.21195987654320989</v>
      </c>
      <c r="W14" s="304">
        <f t="shared" si="4"/>
        <v>-0.10300000000000012</v>
      </c>
      <c r="X14" s="304">
        <f t="shared" si="17"/>
        <v>-1.1559043881555466</v>
      </c>
      <c r="Y14" s="304">
        <f t="shared" si="5"/>
        <v>-3.3071708883339279</v>
      </c>
      <c r="Z14" s="304">
        <f t="shared" si="6"/>
        <v>1.1826386861516913</v>
      </c>
      <c r="AA14" s="308">
        <f t="shared" si="7"/>
        <v>0</v>
      </c>
      <c r="AB14" s="304">
        <f t="shared" si="18"/>
        <v>20.269999999999982</v>
      </c>
      <c r="AC14" s="309"/>
      <c r="AD14" s="310">
        <f t="shared" si="8"/>
        <v>6.6846110351382826E-2</v>
      </c>
      <c r="AE14" s="310">
        <f t="shared" si="8"/>
        <v>2.5398031275021484</v>
      </c>
      <c r="AF14" s="310">
        <f t="shared" si="9"/>
        <v>1.0000355055427179</v>
      </c>
      <c r="AG14" s="310">
        <f t="shared" si="10"/>
        <v>6.6846110351382826E-2</v>
      </c>
      <c r="AH14" s="310">
        <f t="shared" si="19"/>
        <v>-3.0900000000000034</v>
      </c>
      <c r="AI14" s="310">
        <f t="shared" si="20"/>
        <v>28.03000000000003</v>
      </c>
      <c r="AJ14" s="311">
        <f t="shared" si="21"/>
        <v>90.481622369169287</v>
      </c>
      <c r="AK14" s="311" t="str" cm="1">
        <f t="array" ref="AK14">IF(OR(E14="", H14=""), "",
  IFERROR(
     (
      INDEX($AM$3:$AM$22, MATCH(E14, $AL$3:$AL$22, 1)) +
      (E14 - INDEX($AL$3:$AL$22, MATCH(E14, $AL$3:$AL$22, 1))) *
      (INDEX($AM$3:$AM$22, MATCH(E14, $AL$3:$AL$22, 1)+1) - INDEX($AM$3:$AM$22, MATCH(E14, $AL$3:$AL$22, 1))) /
      (INDEX($AL$3:$AL$22, MATCH(E14, $AL$3:$AL$22, 1)+1) - INDEX($AL$3:$AL$22, MATCH(E14, $AL$3:$AL$22, 1)))
    ) - H14,
    ""
  )
)</f>
        <v/>
      </c>
      <c r="AL14" s="312">
        <v>4650</v>
      </c>
      <c r="AM14" s="313">
        <v>1998.6</v>
      </c>
      <c r="AN14" s="314">
        <f t="shared" si="0"/>
        <v>90.5920669252191</v>
      </c>
    </row>
    <row r="15" spans="1:40" s="315" customFormat="1" ht="15" customHeight="1" x14ac:dyDescent="0.35">
      <c r="A15" s="316">
        <f t="shared" si="11"/>
        <v>1</v>
      </c>
      <c r="B15" s="317">
        <f t="shared" si="11"/>
        <v>19</v>
      </c>
      <c r="C15" s="318">
        <f t="shared" si="22"/>
        <v>28.269999999999982</v>
      </c>
      <c r="D15" s="319">
        <v>307.19</v>
      </c>
      <c r="E15" s="320">
        <f t="shared" si="23"/>
        <v>288.19</v>
      </c>
      <c r="F15" s="321">
        <v>5.21</v>
      </c>
      <c r="G15" s="321">
        <v>146.61000000000001</v>
      </c>
      <c r="H15" s="322">
        <f t="shared" si="12"/>
        <v>287.41947311965362</v>
      </c>
      <c r="I15" s="323">
        <f t="shared" si="13"/>
        <v>1.4672183359636244</v>
      </c>
      <c r="J15" s="321" t="str">
        <f t="shared" si="14"/>
        <v/>
      </c>
      <c r="K15" s="323" t="str">
        <f t="shared" si="24"/>
        <v/>
      </c>
      <c r="L15" s="321"/>
      <c r="M15" s="333"/>
      <c r="N15" s="323">
        <f t="shared" si="25"/>
        <v>8</v>
      </c>
      <c r="O15" s="323">
        <f t="shared" si="26"/>
        <v>0</v>
      </c>
      <c r="P15" s="324">
        <f t="shared" si="15"/>
        <v>3.5202388119074928</v>
      </c>
      <c r="Q15" s="325" t="str">
        <f t="shared" si="16"/>
        <v>R</v>
      </c>
      <c r="R15" s="323">
        <f t="shared" si="1"/>
        <v>0.90175477132816106</v>
      </c>
      <c r="S15" s="323">
        <f t="shared" si="27"/>
        <v>5.21</v>
      </c>
      <c r="T15" s="323">
        <f t="shared" si="2"/>
        <v>306.34097585614558</v>
      </c>
      <c r="U15" s="323">
        <f t="shared" si="3"/>
        <v>0.91170808359487188</v>
      </c>
      <c r="V15" s="322">
        <f t="shared" si="29"/>
        <v>0.17249999999999999</v>
      </c>
      <c r="W15" s="323">
        <f t="shared" si="4"/>
        <v>0.13625000000000043</v>
      </c>
      <c r="X15" s="323">
        <f t="shared" si="17"/>
        <v>1.4644499469402201</v>
      </c>
      <c r="Y15" s="323">
        <f t="shared" si="5"/>
        <v>1.1567032189600326</v>
      </c>
      <c r="Z15" s="323">
        <f t="shared" si="6"/>
        <v>5.1847827947114542</v>
      </c>
      <c r="AA15" s="326">
        <f t="shared" si="7"/>
        <v>0.2829854969932793</v>
      </c>
      <c r="AB15" s="323" t="str">
        <f t="shared" si="18"/>
        <v/>
      </c>
      <c r="AC15" s="327"/>
      <c r="AD15" s="328">
        <f t="shared" si="8"/>
        <v>9.0931654028904574E-2</v>
      </c>
      <c r="AE15" s="328">
        <f t="shared" si="8"/>
        <v>2.5588272163488868</v>
      </c>
      <c r="AF15" s="328">
        <f t="shared" si="9"/>
        <v>1.0000546501629093</v>
      </c>
      <c r="AG15" s="328">
        <f t="shared" si="10"/>
        <v>9.0931654028904574E-2</v>
      </c>
      <c r="AH15" s="328">
        <f t="shared" si="19"/>
        <v>1.0900000000000034</v>
      </c>
      <c r="AI15" s="328">
        <f t="shared" si="20"/>
        <v>28.269999999999982</v>
      </c>
      <c r="AJ15" s="329">
        <f t="shared" si="21"/>
        <v>90.481622369169287</v>
      </c>
      <c r="AK15" s="329" t="str" cm="1">
        <f t="array" ref="AK15">IF(OR(E15="", H15=""), "",
  IFERROR(
     (
      INDEX($AM$3:$AM$22, MATCH(E15, $AL$3:$AL$22, 1)) +
      (E15 - INDEX($AL$3:$AL$22, MATCH(E15, $AL$3:$AL$22, 1))) *
      (INDEX($AM$3:$AM$22, MATCH(E15, $AL$3:$AL$22, 1)+1) - INDEX($AM$3:$AM$22, MATCH(E15, $AL$3:$AL$22, 1))) /
      (INDEX($AL$3:$AL$22, MATCH(E15, $AL$3:$AL$22, 1)+1) - INDEX($AL$3:$AL$22, MATCH(E15, $AL$3:$AL$22, 1)))
    ) - H15,
    ""
  )
)</f>
        <v/>
      </c>
      <c r="AL15" s="330">
        <v>4850</v>
      </c>
      <c r="AM15" s="331">
        <v>1997.2</v>
      </c>
      <c r="AN15" s="332">
        <f t="shared" si="0"/>
        <v>90.40107373207249</v>
      </c>
    </row>
    <row r="16" spans="1:40" s="315" customFormat="1" ht="15" customHeight="1" x14ac:dyDescent="0.35">
      <c r="A16" s="297">
        <f t="shared" si="11"/>
        <v>1</v>
      </c>
      <c r="B16" s="298">
        <f t="shared" si="11"/>
        <v>19</v>
      </c>
      <c r="C16" s="299">
        <f t="shared" si="22"/>
        <v>27.70999999999998</v>
      </c>
      <c r="D16" s="300">
        <v>334.9</v>
      </c>
      <c r="E16" s="301">
        <f t="shared" si="23"/>
        <v>315.89999999999998</v>
      </c>
      <c r="F16" s="302">
        <v>4.33</v>
      </c>
      <c r="G16" s="302">
        <v>142.69999999999999</v>
      </c>
      <c r="H16" s="303">
        <f t="shared" si="12"/>
        <v>315.03350053960474</v>
      </c>
      <c r="I16" s="304">
        <f t="shared" si="13"/>
        <v>1.0151336238902262</v>
      </c>
      <c r="J16" s="302">
        <f t="shared" si="14"/>
        <v>334.9</v>
      </c>
      <c r="K16" s="304">
        <f t="shared" si="24"/>
        <v>342.9</v>
      </c>
      <c r="L16" s="302">
        <v>8</v>
      </c>
      <c r="M16" s="305" t="s">
        <v>581</v>
      </c>
      <c r="N16" s="304" t="str">
        <f t="shared" si="25"/>
        <v/>
      </c>
      <c r="O16" s="304">
        <f t="shared" si="26"/>
        <v>0</v>
      </c>
      <c r="P16" s="306">
        <f t="shared" si="15"/>
        <v>159.80471218398765</v>
      </c>
      <c r="Q16" s="307" t="str">
        <f t="shared" si="16"/>
        <v>L</v>
      </c>
      <c r="R16" s="304">
        <f t="shared" si="1"/>
        <v>0.93178076261950504</v>
      </c>
      <c r="S16" s="304">
        <f t="shared" si="27"/>
        <v>4.33</v>
      </c>
      <c r="T16" s="304">
        <f t="shared" si="2"/>
        <v>333.97926956284675</v>
      </c>
      <c r="U16" s="304">
        <f t="shared" si="3"/>
        <v>0.94224743292084412</v>
      </c>
      <c r="V16" s="303">
        <f t="shared" si="29"/>
        <v>0.19370884773662553</v>
      </c>
      <c r="W16" s="304">
        <f t="shared" si="4"/>
        <v>-0.13033333333333416</v>
      </c>
      <c r="X16" s="304">
        <f t="shared" si="17"/>
        <v>-0.95272464814146585</v>
      </c>
      <c r="Y16" s="304">
        <f t="shared" si="5"/>
        <v>-4.2331288343558588</v>
      </c>
      <c r="Z16" s="304">
        <f t="shared" si="6"/>
        <v>1.0151336238902262</v>
      </c>
      <c r="AA16" s="308">
        <f t="shared" si="7"/>
        <v>0</v>
      </c>
      <c r="AB16" s="304">
        <f t="shared" si="18"/>
        <v>20.270000000000039</v>
      </c>
      <c r="AC16" s="309"/>
      <c r="AD16" s="310">
        <f t="shared" si="8"/>
        <v>7.5572756611354472E-2</v>
      </c>
      <c r="AE16" s="310">
        <f t="shared" si="8"/>
        <v>2.4905848425959078</v>
      </c>
      <c r="AF16" s="310">
        <f t="shared" si="9"/>
        <v>1.0000261597475228</v>
      </c>
      <c r="AG16" s="310">
        <f t="shared" si="10"/>
        <v>7.5572756611354472E-2</v>
      </c>
      <c r="AH16" s="310">
        <f t="shared" si="19"/>
        <v>-3.910000000000025</v>
      </c>
      <c r="AI16" s="310">
        <f t="shared" si="20"/>
        <v>27.70999999999998</v>
      </c>
      <c r="AJ16" s="311">
        <f t="shared" si="21"/>
        <v>90.481622369169287</v>
      </c>
      <c r="AK16" s="311" t="str" cm="1">
        <f t="array" ref="AK16">IF(OR(E16="", H16=""), "",
  IFERROR(
     (
      INDEX($AM$3:$AM$22, MATCH(E16, $AL$3:$AL$22, 1)) +
      (E16 - INDEX($AL$3:$AL$22, MATCH(E16, $AL$3:$AL$22, 1))) *
      (INDEX($AM$3:$AM$22, MATCH(E16, $AL$3:$AL$22, 1)+1) - INDEX($AM$3:$AM$22, MATCH(E16, $AL$3:$AL$22, 1))) /
      (INDEX($AL$3:$AL$22, MATCH(E16, $AL$3:$AL$22, 1)+1) - INDEX($AL$3:$AL$22, MATCH(E16, $AL$3:$AL$22, 1)))
    ) - H16,
    ""
  )
)</f>
        <v/>
      </c>
      <c r="AL16" s="312">
        <v>4900</v>
      </c>
      <c r="AM16" s="313">
        <v>1999.9</v>
      </c>
      <c r="AN16" s="314">
        <f t="shared" si="0"/>
        <v>86.904522259308038</v>
      </c>
    </row>
    <row r="17" spans="1:40" s="315" customFormat="1" ht="15" customHeight="1" x14ac:dyDescent="0.35">
      <c r="A17" s="316">
        <f t="shared" si="11"/>
        <v>1</v>
      </c>
      <c r="B17" s="317">
        <f t="shared" si="11"/>
        <v>19</v>
      </c>
      <c r="C17" s="318">
        <f t="shared" si="22"/>
        <v>28.270000000000039</v>
      </c>
      <c r="D17" s="319">
        <v>363.17</v>
      </c>
      <c r="E17" s="320">
        <f t="shared" si="23"/>
        <v>344.17</v>
      </c>
      <c r="F17" s="321">
        <v>6.33</v>
      </c>
      <c r="G17" s="321">
        <v>143.37</v>
      </c>
      <c r="H17" s="322">
        <f t="shared" si="12"/>
        <v>343.18126661659676</v>
      </c>
      <c r="I17" s="323">
        <f t="shared" si="13"/>
        <v>2.1233825522507179</v>
      </c>
      <c r="J17" s="321" t="str">
        <f t="shared" si="14"/>
        <v/>
      </c>
      <c r="K17" s="323" t="str">
        <f t="shared" si="24"/>
        <v/>
      </c>
      <c r="L17" s="321"/>
      <c r="M17" s="333"/>
      <c r="N17" s="323">
        <f t="shared" si="25"/>
        <v>8</v>
      </c>
      <c r="O17" s="323">
        <f t="shared" si="26"/>
        <v>0</v>
      </c>
      <c r="P17" s="324">
        <f t="shared" si="15"/>
        <v>1.7508477867288472</v>
      </c>
      <c r="Q17" s="325" t="str">
        <f t="shared" si="16"/>
        <v>R</v>
      </c>
      <c r="R17" s="323">
        <f t="shared" si="1"/>
        <v>0.91180102137825747</v>
      </c>
      <c r="S17" s="323">
        <f t="shared" si="27"/>
        <v>6.33</v>
      </c>
      <c r="T17" s="323">
        <f t="shared" si="2"/>
        <v>362.06543050327707</v>
      </c>
      <c r="U17" s="323">
        <f t="shared" si="3"/>
        <v>0.92218283688963065</v>
      </c>
      <c r="V17" s="322">
        <f t="shared" si="29"/>
        <v>0.25</v>
      </c>
      <c r="W17" s="323">
        <f t="shared" si="4"/>
        <v>8.375000000000199E-2</v>
      </c>
      <c r="X17" s="323">
        <f t="shared" si="17"/>
        <v>2.1223912274495902</v>
      </c>
      <c r="Y17" s="323">
        <f t="shared" si="5"/>
        <v>0.71100106119562967</v>
      </c>
      <c r="Z17" s="323">
        <f t="shared" si="6"/>
        <v>7.5035030940159846</v>
      </c>
      <c r="AA17" s="326">
        <f t="shared" si="7"/>
        <v>0.28298549699327868</v>
      </c>
      <c r="AB17" s="323" t="str">
        <f t="shared" si="18"/>
        <v/>
      </c>
      <c r="AC17" s="327"/>
      <c r="AD17" s="328">
        <f t="shared" si="8"/>
        <v>0.11047934165124106</v>
      </c>
      <c r="AE17" s="328">
        <f t="shared" si="8"/>
        <v>2.5022785485842705</v>
      </c>
      <c r="AF17" s="328">
        <f t="shared" si="9"/>
        <v>1.0001144694589759</v>
      </c>
      <c r="AG17" s="328">
        <f t="shared" si="10"/>
        <v>0.11047934165124106</v>
      </c>
      <c r="AH17" s="328">
        <f t="shared" si="19"/>
        <v>0.67000000000001592</v>
      </c>
      <c r="AI17" s="328">
        <f t="shared" si="20"/>
        <v>28.270000000000039</v>
      </c>
      <c r="AJ17" s="329">
        <f t="shared" si="21"/>
        <v>90.481622369169287</v>
      </c>
      <c r="AK17" s="329" t="str" cm="1">
        <f t="array" ref="AK17">IF(OR(E17="", H17=""), "",
  IFERROR(
     (
      INDEX($AM$3:$AM$22, MATCH(E17, $AL$3:$AL$22, 1)) +
      (E17 - INDEX($AL$3:$AL$22, MATCH(E17, $AL$3:$AL$22, 1))) *
      (INDEX($AM$3:$AM$22, MATCH(E17, $AL$3:$AL$22, 1)+1) - INDEX($AM$3:$AM$22, MATCH(E17, $AL$3:$AL$22, 1))) /
      (INDEX($AL$3:$AL$22, MATCH(E17, $AL$3:$AL$22, 1)+1) - INDEX($AL$3:$AL$22, MATCH(E17, $AL$3:$AL$22, 1)))
    ) - H17,
    ""
  )
)</f>
        <v/>
      </c>
      <c r="AL17" s="330">
        <v>5100</v>
      </c>
      <c r="AM17" s="331">
        <v>1999.9</v>
      </c>
      <c r="AN17" s="332">
        <f t="shared" si="0"/>
        <v>90</v>
      </c>
    </row>
    <row r="18" spans="1:40" s="315" customFormat="1" ht="15" customHeight="1" x14ac:dyDescent="0.35">
      <c r="A18" s="297">
        <f t="shared" si="11"/>
        <v>1</v>
      </c>
      <c r="B18" s="298">
        <f t="shared" si="11"/>
        <v>19</v>
      </c>
      <c r="C18" s="299">
        <f t="shared" si="22"/>
        <v>27.409999999999968</v>
      </c>
      <c r="D18" s="300">
        <v>390.58</v>
      </c>
      <c r="E18" s="301">
        <f t="shared" si="23"/>
        <v>371.58</v>
      </c>
      <c r="F18" s="302">
        <v>5.63</v>
      </c>
      <c r="G18" s="302">
        <v>139.16999999999999</v>
      </c>
      <c r="H18" s="303">
        <f t="shared" si="12"/>
        <v>370.4421102252129</v>
      </c>
      <c r="I18" s="304">
        <f t="shared" si="13"/>
        <v>0.90301949839694651</v>
      </c>
      <c r="J18" s="302" t="str">
        <f t="shared" si="14"/>
        <v/>
      </c>
      <c r="K18" s="304" t="str">
        <f t="shared" si="24"/>
        <v/>
      </c>
      <c r="L18" s="302"/>
      <c r="M18" s="305"/>
      <c r="N18" s="304" t="str">
        <f t="shared" si="25"/>
        <v/>
      </c>
      <c r="O18" s="304">
        <f t="shared" si="26"/>
        <v>0</v>
      </c>
      <c r="P18" s="306">
        <f t="shared" si="15"/>
        <v>148.04070581468304</v>
      </c>
      <c r="Q18" s="307" t="str">
        <f t="shared" si="16"/>
        <v>L</v>
      </c>
      <c r="R18" s="304">
        <f t="shared" si="1"/>
        <v>0.93952176171568069</v>
      </c>
      <c r="S18" s="304">
        <f t="shared" si="27"/>
        <v>5.63</v>
      </c>
      <c r="T18" s="304">
        <f t="shared" si="2"/>
        <v>389.35045744141348</v>
      </c>
      <c r="U18" s="304">
        <f t="shared" si="3"/>
        <v>0.95041206588081339</v>
      </c>
      <c r="V18" s="303">
        <f t="shared" si="29"/>
        <v>0.20540294924554184</v>
      </c>
      <c r="W18" s="304">
        <f t="shared" si="4"/>
        <v>-0.14000000000000057</v>
      </c>
      <c r="X18" s="304">
        <f t="shared" si="17"/>
        <v>-0.76614374315943201</v>
      </c>
      <c r="Y18" s="304">
        <f t="shared" si="5"/>
        <v>-4.5968624589566094</v>
      </c>
      <c r="Z18" s="304">
        <f t="shared" si="6"/>
        <v>0.90301949839694651</v>
      </c>
      <c r="AA18" s="308">
        <f t="shared" si="7"/>
        <v>0</v>
      </c>
      <c r="AB18" s="304" t="str">
        <f t="shared" si="18"/>
        <v/>
      </c>
      <c r="AC18" s="309"/>
      <c r="AD18" s="310">
        <f t="shared" si="8"/>
        <v>9.8262036887280746E-2</v>
      </c>
      <c r="AE18" s="310">
        <f t="shared" si="8"/>
        <v>2.4289747200005083</v>
      </c>
      <c r="AF18" s="310">
        <f t="shared" si="9"/>
        <v>1.0000207003902446</v>
      </c>
      <c r="AG18" s="310">
        <f t="shared" si="10"/>
        <v>9.8262036887280746E-2</v>
      </c>
      <c r="AH18" s="310">
        <f t="shared" si="19"/>
        <v>-4.2000000000000171</v>
      </c>
      <c r="AI18" s="310">
        <f t="shared" si="20"/>
        <v>27.409999999999968</v>
      </c>
      <c r="AJ18" s="311">
        <f t="shared" si="21"/>
        <v>90.481622369169287</v>
      </c>
      <c r="AK18" s="311" t="str" cm="1">
        <f t="array" ref="AK18">IF(OR(E18="", H18=""), "",
  IFERROR(
     (
      INDEX($AM$3:$AM$22, MATCH(E18, $AL$3:$AL$22, 1)) +
      (E18 - INDEX($AL$3:$AL$22, MATCH(E18, $AL$3:$AL$22, 1))) *
      (INDEX($AM$3:$AM$22, MATCH(E18, $AL$3:$AL$22, 1)+1) - INDEX($AM$3:$AM$22, MATCH(E18, $AL$3:$AL$22, 1))) /
      (INDEX($AL$3:$AL$22, MATCH(E18, $AL$3:$AL$22, 1)+1) - INDEX($AL$3:$AL$22, MATCH(E18, $AL$3:$AL$22, 1)))
    ) - H18,
    ""
  )
)</f>
        <v/>
      </c>
      <c r="AL18" s="312">
        <v>5300</v>
      </c>
      <c r="AM18" s="313">
        <v>2000</v>
      </c>
      <c r="AN18" s="314">
        <f t="shared" si="0"/>
        <v>89.971352109049832</v>
      </c>
    </row>
    <row r="19" spans="1:40" s="315" customFormat="1" ht="15" customHeight="1" x14ac:dyDescent="0.35">
      <c r="A19" s="316">
        <f t="shared" si="11"/>
        <v>1</v>
      </c>
      <c r="B19" s="317">
        <f t="shared" si="11"/>
        <v>19</v>
      </c>
      <c r="C19" s="318">
        <f t="shared" si="22"/>
        <v>27.53000000000003</v>
      </c>
      <c r="D19" s="319">
        <v>418.11</v>
      </c>
      <c r="E19" s="320">
        <f t="shared" si="23"/>
        <v>399.11</v>
      </c>
      <c r="F19" s="321">
        <v>4.74</v>
      </c>
      <c r="G19" s="321">
        <v>134.6</v>
      </c>
      <c r="H19" s="322">
        <f t="shared" si="12"/>
        <v>397.85945999910962</v>
      </c>
      <c r="I19" s="323">
        <f t="shared" si="13"/>
        <v>1.0684408824892107</v>
      </c>
      <c r="J19" s="321">
        <f t="shared" si="14"/>
        <v>418.11</v>
      </c>
      <c r="K19" s="323">
        <f t="shared" si="24"/>
        <v>426.11</v>
      </c>
      <c r="L19" s="321">
        <v>8</v>
      </c>
      <c r="M19" s="333" t="s">
        <v>582</v>
      </c>
      <c r="N19" s="323" t="str">
        <f t="shared" si="25"/>
        <v/>
      </c>
      <c r="O19" s="323">
        <f t="shared" si="26"/>
        <v>0</v>
      </c>
      <c r="P19" s="324">
        <f t="shared" si="15"/>
        <v>155.19290561948796</v>
      </c>
      <c r="Q19" s="325" t="str">
        <f t="shared" si="16"/>
        <v>L</v>
      </c>
      <c r="R19" s="323">
        <f t="shared" si="1"/>
        <v>0.97178300920828753</v>
      </c>
      <c r="S19" s="323">
        <f t="shared" si="27"/>
        <v>4.74</v>
      </c>
      <c r="T19" s="323">
        <f t="shared" si="2"/>
        <v>416.79447886058813</v>
      </c>
      <c r="U19" s="323">
        <f t="shared" si="3"/>
        <v>0.98325617684992939</v>
      </c>
      <c r="V19" s="322">
        <f t="shared" si="29"/>
        <v>0.21637059899405578</v>
      </c>
      <c r="W19" s="323">
        <f t="shared" si="4"/>
        <v>-0.1523333333333331</v>
      </c>
      <c r="X19" s="323">
        <f t="shared" si="17"/>
        <v>-0.96985107155829853</v>
      </c>
      <c r="Y19" s="323">
        <f t="shared" si="5"/>
        <v>-4.9800217944060901</v>
      </c>
      <c r="Z19" s="323">
        <f t="shared" si="6"/>
        <v>1.0684408824892107</v>
      </c>
      <c r="AA19" s="326">
        <f t="shared" si="7"/>
        <v>0</v>
      </c>
      <c r="AB19" s="323">
        <f t="shared" si="18"/>
        <v>19.870000000000005</v>
      </c>
      <c r="AC19" s="327"/>
      <c r="AD19" s="328">
        <f t="shared" si="8"/>
        <v>8.2728606544531222E-2</v>
      </c>
      <c r="AE19" s="328">
        <f t="shared" si="8"/>
        <v>2.3492131731843675</v>
      </c>
      <c r="AF19" s="328">
        <f t="shared" si="9"/>
        <v>1.0000289794131394</v>
      </c>
      <c r="AG19" s="328">
        <f t="shared" si="10"/>
        <v>8.2728606544531222E-2</v>
      </c>
      <c r="AH19" s="328">
        <f t="shared" si="19"/>
        <v>-4.5699999999999932</v>
      </c>
      <c r="AI19" s="328">
        <f t="shared" si="20"/>
        <v>27.53000000000003</v>
      </c>
      <c r="AJ19" s="329">
        <f t="shared" si="21"/>
        <v>90.481622369169287</v>
      </c>
      <c r="AK19" s="329" t="str" cm="1">
        <f t="array" ref="AK19">IF(OR(E19="", H19=""), "",
  IFERROR(
     (
      INDEX($AM$3:$AM$22, MATCH(E19, $AL$3:$AL$22, 1)) +
      (E19 - INDEX($AL$3:$AL$22, MATCH(E19, $AL$3:$AL$22, 1))) *
      (INDEX($AM$3:$AM$22, MATCH(E19, $AL$3:$AL$22, 1)+1) - INDEX($AM$3:$AM$22, MATCH(E19, $AL$3:$AL$22, 1))) /
      (INDEX($AL$3:$AL$22, MATCH(E19, $AL$3:$AL$22, 1)+1) - INDEX($AL$3:$AL$22, MATCH(E19, $AL$3:$AL$22, 1)))
    ) - H19,
    ""
  )
)</f>
        <v/>
      </c>
      <c r="AL19" s="330">
        <v>5500</v>
      </c>
      <c r="AM19" s="331">
        <v>1999</v>
      </c>
      <c r="AN19" s="332">
        <f t="shared" si="0"/>
        <v>90.286480091240904</v>
      </c>
    </row>
    <row r="20" spans="1:40" s="315" customFormat="1" ht="15" customHeight="1" x14ac:dyDescent="0.35">
      <c r="A20" s="297">
        <f t="shared" si="11"/>
        <v>1</v>
      </c>
      <c r="B20" s="298">
        <f t="shared" si="11"/>
        <v>19</v>
      </c>
      <c r="C20" s="299">
        <f t="shared" si="22"/>
        <v>27.870000000000005</v>
      </c>
      <c r="D20" s="300">
        <v>445.98</v>
      </c>
      <c r="E20" s="301">
        <f t="shared" si="23"/>
        <v>426.98</v>
      </c>
      <c r="F20" s="302">
        <v>5.53</v>
      </c>
      <c r="G20" s="302">
        <v>148.78</v>
      </c>
      <c r="H20" s="303">
        <f t="shared" si="12"/>
        <v>425.61760590396807</v>
      </c>
      <c r="I20" s="304">
        <f t="shared" si="13"/>
        <v>1.6028420091981155</v>
      </c>
      <c r="J20" s="302" t="str">
        <f t="shared" si="14"/>
        <v/>
      </c>
      <c r="K20" s="304" t="str">
        <f t="shared" si="24"/>
        <v/>
      </c>
      <c r="L20" s="302"/>
      <c r="M20" s="305"/>
      <c r="N20" s="304">
        <f t="shared" si="25"/>
        <v>8</v>
      </c>
      <c r="O20" s="304">
        <f t="shared" si="26"/>
        <v>0</v>
      </c>
      <c r="P20" s="306">
        <f t="shared" si="15"/>
        <v>57.957843555377373</v>
      </c>
      <c r="Q20" s="307" t="str">
        <f t="shared" si="16"/>
        <v>R</v>
      </c>
      <c r="R20" s="304">
        <f t="shared" si="1"/>
        <v>0.97389492023531377</v>
      </c>
      <c r="S20" s="304">
        <f t="shared" si="27"/>
        <v>5.53</v>
      </c>
      <c r="T20" s="304">
        <f t="shared" si="2"/>
        <v>444.52917757084504</v>
      </c>
      <c r="U20" s="304">
        <f t="shared" si="3"/>
        <v>0.98558086944389733</v>
      </c>
      <c r="V20" s="303">
        <f t="shared" si="29"/>
        <v>9.8750000000000004E-2</v>
      </c>
      <c r="W20" s="304">
        <f t="shared" si="4"/>
        <v>1.7725000000000009</v>
      </c>
      <c r="X20" s="304">
        <f t="shared" si="17"/>
        <v>0.85037674919268025</v>
      </c>
      <c r="Y20" s="304">
        <f t="shared" si="5"/>
        <v>15.263724434876217</v>
      </c>
      <c r="Z20" s="304">
        <f t="shared" si="6"/>
        <v>5.5839008495439355</v>
      </c>
      <c r="AA20" s="308">
        <f t="shared" si="7"/>
        <v>0.28704700394689625</v>
      </c>
      <c r="AB20" s="304" t="str">
        <f t="shared" si="18"/>
        <v/>
      </c>
      <c r="AC20" s="309"/>
      <c r="AD20" s="310">
        <f t="shared" si="8"/>
        <v>9.6516707635286428E-2</v>
      </c>
      <c r="AE20" s="310">
        <f t="shared" si="8"/>
        <v>2.5967008611171636</v>
      </c>
      <c r="AF20" s="310">
        <f t="shared" si="9"/>
        <v>1.0000652212188976</v>
      </c>
      <c r="AG20" s="310">
        <f t="shared" si="10"/>
        <v>9.6516707635286428E-2</v>
      </c>
      <c r="AH20" s="310">
        <f t="shared" si="19"/>
        <v>14.180000000000007</v>
      </c>
      <c r="AI20" s="310">
        <f t="shared" si="20"/>
        <v>27.870000000000005</v>
      </c>
      <c r="AJ20" s="311">
        <f t="shared" si="21"/>
        <v>90.481622369169287</v>
      </c>
      <c r="AK20" s="311" t="str" cm="1">
        <f t="array" ref="AK20">IF(OR(E20="", H20=""), "",
  IFERROR(
     (
      INDEX($AM$3:$AM$22, MATCH(E20, $AL$3:$AL$22, 1)) +
      (E20 - INDEX($AL$3:$AL$22, MATCH(E20, $AL$3:$AL$22, 1))) *
      (INDEX($AM$3:$AM$22, MATCH(E20, $AL$3:$AL$22, 1)+1) - INDEX($AM$3:$AM$22, MATCH(E20, $AL$3:$AL$22, 1))) /
      (INDEX($AL$3:$AL$22, MATCH(E20, $AL$3:$AL$22, 1)+1) - INDEX($AL$3:$AL$22, MATCH(E20, $AL$3:$AL$22, 1)))
    ) - H20,
    ""
  )
)</f>
        <v/>
      </c>
      <c r="AL20" s="312">
        <v>5665</v>
      </c>
      <c r="AM20" s="313">
        <v>1998.6</v>
      </c>
      <c r="AN20" s="314">
        <f t="shared" si="0"/>
        <v>90.138898995476353</v>
      </c>
    </row>
    <row r="21" spans="1:40" s="315" customFormat="1" ht="15" customHeight="1" x14ac:dyDescent="0.35">
      <c r="A21" s="316">
        <f t="shared" si="11"/>
        <v>1</v>
      </c>
      <c r="B21" s="317">
        <f t="shared" si="11"/>
        <v>19</v>
      </c>
      <c r="C21" s="318">
        <f t="shared" si="22"/>
        <v>28.240000000000009</v>
      </c>
      <c r="D21" s="319">
        <v>474.22</v>
      </c>
      <c r="E21" s="320">
        <f t="shared" si="23"/>
        <v>455.22</v>
      </c>
      <c r="F21" s="321">
        <v>4.83</v>
      </c>
      <c r="G21" s="321">
        <v>149.69999999999999</v>
      </c>
      <c r="H21" s="322">
        <f t="shared" si="12"/>
        <v>453.74227302896691</v>
      </c>
      <c r="I21" s="323">
        <f t="shared" si="13"/>
        <v>0.74881920109015032</v>
      </c>
      <c r="J21" s="321" t="str">
        <f t="shared" si="14"/>
        <v/>
      </c>
      <c r="K21" s="323" t="str">
        <f t="shared" si="24"/>
        <v/>
      </c>
      <c r="L21" s="321"/>
      <c r="M21" s="333"/>
      <c r="N21" s="323" t="str">
        <f t="shared" si="25"/>
        <v/>
      </c>
      <c r="O21" s="323">
        <f t="shared" si="26"/>
        <v>0</v>
      </c>
      <c r="P21" s="324">
        <f t="shared" si="15"/>
        <v>173.24826454416072</v>
      </c>
      <c r="Q21" s="325" t="str">
        <f t="shared" si="16"/>
        <v>R</v>
      </c>
      <c r="R21" s="323">
        <f t="shared" si="1"/>
        <v>1.004724851743571</v>
      </c>
      <c r="S21" s="323">
        <f t="shared" si="27"/>
        <v>4.83</v>
      </c>
      <c r="T21" s="323">
        <f t="shared" si="2"/>
        <v>472.67480230069094</v>
      </c>
      <c r="U21" s="323">
        <f t="shared" si="3"/>
        <v>1.01701354805392</v>
      </c>
      <c r="V21" s="322">
        <f t="shared" si="29"/>
        <v>0.17350784941319919</v>
      </c>
      <c r="W21" s="323">
        <f t="shared" si="4"/>
        <v>3.0666666666666249E-2</v>
      </c>
      <c r="X21" s="323">
        <f t="shared" si="17"/>
        <v>-0.74362606232294615</v>
      </c>
      <c r="Y21" s="323">
        <f t="shared" si="5"/>
        <v>0.97733711048157279</v>
      </c>
      <c r="Z21" s="323">
        <f t="shared" si="6"/>
        <v>0.74881920109015032</v>
      </c>
      <c r="AA21" s="326">
        <f t="shared" si="7"/>
        <v>0</v>
      </c>
      <c r="AB21" s="323" t="str">
        <f t="shared" si="18"/>
        <v/>
      </c>
      <c r="AC21" s="327"/>
      <c r="AD21" s="328">
        <f t="shared" si="8"/>
        <v>8.4299402871326118E-2</v>
      </c>
      <c r="AE21" s="328">
        <f t="shared" si="8"/>
        <v>2.6127578902355113</v>
      </c>
      <c r="AF21" s="328">
        <f t="shared" si="9"/>
        <v>1.0000142342585894</v>
      </c>
      <c r="AG21" s="328">
        <f t="shared" si="10"/>
        <v>8.4299402871326118E-2</v>
      </c>
      <c r="AH21" s="328">
        <f t="shared" si="19"/>
        <v>0.91999999999998749</v>
      </c>
      <c r="AI21" s="328">
        <f t="shared" si="20"/>
        <v>28.240000000000009</v>
      </c>
      <c r="AJ21" s="329">
        <f t="shared" si="21"/>
        <v>90.481622369169287</v>
      </c>
      <c r="AK21" s="329" t="str" cm="1">
        <f t="array" ref="AK21">IF(OR(E21="", H21=""), "",
  IFERROR(
     (
      INDEX($AM$3:$AM$22, MATCH(E21, $AL$3:$AL$22, 1)) +
      (E21 - INDEX($AL$3:$AL$22, MATCH(E21, $AL$3:$AL$22, 1))) *
      (INDEX($AM$3:$AM$22, MATCH(E21, $AL$3:$AL$22, 1)+1) - INDEX($AM$3:$AM$22, MATCH(E21, $AL$3:$AL$22, 1))) /
      (INDEX($AL$3:$AL$22, MATCH(E21, $AL$3:$AL$22, 1)+1) - INDEX($AL$3:$AL$22, MATCH(E21, $AL$3:$AL$22, 1)))
    ) - H21,
    ""
  )
)</f>
        <v/>
      </c>
      <c r="AL21" s="330"/>
      <c r="AM21" s="331"/>
      <c r="AN21" s="332" t="str">
        <f t="shared" si="0"/>
        <v/>
      </c>
    </row>
    <row r="22" spans="1:40" s="315" customFormat="1" ht="15" customHeight="1" x14ac:dyDescent="0.35">
      <c r="A22" s="297">
        <f t="shared" si="11"/>
        <v>1</v>
      </c>
      <c r="B22" s="298">
        <f t="shared" si="11"/>
        <v>19</v>
      </c>
      <c r="C22" s="299">
        <f t="shared" si="22"/>
        <v>28.039999999999964</v>
      </c>
      <c r="D22" s="300">
        <v>502.26</v>
      </c>
      <c r="E22" s="301">
        <f t="shared" si="23"/>
        <v>483.26</v>
      </c>
      <c r="F22" s="302">
        <v>3.99</v>
      </c>
      <c r="G22" s="302">
        <v>147.31</v>
      </c>
      <c r="H22" s="303">
        <f t="shared" si="12"/>
        <v>481.69925632009767</v>
      </c>
      <c r="I22" s="304">
        <f t="shared" si="13"/>
        <v>0.9197796967650973</v>
      </c>
      <c r="J22" s="302" t="str">
        <f t="shared" si="14"/>
        <v/>
      </c>
      <c r="K22" s="304" t="str">
        <f t="shared" si="24"/>
        <v/>
      </c>
      <c r="L22" s="302"/>
      <c r="M22" s="305"/>
      <c r="N22" s="304" t="str">
        <f t="shared" si="25"/>
        <v/>
      </c>
      <c r="O22" s="304">
        <f t="shared" si="26"/>
        <v>0</v>
      </c>
      <c r="P22" s="306">
        <f t="shared" si="15"/>
        <v>167.71446460483344</v>
      </c>
      <c r="Q22" s="307" t="str">
        <f t="shared" si="16"/>
        <v>L</v>
      </c>
      <c r="R22" s="304">
        <f t="shared" si="1"/>
        <v>1.039305440124622</v>
      </c>
      <c r="S22" s="304">
        <f t="shared" si="27"/>
        <v>3.99</v>
      </c>
      <c r="T22" s="304">
        <f t="shared" si="2"/>
        <v>500.65320430757839</v>
      </c>
      <c r="U22" s="304">
        <f t="shared" si="3"/>
        <v>1.0522657235444466</v>
      </c>
      <c r="V22" s="303">
        <f t="shared" si="29"/>
        <v>0.16287614946908499</v>
      </c>
      <c r="W22" s="304">
        <f t="shared" si="4"/>
        <v>-7.9666666666666205E-2</v>
      </c>
      <c r="X22" s="304">
        <f t="shared" si="17"/>
        <v>-0.89871611982881694</v>
      </c>
      <c r="Y22" s="304">
        <f t="shared" si="5"/>
        <v>-2.5570613409415008</v>
      </c>
      <c r="Z22" s="304">
        <f t="shared" si="6"/>
        <v>0.9197796967650973</v>
      </c>
      <c r="AA22" s="308">
        <f t="shared" si="7"/>
        <v>0</v>
      </c>
      <c r="AB22" s="304" t="str">
        <f t="shared" si="18"/>
        <v/>
      </c>
      <c r="AC22" s="334"/>
      <c r="AD22" s="310">
        <f t="shared" si="8"/>
        <v>6.9638637154573746E-2</v>
      </c>
      <c r="AE22" s="310">
        <f t="shared" si="8"/>
        <v>2.5710445211128468</v>
      </c>
      <c r="AF22" s="310">
        <f t="shared" si="9"/>
        <v>1.0000214759467618</v>
      </c>
      <c r="AG22" s="310">
        <f t="shared" si="10"/>
        <v>6.9638637154573746E-2</v>
      </c>
      <c r="AH22" s="310">
        <f t="shared" si="19"/>
        <v>-2.3899999999999864</v>
      </c>
      <c r="AI22" s="310">
        <f t="shared" si="20"/>
        <v>28.039999999999964</v>
      </c>
      <c r="AJ22" s="311">
        <f t="shared" si="21"/>
        <v>90.481622369169287</v>
      </c>
      <c r="AK22" s="311" t="str" cm="1">
        <f t="array" ref="AK22">IF(OR(E22="", H22=""), "",
  IFERROR(
     (
      INDEX($AM$3:$AM$22, MATCH(E22, $AL$3:$AL$22, 1)) +
      (E22 - INDEX($AL$3:$AL$22, MATCH(E22, $AL$3:$AL$22, 1))) *
      (INDEX($AM$3:$AM$22, MATCH(E22, $AL$3:$AL$22, 1)+1) - INDEX($AM$3:$AM$22, MATCH(E22, $AL$3:$AL$22, 1))) /
      (INDEX($AL$3:$AL$22, MATCH(E22, $AL$3:$AL$22, 1)+1) - INDEX($AL$3:$AL$22, MATCH(E22, $AL$3:$AL$22, 1)))
    ) - H22,
    ""
  )
)</f>
        <v/>
      </c>
      <c r="AL22" s="312"/>
      <c r="AM22" s="313"/>
      <c r="AN22" s="314" t="str">
        <f t="shared" si="0"/>
        <v/>
      </c>
    </row>
    <row r="23" spans="1:40" s="315" customFormat="1" ht="15" customHeight="1" x14ac:dyDescent="0.35">
      <c r="A23" s="316">
        <f t="shared" ref="A23:B38" si="30">+A22</f>
        <v>1</v>
      </c>
      <c r="B23" s="317">
        <f t="shared" si="30"/>
        <v>19</v>
      </c>
      <c r="C23" s="318">
        <f t="shared" si="22"/>
        <v>28.080000000000041</v>
      </c>
      <c r="D23" s="319">
        <v>530.34</v>
      </c>
      <c r="E23" s="320">
        <f t="shared" si="23"/>
        <v>511.34000000000003</v>
      </c>
      <c r="F23" s="321">
        <v>3.28</v>
      </c>
      <c r="G23" s="321">
        <v>144.91</v>
      </c>
      <c r="H23" s="322">
        <f t="shared" si="12"/>
        <v>509.72276457385152</v>
      </c>
      <c r="I23" s="323">
        <f t="shared" si="13"/>
        <v>0.77560638006143245</v>
      </c>
      <c r="J23" s="321">
        <f t="shared" si="14"/>
        <v>530.34</v>
      </c>
      <c r="K23" s="323">
        <f t="shared" si="24"/>
        <v>534.34</v>
      </c>
      <c r="L23" s="321">
        <v>4</v>
      </c>
      <c r="M23" s="333" t="s">
        <v>583</v>
      </c>
      <c r="N23" s="323" t="str">
        <f t="shared" si="25"/>
        <v/>
      </c>
      <c r="O23" s="323">
        <f t="shared" si="26"/>
        <v>0</v>
      </c>
      <c r="P23" s="324">
        <f t="shared" si="15"/>
        <v>167.96079780818732</v>
      </c>
      <c r="Q23" s="325" t="str">
        <f t="shared" si="16"/>
        <v>L</v>
      </c>
      <c r="R23" s="323">
        <f t="shared" si="1"/>
        <v>1.0726526648800037</v>
      </c>
      <c r="S23" s="323">
        <f t="shared" si="27"/>
        <v>3.28</v>
      </c>
      <c r="T23" s="323">
        <f t="shared" si="2"/>
        <v>528.69163971296803</v>
      </c>
      <c r="U23" s="323">
        <f t="shared" si="3"/>
        <v>1.086290911711622</v>
      </c>
      <c r="V23" s="322">
        <f t="shared" si="29"/>
        <v>0.14504466629409474</v>
      </c>
      <c r="W23" s="323">
        <f t="shared" si="4"/>
        <v>-8.0000000000000196E-2</v>
      </c>
      <c r="X23" s="323">
        <f t="shared" si="17"/>
        <v>-0.75854700854700785</v>
      </c>
      <c r="Y23" s="323">
        <f t="shared" si="5"/>
        <v>-2.5641025641025665</v>
      </c>
      <c r="Z23" s="323">
        <f t="shared" si="6"/>
        <v>0.77560638006143245</v>
      </c>
      <c r="AA23" s="326">
        <f t="shared" si="7"/>
        <v>0</v>
      </c>
      <c r="AB23" s="323">
        <f t="shared" si="18"/>
        <v>23.639999999999986</v>
      </c>
      <c r="AC23" s="327"/>
      <c r="AD23" s="328">
        <f t="shared" si="8"/>
        <v>5.7246799465414007E-2</v>
      </c>
      <c r="AE23" s="328">
        <f t="shared" si="8"/>
        <v>2.5291566190649828</v>
      </c>
      <c r="AF23" s="328">
        <f t="shared" si="9"/>
        <v>1.0000152708845313</v>
      </c>
      <c r="AG23" s="328">
        <f t="shared" si="10"/>
        <v>5.7246799465414007E-2</v>
      </c>
      <c r="AH23" s="328">
        <f t="shared" si="19"/>
        <v>-2.4000000000000057</v>
      </c>
      <c r="AI23" s="328">
        <f t="shared" si="20"/>
        <v>28.080000000000041</v>
      </c>
      <c r="AJ23" s="329">
        <f t="shared" si="21"/>
        <v>90.481622369169287</v>
      </c>
      <c r="AK23" s="329" t="str" cm="1">
        <f t="array" ref="AK23">IF(OR(E23="", H23=""), "",
  IFERROR(
     (
      INDEX($AM$3:$AM$22, MATCH(E23, $AL$3:$AL$22, 1)) +
      (E23 - INDEX($AL$3:$AL$22, MATCH(E23, $AL$3:$AL$22, 1))) *
      (INDEX($AM$3:$AM$22, MATCH(E23, $AL$3:$AL$22, 1)+1) - INDEX($AM$3:$AM$22, MATCH(E23, $AL$3:$AL$22, 1))) /
      (INDEX($AL$3:$AL$22, MATCH(E23, $AL$3:$AL$22, 1)+1) - INDEX($AL$3:$AL$22, MATCH(E23, $AL$3:$AL$22, 1)))
    ) - H23,
    ""
  )
)</f>
        <v/>
      </c>
      <c r="AL23" s="335"/>
      <c r="AM23" s="336"/>
      <c r="AN23" s="337"/>
    </row>
    <row r="24" spans="1:40" s="315" customFormat="1" ht="15" customHeight="1" x14ac:dyDescent="0.35">
      <c r="A24" s="297">
        <f t="shared" si="30"/>
        <v>1</v>
      </c>
      <c r="B24" s="298">
        <f t="shared" si="30"/>
        <v>19</v>
      </c>
      <c r="C24" s="299">
        <f t="shared" si="22"/>
        <v>27.639999999999986</v>
      </c>
      <c r="D24" s="300">
        <v>557.98</v>
      </c>
      <c r="E24" s="301">
        <f t="shared" si="23"/>
        <v>538.98</v>
      </c>
      <c r="F24" s="302">
        <v>4.58</v>
      </c>
      <c r="G24" s="302">
        <v>152.80000000000001</v>
      </c>
      <c r="H24" s="303">
        <f t="shared" si="12"/>
        <v>537.29776992519373</v>
      </c>
      <c r="I24" s="304">
        <f t="shared" si="13"/>
        <v>1.5249500897090089</v>
      </c>
      <c r="J24" s="302" t="str">
        <f t="shared" si="14"/>
        <v/>
      </c>
      <c r="K24" s="304" t="str">
        <f t="shared" si="24"/>
        <v/>
      </c>
      <c r="L24" s="302"/>
      <c r="M24" s="305"/>
      <c r="N24" s="304">
        <f t="shared" si="25"/>
        <v>4</v>
      </c>
      <c r="O24" s="304">
        <f t="shared" si="26"/>
        <v>0</v>
      </c>
      <c r="P24" s="306">
        <f t="shared" si="15"/>
        <v>22.290105250543341</v>
      </c>
      <c r="Q24" s="307" t="str">
        <f t="shared" si="16"/>
        <v>R</v>
      </c>
      <c r="R24" s="304">
        <f t="shared" si="1"/>
        <v>1.0663613502201443</v>
      </c>
      <c r="S24" s="304">
        <f t="shared" si="27"/>
        <v>4.58</v>
      </c>
      <c r="T24" s="304">
        <f t="shared" si="2"/>
        <v>556.2370993614428</v>
      </c>
      <c r="U24" s="304">
        <f t="shared" si="3"/>
        <v>1.0801531288162121</v>
      </c>
      <c r="V24" s="303">
        <f t="shared" si="29"/>
        <v>0.32500000000000007</v>
      </c>
      <c r="W24" s="304">
        <f t="shared" si="4"/>
        <v>1.9725000000000037</v>
      </c>
      <c r="X24" s="304">
        <f t="shared" si="17"/>
        <v>1.4109985528219982</v>
      </c>
      <c r="Y24" s="304">
        <f t="shared" si="5"/>
        <v>8.5636758321273714</v>
      </c>
      <c r="Z24" s="304">
        <f t="shared" si="6"/>
        <v>10.537405119889247</v>
      </c>
      <c r="AA24" s="308">
        <f t="shared" si="7"/>
        <v>0.14471780028943568</v>
      </c>
      <c r="AB24" s="304" t="str">
        <f t="shared" si="18"/>
        <v/>
      </c>
      <c r="AC24" s="309"/>
      <c r="AD24" s="310">
        <f t="shared" si="8"/>
        <v>7.9936079741340288E-2</v>
      </c>
      <c r="AE24" s="310">
        <f t="shared" si="8"/>
        <v>2.6668630970473357</v>
      </c>
      <c r="AF24" s="310">
        <f t="shared" si="9"/>
        <v>1.0000590358083827</v>
      </c>
      <c r="AG24" s="310">
        <f t="shared" si="10"/>
        <v>7.9936079741340288E-2</v>
      </c>
      <c r="AH24" s="310">
        <f t="shared" si="19"/>
        <v>7.8900000000000148</v>
      </c>
      <c r="AI24" s="310">
        <f t="shared" si="20"/>
        <v>27.639999999999986</v>
      </c>
      <c r="AJ24" s="311">
        <f t="shared" si="21"/>
        <v>90.481622369169287</v>
      </c>
      <c r="AK24" s="311" t="str" cm="1">
        <f t="array" ref="AK24">IF(OR(E24="", H24=""), "",
  IFERROR(
     (
      INDEX($AM$3:$AM$22, MATCH(E24, $AL$3:$AL$22, 1)) +
      (E24 - INDEX($AL$3:$AL$22, MATCH(E24, $AL$3:$AL$22, 1))) *
      (INDEX($AM$3:$AM$22, MATCH(E24, $AL$3:$AL$22, 1)+1) - INDEX($AM$3:$AM$22, MATCH(E24, $AL$3:$AL$22, 1))) /
      (INDEX($AL$3:$AL$22, MATCH(E24, $AL$3:$AL$22, 1)+1) - INDEX($AL$3:$AL$22, MATCH(E24, $AL$3:$AL$22, 1)))
    ) - H24,
    ""
  )
)</f>
        <v/>
      </c>
      <c r="AL24" s="338"/>
      <c r="AM24" s="339"/>
      <c r="AN24" s="340"/>
    </row>
    <row r="25" spans="1:40" s="315" customFormat="1" ht="15" customHeight="1" x14ac:dyDescent="0.35">
      <c r="A25" s="316">
        <f t="shared" si="30"/>
        <v>1</v>
      </c>
      <c r="B25" s="317">
        <f t="shared" si="30"/>
        <v>19</v>
      </c>
      <c r="C25" s="318">
        <f t="shared" si="22"/>
        <v>28.610000000000014</v>
      </c>
      <c r="D25" s="319">
        <v>586.59</v>
      </c>
      <c r="E25" s="320">
        <f t="shared" si="23"/>
        <v>567.59</v>
      </c>
      <c r="F25" s="321">
        <v>3.56</v>
      </c>
      <c r="G25" s="321">
        <v>150.84</v>
      </c>
      <c r="H25" s="322">
        <f t="shared" si="12"/>
        <v>565.83561785626398</v>
      </c>
      <c r="I25" s="323">
        <f t="shared" si="13"/>
        <v>1.0793019585137993</v>
      </c>
      <c r="J25" s="321">
        <f t="shared" si="14"/>
        <v>586.59</v>
      </c>
      <c r="K25" s="323">
        <f t="shared" si="24"/>
        <v>590.59</v>
      </c>
      <c r="L25" s="321">
        <v>4</v>
      </c>
      <c r="M25" s="333" t="s">
        <v>584</v>
      </c>
      <c r="N25" s="323" t="str">
        <f t="shared" si="25"/>
        <v/>
      </c>
      <c r="O25" s="323">
        <f t="shared" si="26"/>
        <v>0</v>
      </c>
      <c r="P25" s="324">
        <f t="shared" si="15"/>
        <v>172.29445153903353</v>
      </c>
      <c r="Q25" s="325" t="str">
        <f t="shared" si="16"/>
        <v>L</v>
      </c>
      <c r="R25" s="323">
        <f t="shared" si="1"/>
        <v>1.1082625222463338</v>
      </c>
      <c r="S25" s="323">
        <f t="shared" si="27"/>
        <v>3.56</v>
      </c>
      <c r="T25" s="323">
        <f t="shared" si="2"/>
        <v>584.79895396027712</v>
      </c>
      <c r="U25" s="323">
        <f t="shared" si="3"/>
        <v>1.1228998947143416</v>
      </c>
      <c r="V25" s="322">
        <f t="shared" si="29"/>
        <v>0.21097360525439326</v>
      </c>
      <c r="W25" s="323">
        <f t="shared" si="4"/>
        <v>-6.5333333333333604E-2</v>
      </c>
      <c r="X25" s="323">
        <f t="shared" si="17"/>
        <v>-1.0695560992659905</v>
      </c>
      <c r="Y25" s="323">
        <f t="shared" si="5"/>
        <v>-2.0552254456483823</v>
      </c>
      <c r="Z25" s="323">
        <f t="shared" si="6"/>
        <v>1.0793019585137993</v>
      </c>
      <c r="AA25" s="326">
        <f t="shared" si="7"/>
        <v>0</v>
      </c>
      <c r="AB25" s="323">
        <f t="shared" si="18"/>
        <v>24.049999999999955</v>
      </c>
      <c r="AC25" s="327"/>
      <c r="AD25" s="328">
        <f t="shared" si="8"/>
        <v>6.2133721370998131E-2</v>
      </c>
      <c r="AE25" s="328">
        <f t="shared" si="8"/>
        <v>2.6326546437082468</v>
      </c>
      <c r="AF25" s="328">
        <f t="shared" si="9"/>
        <v>1.0000295716005037</v>
      </c>
      <c r="AG25" s="328">
        <f t="shared" si="10"/>
        <v>6.2133721370998131E-2</v>
      </c>
      <c r="AH25" s="328">
        <f t="shared" si="19"/>
        <v>-1.960000000000008</v>
      </c>
      <c r="AI25" s="328">
        <f t="shared" si="20"/>
        <v>28.610000000000014</v>
      </c>
      <c r="AJ25" s="329">
        <f t="shared" si="21"/>
        <v>90.481622369169287</v>
      </c>
      <c r="AK25" s="329" t="str" cm="1">
        <f t="array" ref="AK25">IF(OR(E25="", H25=""), "",
  IFERROR(
     (
      INDEX($AM$3:$AM$22, MATCH(E25, $AL$3:$AL$22, 1)) +
      (E25 - INDEX($AL$3:$AL$22, MATCH(E25, $AL$3:$AL$22, 1))) *
      (INDEX($AM$3:$AM$22, MATCH(E25, $AL$3:$AL$22, 1)+1) - INDEX($AM$3:$AM$22, MATCH(E25, $AL$3:$AL$22, 1))) /
      (INDEX($AL$3:$AL$22, MATCH(E25, $AL$3:$AL$22, 1)+1) - INDEX($AL$3:$AL$22, MATCH(E25, $AL$3:$AL$22, 1)))
    ) - H25,
    ""
  )
)</f>
        <v/>
      </c>
      <c r="AL25" s="341"/>
      <c r="AM25" s="342"/>
      <c r="AN25" s="343"/>
    </row>
    <row r="26" spans="1:40" s="315" customFormat="1" ht="15" customHeight="1" x14ac:dyDescent="0.35">
      <c r="A26" s="297">
        <f t="shared" si="30"/>
        <v>1</v>
      </c>
      <c r="B26" s="298">
        <f t="shared" si="30"/>
        <v>19</v>
      </c>
      <c r="C26" s="299">
        <f t="shared" si="22"/>
        <v>28.049999999999955</v>
      </c>
      <c r="D26" s="300">
        <v>614.64</v>
      </c>
      <c r="E26" s="301">
        <f t="shared" si="23"/>
        <v>595.64</v>
      </c>
      <c r="F26" s="302">
        <v>1.87</v>
      </c>
      <c r="G26" s="302">
        <v>156.91999999999999</v>
      </c>
      <c r="H26" s="303">
        <f t="shared" si="12"/>
        <v>593.8541319638191</v>
      </c>
      <c r="I26" s="304">
        <f t="shared" si="13"/>
        <v>1.8310158357857389</v>
      </c>
      <c r="J26" s="302">
        <f t="shared" si="14"/>
        <v>614.64</v>
      </c>
      <c r="K26" s="304">
        <f t="shared" si="24"/>
        <v>618.64</v>
      </c>
      <c r="L26" s="302">
        <v>4</v>
      </c>
      <c r="M26" s="305" t="s">
        <v>585</v>
      </c>
      <c r="N26" s="304">
        <f t="shared" si="25"/>
        <v>4</v>
      </c>
      <c r="O26" s="304">
        <f t="shared" si="26"/>
        <v>0</v>
      </c>
      <c r="P26" s="306">
        <f t="shared" si="15"/>
        <v>170.80479588486284</v>
      </c>
      <c r="Q26" s="307" t="str">
        <f t="shared" si="16"/>
        <v>R</v>
      </c>
      <c r="R26" s="304">
        <f t="shared" si="1"/>
        <v>1.1655234928863891</v>
      </c>
      <c r="S26" s="304">
        <f t="shared" si="27"/>
        <v>1.87</v>
      </c>
      <c r="T26" s="304">
        <f t="shared" si="2"/>
        <v>612.84401330385583</v>
      </c>
      <c r="U26" s="304">
        <f t="shared" si="3"/>
        <v>1.1812457864074999</v>
      </c>
      <c r="V26" s="303">
        <f t="shared" si="29"/>
        <v>-0.42249999999999999</v>
      </c>
      <c r="W26" s="304">
        <f t="shared" si="4"/>
        <v>1.519999999999996</v>
      </c>
      <c r="X26" s="304">
        <f t="shared" si="17"/>
        <v>-1.8074866310160456</v>
      </c>
      <c r="Y26" s="304">
        <f t="shared" si="5"/>
        <v>6.502673796791437</v>
      </c>
      <c r="Z26" s="304">
        <f t="shared" si="6"/>
        <v>12.839998548447474</v>
      </c>
      <c r="AA26" s="308">
        <f t="shared" si="7"/>
        <v>0.14260249554367224</v>
      </c>
      <c r="AB26" s="304">
        <f t="shared" si="18"/>
        <v>24.129999999999995</v>
      </c>
      <c r="AC26" s="309"/>
      <c r="AD26" s="310">
        <f t="shared" si="8"/>
        <v>3.2637657012293965E-2</v>
      </c>
      <c r="AE26" s="310">
        <f t="shared" si="8"/>
        <v>2.7387706622295016</v>
      </c>
      <c r="AF26" s="310">
        <f t="shared" si="9"/>
        <v>1.0000851142046474</v>
      </c>
      <c r="AG26" s="310">
        <f t="shared" si="10"/>
        <v>3.2637657012293965E-2</v>
      </c>
      <c r="AH26" s="310">
        <f t="shared" si="19"/>
        <v>6.0799999999999841</v>
      </c>
      <c r="AI26" s="310">
        <f t="shared" si="20"/>
        <v>28.049999999999955</v>
      </c>
      <c r="AJ26" s="311">
        <f t="shared" si="21"/>
        <v>90.481622369169287</v>
      </c>
      <c r="AK26" s="311" t="str" cm="1">
        <f t="array" ref="AK26">IF(OR(E26="", H26=""), "",
  IFERROR(
     (
      INDEX($AM$3:$AM$22, MATCH(E26, $AL$3:$AL$22, 1)) +
      (E26 - INDEX($AL$3:$AL$22, MATCH(E26, $AL$3:$AL$22, 1))) *
      (INDEX($AM$3:$AM$22, MATCH(E26, $AL$3:$AL$22, 1)+1) - INDEX($AM$3:$AM$22, MATCH(E26, $AL$3:$AL$22, 1))) /
      (INDEX($AL$3:$AL$22, MATCH(E26, $AL$3:$AL$22, 1)+1) - INDEX($AL$3:$AL$22, MATCH(E26, $AL$3:$AL$22, 1)))
    ) - H26,
    ""
  )
)</f>
        <v/>
      </c>
      <c r="AL26" s="338"/>
      <c r="AM26" s="344"/>
      <c r="AN26" s="345"/>
    </row>
    <row r="27" spans="1:40" s="315" customFormat="1" ht="15" customHeight="1" x14ac:dyDescent="0.35">
      <c r="A27" s="316">
        <f t="shared" si="30"/>
        <v>1</v>
      </c>
      <c r="B27" s="317">
        <f t="shared" si="30"/>
        <v>19</v>
      </c>
      <c r="C27" s="318">
        <f t="shared" si="22"/>
        <v>28.129999999999995</v>
      </c>
      <c r="D27" s="319">
        <v>642.77</v>
      </c>
      <c r="E27" s="320">
        <f t="shared" si="23"/>
        <v>623.77</v>
      </c>
      <c r="F27" s="321">
        <v>0.41</v>
      </c>
      <c r="G27" s="321">
        <v>210.31</v>
      </c>
      <c r="H27" s="322">
        <f t="shared" si="12"/>
        <v>621.97856408407301</v>
      </c>
      <c r="I27" s="323">
        <f t="shared" si="13"/>
        <v>1.7687114600357614</v>
      </c>
      <c r="J27" s="321" t="str">
        <f t="shared" si="14"/>
        <v/>
      </c>
      <c r="K27" s="323" t="str">
        <f t="shared" si="24"/>
        <v/>
      </c>
      <c r="L27" s="321"/>
      <c r="M27" s="333"/>
      <c r="N27" s="323">
        <f t="shared" si="25"/>
        <v>4</v>
      </c>
      <c r="O27" s="323">
        <f t="shared" si="26"/>
        <v>0</v>
      </c>
      <c r="P27" s="324">
        <f t="shared" si="15"/>
        <v>151.6826586685786</v>
      </c>
      <c r="Q27" s="325" t="str">
        <f t="shared" si="16"/>
        <v>R</v>
      </c>
      <c r="R27" s="323">
        <f t="shared" si="1"/>
        <v>1.220272444792996</v>
      </c>
      <c r="S27" s="323">
        <f t="shared" si="27"/>
        <v>0.41</v>
      </c>
      <c r="T27" s="323">
        <f t="shared" si="2"/>
        <v>640.97807762736034</v>
      </c>
      <c r="U27" s="323">
        <f t="shared" si="3"/>
        <v>1.2370774712030379</v>
      </c>
      <c r="V27" s="322">
        <f t="shared" si="29"/>
        <v>-0.36500000000000005</v>
      </c>
      <c r="W27" s="323">
        <f t="shared" si="4"/>
        <v>13.347500000000004</v>
      </c>
      <c r="X27" s="323">
        <f t="shared" si="17"/>
        <v>-1.5570565232847497</v>
      </c>
      <c r="Y27" s="323">
        <f t="shared" si="5"/>
        <v>56.939210806967679</v>
      </c>
      <c r="Z27" s="323">
        <f t="shared" si="6"/>
        <v>12.438463342701491</v>
      </c>
      <c r="AA27" s="326">
        <f t="shared" si="7"/>
        <v>0.14219694276573056</v>
      </c>
      <c r="AB27" s="323" t="str">
        <f t="shared" si="18"/>
        <v/>
      </c>
      <c r="AC27" s="327"/>
      <c r="AD27" s="328">
        <f t="shared" si="8"/>
        <v>7.1558499331767509E-3</v>
      </c>
      <c r="AE27" s="328">
        <f t="shared" si="8"/>
        <v>3.6706019498692743</v>
      </c>
      <c r="AF27" s="328">
        <f t="shared" si="9"/>
        <v>1.0000794198123562</v>
      </c>
      <c r="AG27" s="328">
        <f t="shared" si="10"/>
        <v>7.1558499331767509E-3</v>
      </c>
      <c r="AH27" s="328">
        <f t="shared" si="19"/>
        <v>53.390000000000015</v>
      </c>
      <c r="AI27" s="328">
        <f t="shared" si="20"/>
        <v>28.129999999999995</v>
      </c>
      <c r="AJ27" s="329">
        <f t="shared" si="21"/>
        <v>90.481622369169287</v>
      </c>
      <c r="AK27" s="329" t="str" cm="1">
        <f t="array" ref="AK27">IF(OR(E27="", H27=""), "",
  IFERROR(
     (
      INDEX($AM$3:$AM$22, MATCH(E27, $AL$3:$AL$22, 1)) +
      (E27 - INDEX($AL$3:$AL$22, MATCH(E27, $AL$3:$AL$22, 1))) *
      (INDEX($AM$3:$AM$22, MATCH(E27, $AL$3:$AL$22, 1)+1) - INDEX($AM$3:$AM$22, MATCH(E27, $AL$3:$AL$22, 1))) /
      (INDEX($AL$3:$AL$22, MATCH(E27, $AL$3:$AL$22, 1)+1) - INDEX($AL$3:$AL$22, MATCH(E27, $AL$3:$AL$22, 1)))
    ) - H27,
    ""
  )
)</f>
        <v/>
      </c>
      <c r="AL27" s="341"/>
      <c r="AM27" s="346"/>
      <c r="AN27" s="347"/>
    </row>
    <row r="28" spans="1:40" s="315" customFormat="1" ht="15" customHeight="1" x14ac:dyDescent="0.35">
      <c r="A28" s="297">
        <f t="shared" si="30"/>
        <v>1</v>
      </c>
      <c r="B28" s="298">
        <f t="shared" si="30"/>
        <v>19</v>
      </c>
      <c r="C28" s="299">
        <f t="shared" si="22"/>
        <v>13.230000000000018</v>
      </c>
      <c r="D28" s="300">
        <v>656</v>
      </c>
      <c r="E28" s="301">
        <f t="shared" si="23"/>
        <v>637</v>
      </c>
      <c r="F28" s="302">
        <v>0.36</v>
      </c>
      <c r="G28" s="302">
        <v>261.39999999999998</v>
      </c>
      <c r="H28" s="303">
        <f t="shared" si="12"/>
        <v>635.20826540526559</v>
      </c>
      <c r="I28" s="304">
        <f t="shared" si="13"/>
        <v>0.75983641093694199</v>
      </c>
      <c r="J28" s="302" t="str">
        <f t="shared" si="14"/>
        <v/>
      </c>
      <c r="K28" s="304" t="str">
        <f t="shared" si="24"/>
        <v/>
      </c>
      <c r="L28" s="302"/>
      <c r="M28" s="305"/>
      <c r="N28" s="304" t="str">
        <f t="shared" si="25"/>
        <v/>
      </c>
      <c r="O28" s="304">
        <f t="shared" si="26"/>
        <v>0</v>
      </c>
      <c r="P28" s="306">
        <f t="shared" si="15"/>
        <v>98.581414133170313</v>
      </c>
      <c r="Q28" s="307" t="str">
        <f t="shared" si="16"/>
        <v>R</v>
      </c>
      <c r="R28" s="304">
        <f t="shared" si="1"/>
        <v>1.2330081325502493</v>
      </c>
      <c r="S28" s="304">
        <f t="shared" si="27"/>
        <v>0.36</v>
      </c>
      <c r="T28" s="304">
        <f t="shared" si="2"/>
        <v>654.20789036153224</v>
      </c>
      <c r="U28" s="304">
        <f t="shared" si="3"/>
        <v>1.2501530589013536</v>
      </c>
      <c r="V28" s="303">
        <f t="shared" si="29"/>
        <v>-0.19217546491520229</v>
      </c>
      <c r="W28" s="304">
        <f t="shared" si="4"/>
        <v>1.7029999999999992</v>
      </c>
      <c r="X28" s="304">
        <f t="shared" si="17"/>
        <v>-0.11337868480725605</v>
      </c>
      <c r="Y28" s="304">
        <f t="shared" si="5"/>
        <v>115.85034013605421</v>
      </c>
      <c r="Z28" s="304">
        <f>IF(V28="","",IF(N28="",I28,AI28/N28*I28))</f>
        <v>0.75983641093694199</v>
      </c>
      <c r="AA28" s="308">
        <f t="shared" si="7"/>
        <v>0</v>
      </c>
      <c r="AB28" s="304" t="str">
        <f t="shared" si="18"/>
        <v/>
      </c>
      <c r="AC28" s="309"/>
      <c r="AD28" s="310">
        <f t="shared" si="8"/>
        <v>6.2831853071795857E-3</v>
      </c>
      <c r="AE28" s="310">
        <f t="shared" si="8"/>
        <v>4.5622906647131769</v>
      </c>
      <c r="AF28" s="310">
        <f t="shared" si="9"/>
        <v>1.0000146561981824</v>
      </c>
      <c r="AG28" s="310">
        <f t="shared" si="10"/>
        <v>6.2831853071795857E-3</v>
      </c>
      <c r="AH28" s="310">
        <f t="shared" si="19"/>
        <v>51.089999999999975</v>
      </c>
      <c r="AI28" s="310">
        <f t="shared" si="20"/>
        <v>13.230000000000018</v>
      </c>
      <c r="AJ28" s="311">
        <f t="shared" si="21"/>
        <v>90.481622369169287</v>
      </c>
      <c r="AK28" s="311" t="str" cm="1">
        <f t="array" ref="AK28">IF(OR(E28="", H28=""), "",
  IFERROR(
     (
      INDEX($AM$3:$AM$22, MATCH(E28, $AL$3:$AL$22, 1)) +
      (E28 - INDEX($AL$3:$AL$22, MATCH(E28, $AL$3:$AL$22, 1))) *
      (INDEX($AM$3:$AM$22, MATCH(E28, $AL$3:$AL$22, 1)+1) - INDEX($AM$3:$AM$22, MATCH(E28, $AL$3:$AL$22, 1))) /
      (INDEX($AL$3:$AL$22, MATCH(E28, $AL$3:$AL$22, 1)+1) - INDEX($AL$3:$AL$22, MATCH(E28, $AL$3:$AL$22, 1)))
    ) - H28,
    ""
  )
)</f>
        <v/>
      </c>
      <c r="AL28" s="338"/>
      <c r="AM28" s="344"/>
      <c r="AN28" s="345"/>
    </row>
    <row r="29" spans="1:40" s="315" customFormat="1" ht="15" customHeight="1" x14ac:dyDescent="0.35">
      <c r="A29" s="316">
        <v>2</v>
      </c>
      <c r="B29" s="317">
        <f t="shared" si="30"/>
        <v>19</v>
      </c>
      <c r="C29" s="318">
        <f t="shared" si="22"/>
        <v>42.259999999999991</v>
      </c>
      <c r="D29" s="319">
        <v>698.26</v>
      </c>
      <c r="E29" s="320">
        <f t="shared" si="23"/>
        <v>679.26</v>
      </c>
      <c r="F29" s="321">
        <v>0.65</v>
      </c>
      <c r="G29" s="321">
        <v>236.37</v>
      </c>
      <c r="H29" s="322">
        <f t="shared" si="12"/>
        <v>677.46662393062752</v>
      </c>
      <c r="I29" s="323">
        <f t="shared" si="13"/>
        <v>0.25402855323459506</v>
      </c>
      <c r="J29" s="321" t="str">
        <f t="shared" si="14"/>
        <v/>
      </c>
      <c r="K29" s="323" t="str">
        <f t="shared" si="24"/>
        <v/>
      </c>
      <c r="L29" s="321"/>
      <c r="M29" s="333"/>
      <c r="N29" s="323" t="str">
        <f t="shared" si="25"/>
        <v/>
      </c>
      <c r="O29" s="323">
        <f t="shared" si="26"/>
        <v>0</v>
      </c>
      <c r="P29" s="324">
        <f t="shared" si="15"/>
        <v>35.863546962488194</v>
      </c>
      <c r="Q29" s="325" t="str">
        <f t="shared" si="16"/>
        <v>L</v>
      </c>
      <c r="R29" s="323">
        <f t="shared" si="1"/>
        <v>1.2653240640049261</v>
      </c>
      <c r="S29" s="323">
        <f t="shared" si="27"/>
        <v>0.65</v>
      </c>
      <c r="T29" s="323">
        <f t="shared" si="2"/>
        <v>696.46540128557194</v>
      </c>
      <c r="U29" s="323">
        <f t="shared" si="3"/>
        <v>1.2834790236270239</v>
      </c>
      <c r="V29" s="322">
        <f t="shared" si="29"/>
        <v>-0.32655848830506745</v>
      </c>
      <c r="W29" s="323">
        <f t="shared" si="4"/>
        <v>-0.83433333333333237</v>
      </c>
      <c r="X29" s="323">
        <f t="shared" si="17"/>
        <v>0.20586843350686235</v>
      </c>
      <c r="Y29" s="323">
        <f t="shared" si="5"/>
        <v>-17.768575485092271</v>
      </c>
      <c r="Z29" s="323">
        <f t="shared" ref="Z29:Z92" si="31">IF(V29="","",IF(N29="",I29,AI29/N29*I29))</f>
        <v>0.25402855323459506</v>
      </c>
      <c r="AA29" s="326">
        <f t="shared" si="7"/>
        <v>0</v>
      </c>
      <c r="AB29" s="323" t="str">
        <f t="shared" si="18"/>
        <v/>
      </c>
      <c r="AC29" s="327"/>
      <c r="AD29" s="328">
        <f t="shared" si="8"/>
        <v>1.1344640137963142E-2</v>
      </c>
      <c r="AE29" s="328">
        <f t="shared" si="8"/>
        <v>4.1254347529389968</v>
      </c>
      <c r="AF29" s="328">
        <f t="shared" si="9"/>
        <v>1.000001638096236</v>
      </c>
      <c r="AG29" s="328">
        <f t="shared" si="10"/>
        <v>1.1344640137963142E-2</v>
      </c>
      <c r="AH29" s="328">
        <f t="shared" si="19"/>
        <v>-25.029999999999973</v>
      </c>
      <c r="AI29" s="328">
        <f t="shared" si="20"/>
        <v>42.259999999999991</v>
      </c>
      <c r="AJ29" s="329">
        <f t="shared" si="21"/>
        <v>90.481622369169287</v>
      </c>
      <c r="AK29" s="329" t="str" cm="1">
        <f t="array" ref="AK29">IF(OR(E29="", H29=""), "",
  IFERROR(
     (
      INDEX($AM$3:$AM$22, MATCH(E29, $AL$3:$AL$22, 1)) +
      (E29 - INDEX($AL$3:$AL$22, MATCH(E29, $AL$3:$AL$22, 1))) *
      (INDEX($AM$3:$AM$22, MATCH(E29, $AL$3:$AL$22, 1)+1) - INDEX($AM$3:$AM$22, MATCH(E29, $AL$3:$AL$22, 1))) /
      (INDEX($AL$3:$AL$22, MATCH(E29, $AL$3:$AL$22, 1)+1) - INDEX($AL$3:$AL$22, MATCH(E29, $AL$3:$AL$22, 1)))
    ) - H29,
    ""
  )
)</f>
        <v/>
      </c>
      <c r="AL29" s="341"/>
      <c r="AM29" s="346"/>
      <c r="AN29" s="347"/>
    </row>
    <row r="30" spans="1:40" s="315" customFormat="1" ht="15" customHeight="1" x14ac:dyDescent="0.35">
      <c r="A30" s="297">
        <f t="shared" ref="A30:B45" si="32">+A29</f>
        <v>2</v>
      </c>
      <c r="B30" s="298">
        <f t="shared" si="30"/>
        <v>19</v>
      </c>
      <c r="C30" s="299">
        <f t="shared" si="22"/>
        <v>29.060000000000059</v>
      </c>
      <c r="D30" s="300">
        <v>727.32</v>
      </c>
      <c r="E30" s="301">
        <f t="shared" si="23"/>
        <v>708.32</v>
      </c>
      <c r="F30" s="302">
        <v>0.77</v>
      </c>
      <c r="G30" s="302">
        <v>254.45</v>
      </c>
      <c r="H30" s="303">
        <f t="shared" si="12"/>
        <v>706.52439276665052</v>
      </c>
      <c r="I30" s="304">
        <f t="shared" si="13"/>
        <v>0.26080360575399719</v>
      </c>
      <c r="J30" s="302" t="str">
        <f t="shared" si="14"/>
        <v/>
      </c>
      <c r="K30" s="304" t="str">
        <f t="shared" si="24"/>
        <v/>
      </c>
      <c r="L30" s="302"/>
      <c r="M30" s="305"/>
      <c r="N30" s="304" t="str">
        <f t="shared" si="25"/>
        <v/>
      </c>
      <c r="O30" s="304">
        <f t="shared" si="26"/>
        <v>0</v>
      </c>
      <c r="P30" s="306">
        <f t="shared" si="15"/>
        <v>61.640672067806925</v>
      </c>
      <c r="Q30" s="307" t="str">
        <f t="shared" si="16"/>
        <v>R</v>
      </c>
      <c r="R30" s="304">
        <f t="shared" si="1"/>
        <v>1.2905642449119274</v>
      </c>
      <c r="S30" s="304">
        <f t="shared" si="27"/>
        <v>0.77</v>
      </c>
      <c r="T30" s="304">
        <f t="shared" si="2"/>
        <v>725.52267701962603</v>
      </c>
      <c r="U30" s="304">
        <f t="shared" si="3"/>
        <v>1.3094963240522977</v>
      </c>
      <c r="V30" s="303">
        <f t="shared" si="29"/>
        <v>-0.29457798440675659</v>
      </c>
      <c r="W30" s="304">
        <f t="shared" si="4"/>
        <v>0.60266666666666613</v>
      </c>
      <c r="X30" s="304">
        <f t="shared" si="17"/>
        <v>0.12388162422573959</v>
      </c>
      <c r="Y30" s="304">
        <f t="shared" si="5"/>
        <v>18.664831383344751</v>
      </c>
      <c r="Z30" s="304">
        <f t="shared" si="31"/>
        <v>0.26080360575399719</v>
      </c>
      <c r="AA30" s="308">
        <f t="shared" si="7"/>
        <v>0</v>
      </c>
      <c r="AB30" s="304" t="str">
        <f t="shared" si="18"/>
        <v/>
      </c>
      <c r="AC30" s="309"/>
      <c r="AD30" s="310">
        <f t="shared" si="8"/>
        <v>1.3439035240356337E-2</v>
      </c>
      <c r="AE30" s="310">
        <f t="shared" si="8"/>
        <v>4.4409902816995714</v>
      </c>
      <c r="AF30" s="310">
        <f t="shared" si="9"/>
        <v>1.0000017266391021</v>
      </c>
      <c r="AG30" s="310">
        <f t="shared" si="10"/>
        <v>1.3439035240356337E-2</v>
      </c>
      <c r="AH30" s="310">
        <f t="shared" si="19"/>
        <v>18.079999999999984</v>
      </c>
      <c r="AI30" s="310">
        <f t="shared" si="20"/>
        <v>29.060000000000059</v>
      </c>
      <c r="AJ30" s="311">
        <f t="shared" si="21"/>
        <v>90.481622369169287</v>
      </c>
      <c r="AK30" s="311" t="str" cm="1">
        <f t="array" ref="AK30">IF(OR(E30="", H30=""), "",
  IFERROR(
     (
      INDEX($AM$3:$AM$22, MATCH(E30, $AL$3:$AL$22, 1)) +
      (E30 - INDEX($AL$3:$AL$22, MATCH(E30, $AL$3:$AL$22, 1))) *
      (INDEX($AM$3:$AM$22, MATCH(E30, $AL$3:$AL$22, 1)+1) - INDEX($AM$3:$AM$22, MATCH(E30, $AL$3:$AL$22, 1))) /
      (INDEX($AL$3:$AL$22, MATCH(E30, $AL$3:$AL$22, 1)+1) - INDEX($AL$3:$AL$22, MATCH(E30, $AL$3:$AL$22, 1)))
    ) - H30,
    ""
  )
)</f>
        <v/>
      </c>
      <c r="AL30" s="338"/>
      <c r="AM30" s="339"/>
      <c r="AN30" s="340"/>
    </row>
    <row r="31" spans="1:40" s="315" customFormat="1" ht="15" customHeight="1" x14ac:dyDescent="0.35">
      <c r="A31" s="316">
        <f t="shared" si="32"/>
        <v>2</v>
      </c>
      <c r="B31" s="317">
        <f t="shared" si="30"/>
        <v>19</v>
      </c>
      <c r="C31" s="318">
        <f t="shared" si="22"/>
        <v>29.089999999999918</v>
      </c>
      <c r="D31" s="319">
        <v>756.41</v>
      </c>
      <c r="E31" s="320">
        <f t="shared" si="23"/>
        <v>737.41</v>
      </c>
      <c r="F31" s="321">
        <v>0.7</v>
      </c>
      <c r="G31" s="321">
        <v>252.36</v>
      </c>
      <c r="H31" s="322">
        <f t="shared" si="12"/>
        <v>735.61199924597543</v>
      </c>
      <c r="I31" s="323">
        <f t="shared" si="13"/>
        <v>7.7291656939368264E-2</v>
      </c>
      <c r="J31" s="321" t="str">
        <f t="shared" si="14"/>
        <v/>
      </c>
      <c r="K31" s="323" t="str">
        <f t="shared" si="24"/>
        <v/>
      </c>
      <c r="L31" s="321"/>
      <c r="M31" s="333"/>
      <c r="N31" s="323" t="str">
        <f t="shared" si="25"/>
        <v/>
      </c>
      <c r="O31" s="323">
        <f t="shared" si="26"/>
        <v>0</v>
      </c>
      <c r="P31" s="324">
        <f t="shared" si="15"/>
        <v>159.06583188923435</v>
      </c>
      <c r="Q31" s="325" t="str">
        <f t="shared" si="16"/>
        <v>L</v>
      </c>
      <c r="R31" s="323">
        <f t="shared" si="1"/>
        <v>1.321412320245662</v>
      </c>
      <c r="S31" s="323">
        <f t="shared" si="27"/>
        <v>0.7</v>
      </c>
      <c r="T31" s="323">
        <f t="shared" si="2"/>
        <v>754.610581269524</v>
      </c>
      <c r="U31" s="323">
        <f t="shared" si="3"/>
        <v>1.3412426284470451</v>
      </c>
      <c r="V31" s="322">
        <f t="shared" si="29"/>
        <v>-0.27110397920900881</v>
      </c>
      <c r="W31" s="323">
        <f t="shared" si="4"/>
        <v>-6.9666666666665836E-2</v>
      </c>
      <c r="X31" s="323">
        <f t="shared" si="17"/>
        <v>-7.2189755929873076E-2</v>
      </c>
      <c r="Y31" s="323">
        <f t="shared" si="5"/>
        <v>-2.1553798556204686</v>
      </c>
      <c r="Z31" s="323">
        <f t="shared" si="31"/>
        <v>7.7291656939368264E-2</v>
      </c>
      <c r="AA31" s="326">
        <f t="shared" si="7"/>
        <v>0</v>
      </c>
      <c r="AB31" s="323" t="str">
        <f t="shared" si="18"/>
        <v/>
      </c>
      <c r="AC31" s="327"/>
      <c r="AD31" s="328">
        <f t="shared" si="8"/>
        <v>1.2217304763960306E-2</v>
      </c>
      <c r="AE31" s="328">
        <f t="shared" si="8"/>
        <v>4.4045129003328904</v>
      </c>
      <c r="AF31" s="328">
        <f t="shared" si="9"/>
        <v>1.0000001516487391</v>
      </c>
      <c r="AG31" s="328">
        <f t="shared" si="10"/>
        <v>1.2217304763960306E-2</v>
      </c>
      <c r="AH31" s="328">
        <f t="shared" si="19"/>
        <v>-2.089999999999975</v>
      </c>
      <c r="AI31" s="328">
        <f t="shared" si="20"/>
        <v>29.089999999999918</v>
      </c>
      <c r="AJ31" s="329">
        <f t="shared" si="21"/>
        <v>90.481622369169287</v>
      </c>
      <c r="AK31" s="329" t="str" cm="1">
        <f t="array" ref="AK31">IF(OR(E31="", H31=""), "",
  IFERROR(
     (
      INDEX($AM$3:$AM$22, MATCH(E31, $AL$3:$AL$22, 1)) +
      (E31 - INDEX($AL$3:$AL$22, MATCH(E31, $AL$3:$AL$22, 1))) *
      (INDEX($AM$3:$AM$22, MATCH(E31, $AL$3:$AL$22, 1)+1) - INDEX($AM$3:$AM$22, MATCH(E31, $AL$3:$AL$22, 1))) /
      (INDEX($AL$3:$AL$22, MATCH(E31, $AL$3:$AL$22, 1)+1) - INDEX($AL$3:$AL$22, MATCH(E31, $AL$3:$AL$22, 1)))
    ) - H31,
    ""
  )
)</f>
        <v/>
      </c>
      <c r="AL31" s="341"/>
      <c r="AM31" s="342"/>
      <c r="AN31" s="343"/>
    </row>
    <row r="32" spans="1:40" s="315" customFormat="1" ht="15" customHeight="1" x14ac:dyDescent="0.35">
      <c r="A32" s="297">
        <f t="shared" si="32"/>
        <v>2</v>
      </c>
      <c r="B32" s="298">
        <f t="shared" si="30"/>
        <v>19</v>
      </c>
      <c r="C32" s="299">
        <f t="shared" si="22"/>
        <v>29.009999999999991</v>
      </c>
      <c r="D32" s="300">
        <v>785.42</v>
      </c>
      <c r="E32" s="301">
        <f t="shared" si="23"/>
        <v>766.42</v>
      </c>
      <c r="F32" s="302">
        <v>0.66</v>
      </c>
      <c r="G32" s="302">
        <v>254.62</v>
      </c>
      <c r="H32" s="303">
        <f t="shared" si="12"/>
        <v>764.61995616680542</v>
      </c>
      <c r="I32" s="304">
        <f t="shared" si="13"/>
        <v>4.9795963955253222E-2</v>
      </c>
      <c r="J32" s="302" t="str">
        <f t="shared" si="14"/>
        <v/>
      </c>
      <c r="K32" s="304" t="str">
        <f t="shared" si="24"/>
        <v/>
      </c>
      <c r="L32" s="302"/>
      <c r="M32" s="305"/>
      <c r="N32" s="304" t="str">
        <f t="shared" si="25"/>
        <v/>
      </c>
      <c r="O32" s="304">
        <f t="shared" si="26"/>
        <v>0</v>
      </c>
      <c r="P32" s="306">
        <f t="shared" si="15"/>
        <v>146.1697600170377</v>
      </c>
      <c r="Q32" s="307" t="str">
        <f t="shared" si="16"/>
        <v>R</v>
      </c>
      <c r="R32" s="304">
        <f t="shared" si="1"/>
        <v>1.3528869250416933</v>
      </c>
      <c r="S32" s="304">
        <f t="shared" si="27"/>
        <v>0.66</v>
      </c>
      <c r="T32" s="304">
        <f t="shared" si="2"/>
        <v>783.6186956129377</v>
      </c>
      <c r="U32" s="304">
        <f t="shared" si="3"/>
        <v>1.3736658536300137</v>
      </c>
      <c r="V32" s="303">
        <f t="shared" si="29"/>
        <v>-0.29741348397361095</v>
      </c>
      <c r="W32" s="304">
        <f t="shared" si="4"/>
        <v>7.533333333333303E-2</v>
      </c>
      <c r="X32" s="304">
        <f t="shared" si="17"/>
        <v>-4.136504653567729E-2</v>
      </c>
      <c r="Y32" s="304">
        <f t="shared" si="5"/>
        <v>2.3371251292657615</v>
      </c>
      <c r="Z32" s="304">
        <f t="shared" si="31"/>
        <v>4.9795963955253222E-2</v>
      </c>
      <c r="AA32" s="308">
        <f t="shared" si="7"/>
        <v>0</v>
      </c>
      <c r="AB32" s="304" t="str">
        <f t="shared" si="18"/>
        <v/>
      </c>
      <c r="AC32" s="309"/>
      <c r="AD32" s="310">
        <f t="shared" si="8"/>
        <v>1.1519173063162575E-2</v>
      </c>
      <c r="AE32" s="310">
        <f t="shared" si="8"/>
        <v>4.4439573414279616</v>
      </c>
      <c r="AF32" s="310">
        <f t="shared" si="9"/>
        <v>1.0000000629450827</v>
      </c>
      <c r="AG32" s="310">
        <f t="shared" si="10"/>
        <v>1.1519173063162575E-2</v>
      </c>
      <c r="AH32" s="310">
        <f t="shared" si="19"/>
        <v>2.2599999999999909</v>
      </c>
      <c r="AI32" s="310">
        <f t="shared" si="20"/>
        <v>29.009999999999991</v>
      </c>
      <c r="AJ32" s="311">
        <f t="shared" si="21"/>
        <v>90.481622369169287</v>
      </c>
      <c r="AK32" s="311" t="str" cm="1">
        <f t="array" ref="AK32">IF(OR(E32="", H32=""), "",
  IFERROR(
     (
      INDEX($AM$3:$AM$22, MATCH(E32, $AL$3:$AL$22, 1)) +
      (E32 - INDEX($AL$3:$AL$22, MATCH(E32, $AL$3:$AL$22, 1))) *
      (INDEX($AM$3:$AM$22, MATCH(E32, $AL$3:$AL$22, 1)+1) - INDEX($AM$3:$AM$22, MATCH(E32, $AL$3:$AL$22, 1))) /
      (INDEX($AL$3:$AL$22, MATCH(E32, $AL$3:$AL$22, 1)+1) - INDEX($AL$3:$AL$22, MATCH(E32, $AL$3:$AL$22, 1)))
    ) - H32,
    ""
  )
)</f>
        <v/>
      </c>
      <c r="AL32" s="338"/>
      <c r="AM32" s="339"/>
      <c r="AN32" s="340"/>
    </row>
    <row r="33" spans="1:40" s="315" customFormat="1" ht="15" customHeight="1" x14ac:dyDescent="0.35">
      <c r="A33" s="316">
        <f t="shared" si="32"/>
        <v>2</v>
      </c>
      <c r="B33" s="317">
        <f t="shared" si="30"/>
        <v>19</v>
      </c>
      <c r="C33" s="318">
        <f t="shared" si="22"/>
        <v>29.110000000000014</v>
      </c>
      <c r="D33" s="319">
        <v>814.53</v>
      </c>
      <c r="E33" s="320">
        <f t="shared" si="23"/>
        <v>795.53</v>
      </c>
      <c r="F33" s="321">
        <v>0.74</v>
      </c>
      <c r="G33" s="321">
        <v>252.21</v>
      </c>
      <c r="H33" s="322">
        <f t="shared" si="12"/>
        <v>793.72778367762123</v>
      </c>
      <c r="I33" s="323">
        <f t="shared" si="13"/>
        <v>8.7834451963378718E-2</v>
      </c>
      <c r="J33" s="321" t="str">
        <f t="shared" si="14"/>
        <v/>
      </c>
      <c r="K33" s="323" t="str">
        <f t="shared" si="24"/>
        <v/>
      </c>
      <c r="L33" s="321"/>
      <c r="M33" s="333"/>
      <c r="N33" s="323" t="str">
        <f t="shared" si="25"/>
        <v/>
      </c>
      <c r="O33" s="323">
        <f t="shared" si="26"/>
        <v>0</v>
      </c>
      <c r="P33" s="324">
        <f t="shared" si="15"/>
        <v>20.173772748848773</v>
      </c>
      <c r="Q33" s="325" t="str">
        <f t="shared" si="16"/>
        <v>L</v>
      </c>
      <c r="R33" s="323">
        <f t="shared" si="1"/>
        <v>1.3830282888262782</v>
      </c>
      <c r="S33" s="323">
        <f t="shared" si="27"/>
        <v>0.74</v>
      </c>
      <c r="T33" s="323">
        <f t="shared" si="2"/>
        <v>812.72619901890812</v>
      </c>
      <c r="U33" s="323">
        <f t="shared" si="3"/>
        <v>1.4047816755116496</v>
      </c>
      <c r="V33" s="322">
        <f t="shared" si="29"/>
        <v>-0.28769848252979213</v>
      </c>
      <c r="W33" s="323">
        <f t="shared" si="4"/>
        <v>-8.0333333333333215E-2</v>
      </c>
      <c r="X33" s="323">
        <f t="shared" si="17"/>
        <v>8.2445894881483933E-2</v>
      </c>
      <c r="Y33" s="323">
        <f t="shared" si="5"/>
        <v>-2.4836825833047018</v>
      </c>
      <c r="Z33" s="323">
        <f t="shared" si="31"/>
        <v>8.7834451963378718E-2</v>
      </c>
      <c r="AA33" s="326">
        <f t="shared" si="7"/>
        <v>0</v>
      </c>
      <c r="AB33" s="323" t="str">
        <f t="shared" si="18"/>
        <v/>
      </c>
      <c r="AC33" s="327"/>
      <c r="AD33" s="328">
        <f t="shared" si="8"/>
        <v>1.2915436464758038E-2</v>
      </c>
      <c r="AE33" s="328">
        <f t="shared" si="8"/>
        <v>4.4018949064548991</v>
      </c>
      <c r="AF33" s="328">
        <f t="shared" si="9"/>
        <v>1.0000001958408942</v>
      </c>
      <c r="AG33" s="328">
        <f t="shared" si="10"/>
        <v>1.2915436464758038E-2</v>
      </c>
      <c r="AH33" s="328">
        <f t="shared" si="19"/>
        <v>-2.4099999999999966</v>
      </c>
      <c r="AI33" s="328">
        <f t="shared" si="20"/>
        <v>29.110000000000014</v>
      </c>
      <c r="AJ33" s="329">
        <f t="shared" si="21"/>
        <v>90.481622369169287</v>
      </c>
      <c r="AK33" s="329" t="str" cm="1">
        <f t="array" ref="AK33">IF(OR(E33="", H33=""), "",
  IFERROR(
     (
      INDEX($AM$3:$AM$22, MATCH(E33, $AL$3:$AL$22, 1)) +
      (E33 - INDEX($AL$3:$AL$22, MATCH(E33, $AL$3:$AL$22, 1))) *
      (INDEX($AM$3:$AM$22, MATCH(E33, $AL$3:$AL$22, 1)+1) - INDEX($AM$3:$AM$22, MATCH(E33, $AL$3:$AL$22, 1))) /
      (INDEX($AL$3:$AL$22, MATCH(E33, $AL$3:$AL$22, 1)+1) - INDEX($AL$3:$AL$22, MATCH(E33, $AL$3:$AL$22, 1)))
    ) - H33,
    ""
  )
)</f>
        <v/>
      </c>
      <c r="AL33" s="341"/>
      <c r="AM33" s="342"/>
      <c r="AN33" s="343"/>
    </row>
    <row r="34" spans="1:40" s="315" customFormat="1" ht="15" customHeight="1" x14ac:dyDescent="0.35">
      <c r="A34" s="297">
        <f t="shared" si="32"/>
        <v>2</v>
      </c>
      <c r="B34" s="298">
        <f t="shared" si="30"/>
        <v>19</v>
      </c>
      <c r="C34" s="299">
        <f t="shared" si="22"/>
        <v>28.800000000000068</v>
      </c>
      <c r="D34" s="300">
        <v>843.33</v>
      </c>
      <c r="E34" s="301">
        <f t="shared" si="23"/>
        <v>824.33</v>
      </c>
      <c r="F34" s="302">
        <v>0.8</v>
      </c>
      <c r="G34" s="302">
        <v>249.49</v>
      </c>
      <c r="H34" s="303">
        <f t="shared" si="12"/>
        <v>822.52518296634207</v>
      </c>
      <c r="I34" s="304">
        <f t="shared" si="13"/>
        <v>7.3168084207277384E-2</v>
      </c>
      <c r="J34" s="302">
        <f t="shared" si="14"/>
        <v>843.33</v>
      </c>
      <c r="K34" s="304">
        <f t="shared" si="24"/>
        <v>846.33</v>
      </c>
      <c r="L34" s="302">
        <v>3</v>
      </c>
      <c r="M34" s="305" t="s">
        <v>586</v>
      </c>
      <c r="N34" s="304" t="str">
        <f t="shared" si="25"/>
        <v/>
      </c>
      <c r="O34" s="304">
        <f t="shared" si="26"/>
        <v>0</v>
      </c>
      <c r="P34" s="306">
        <f t="shared" si="15"/>
        <v>31.328801073337605</v>
      </c>
      <c r="Q34" s="307" t="str">
        <f t="shared" si="16"/>
        <v>L</v>
      </c>
      <c r="R34" s="304">
        <f t="shared" si="1"/>
        <v>1.4147689175152665</v>
      </c>
      <c r="S34" s="304">
        <f t="shared" si="27"/>
        <v>0.8</v>
      </c>
      <c r="T34" s="304">
        <f t="shared" si="2"/>
        <v>841.52333092251888</v>
      </c>
      <c r="U34" s="304">
        <f t="shared" si="3"/>
        <v>1.4375647118208097</v>
      </c>
      <c r="V34" s="303">
        <f t="shared" si="29"/>
        <v>-0.28540531523747065</v>
      </c>
      <c r="W34" s="304">
        <f t="shared" si="4"/>
        <v>-9.0666666666666632E-2</v>
      </c>
      <c r="X34" s="304">
        <f t="shared" si="17"/>
        <v>6.249999999999991E-2</v>
      </c>
      <c r="Y34" s="304">
        <f t="shared" si="5"/>
        <v>-2.8333333333333255</v>
      </c>
      <c r="Z34" s="304">
        <f t="shared" si="31"/>
        <v>7.3168084207277384E-2</v>
      </c>
      <c r="AA34" s="308">
        <f t="shared" si="7"/>
        <v>0</v>
      </c>
      <c r="AB34" s="304">
        <f t="shared" si="18"/>
        <v>25.789999999999964</v>
      </c>
      <c r="AC34" s="309"/>
      <c r="AD34" s="310">
        <f t="shared" si="8"/>
        <v>1.3962634015954637E-2</v>
      </c>
      <c r="AE34" s="310">
        <f t="shared" si="8"/>
        <v>4.3544219508006528</v>
      </c>
      <c r="AF34" s="310">
        <f t="shared" si="9"/>
        <v>1.0000001358992086</v>
      </c>
      <c r="AG34" s="310">
        <f t="shared" si="10"/>
        <v>1.3962634015954637E-2</v>
      </c>
      <c r="AH34" s="310">
        <f t="shared" si="19"/>
        <v>-2.7199999999999989</v>
      </c>
      <c r="AI34" s="310">
        <f t="shared" si="20"/>
        <v>28.800000000000068</v>
      </c>
      <c r="AJ34" s="311">
        <f t="shared" si="21"/>
        <v>90.481622369169287</v>
      </c>
      <c r="AK34" s="311" t="str" cm="1">
        <f t="array" ref="AK34">IF(OR(E34="", H34=""), "",
  IFERROR(
     (
      INDEX($AM$3:$AM$22, MATCH(E34, $AL$3:$AL$22, 1)) +
      (E34 - INDEX($AL$3:$AL$22, MATCH(E34, $AL$3:$AL$22, 1))) *
      (INDEX($AM$3:$AM$22, MATCH(E34, $AL$3:$AL$22, 1)+1) - INDEX($AM$3:$AM$22, MATCH(E34, $AL$3:$AL$22, 1))) /
      (INDEX($AL$3:$AL$22, MATCH(E34, $AL$3:$AL$22, 1)+1) - INDEX($AL$3:$AL$22, MATCH(E34, $AL$3:$AL$22, 1)))
    ) - H34,
    ""
  )
)</f>
        <v/>
      </c>
      <c r="AL34" s="338"/>
      <c r="AM34" s="339"/>
      <c r="AN34" s="340"/>
    </row>
    <row r="35" spans="1:40" s="315" customFormat="1" ht="15" customHeight="1" x14ac:dyDescent="0.35">
      <c r="A35" s="316">
        <f t="shared" si="32"/>
        <v>2</v>
      </c>
      <c r="B35" s="317">
        <f t="shared" si="30"/>
        <v>19</v>
      </c>
      <c r="C35" s="318">
        <f t="shared" si="22"/>
        <v>28.789999999999964</v>
      </c>
      <c r="D35" s="319">
        <v>872.12</v>
      </c>
      <c r="E35" s="320">
        <f t="shared" si="23"/>
        <v>853.12</v>
      </c>
      <c r="F35" s="321">
        <v>2.15</v>
      </c>
      <c r="G35" s="321">
        <v>219.93</v>
      </c>
      <c r="H35" s="322">
        <f t="shared" si="12"/>
        <v>851.30564344772779</v>
      </c>
      <c r="I35" s="323">
        <f t="shared" si="13"/>
        <v>1.5700360488290264</v>
      </c>
      <c r="J35" s="321">
        <f t="shared" si="14"/>
        <v>872.12</v>
      </c>
      <c r="K35" s="323">
        <f t="shared" si="24"/>
        <v>875.12</v>
      </c>
      <c r="L35" s="321">
        <v>3</v>
      </c>
      <c r="M35" s="333" t="s">
        <v>586</v>
      </c>
      <c r="N35" s="323">
        <f t="shared" si="25"/>
        <v>3</v>
      </c>
      <c r="O35" s="323">
        <f t="shared" si="26"/>
        <v>0</v>
      </c>
      <c r="P35" s="324">
        <f t="shared" si="15"/>
        <v>26.363971187722971</v>
      </c>
      <c r="Q35" s="325" t="str">
        <f t="shared" si="16"/>
        <v>L</v>
      </c>
      <c r="R35" s="323">
        <f t="shared" si="1"/>
        <v>1.4149648261183625</v>
      </c>
      <c r="S35" s="323">
        <f t="shared" si="27"/>
        <v>2.15</v>
      </c>
      <c r="T35" s="323">
        <f t="shared" si="2"/>
        <v>870.29226812409627</v>
      </c>
      <c r="U35" s="323">
        <f t="shared" si="3"/>
        <v>1.4383197991741035</v>
      </c>
      <c r="V35" s="322">
        <f t="shared" si="29"/>
        <v>0.44999999999999996</v>
      </c>
      <c r="W35" s="323">
        <f t="shared" si="4"/>
        <v>-9.8533333333333335</v>
      </c>
      <c r="X35" s="323">
        <f t="shared" si="17"/>
        <v>1.4067384508509915</v>
      </c>
      <c r="Y35" s="323">
        <f t="shared" si="5"/>
        <v>-30.802361931226162</v>
      </c>
      <c r="Z35" s="323">
        <f t="shared" si="31"/>
        <v>15.067112615262538</v>
      </c>
      <c r="AA35" s="326">
        <f t="shared" si="7"/>
        <v>0.10420284821118457</v>
      </c>
      <c r="AB35" s="323">
        <f t="shared" si="18"/>
        <v>25.769999999999982</v>
      </c>
      <c r="AC35" s="327"/>
      <c r="AD35" s="328">
        <f t="shared" si="8"/>
        <v>3.7524578917878082E-2</v>
      </c>
      <c r="AE35" s="328">
        <f t="shared" si="8"/>
        <v>3.8385026239111291</v>
      </c>
      <c r="AF35" s="328">
        <f t="shared" si="9"/>
        <v>1.0000625785288619</v>
      </c>
      <c r="AG35" s="328">
        <f t="shared" si="10"/>
        <v>3.7524578917878082E-2</v>
      </c>
      <c r="AH35" s="328">
        <f t="shared" si="19"/>
        <v>-29.560000000000002</v>
      </c>
      <c r="AI35" s="328">
        <f t="shared" si="20"/>
        <v>28.789999999999964</v>
      </c>
      <c r="AJ35" s="329">
        <f t="shared" si="21"/>
        <v>90.481622369169287</v>
      </c>
      <c r="AK35" s="329" t="str" cm="1">
        <f t="array" ref="AK35">IF(OR(E35="", H35=""), "",
  IFERROR(
     (
      INDEX($AM$3:$AM$22, MATCH(E35, $AL$3:$AL$22, 1)) +
      (E35 - INDEX($AL$3:$AL$22, MATCH(E35, $AL$3:$AL$22, 1))) *
      (INDEX($AM$3:$AM$22, MATCH(E35, $AL$3:$AL$22, 1)+1) - INDEX($AM$3:$AM$22, MATCH(E35, $AL$3:$AL$22, 1))) /
      (INDEX($AL$3:$AL$22, MATCH(E35, $AL$3:$AL$22, 1)+1) - INDEX($AL$3:$AL$22, MATCH(E35, $AL$3:$AL$22, 1)))
    ) - H35,
    ""
  )
)</f>
        <v/>
      </c>
      <c r="AL35" s="341"/>
      <c r="AM35" s="342"/>
      <c r="AN35" s="343"/>
    </row>
    <row r="36" spans="1:40" s="315" customFormat="1" ht="15" customHeight="1" x14ac:dyDescent="0.35">
      <c r="A36" s="297">
        <f t="shared" si="32"/>
        <v>2</v>
      </c>
      <c r="B36" s="298">
        <f t="shared" si="30"/>
        <v>19</v>
      </c>
      <c r="C36" s="299">
        <f t="shared" si="22"/>
        <v>28.769999999999982</v>
      </c>
      <c r="D36" s="300">
        <v>900.89</v>
      </c>
      <c r="E36" s="301">
        <f t="shared" si="23"/>
        <v>881.89</v>
      </c>
      <c r="F36" s="302">
        <v>3.44</v>
      </c>
      <c r="G36" s="302">
        <v>207.68</v>
      </c>
      <c r="H36" s="303">
        <f t="shared" si="12"/>
        <v>880.04141855459739</v>
      </c>
      <c r="I36" s="304">
        <f t="shared" si="13"/>
        <v>1.474913936306407</v>
      </c>
      <c r="J36" s="302">
        <f t="shared" si="14"/>
        <v>900.89</v>
      </c>
      <c r="K36" s="304">
        <f t="shared" si="24"/>
        <v>903.89</v>
      </c>
      <c r="L36" s="302">
        <v>3</v>
      </c>
      <c r="M36" s="305" t="s">
        <v>587</v>
      </c>
      <c r="N36" s="304">
        <f t="shared" si="25"/>
        <v>3</v>
      </c>
      <c r="O36" s="304">
        <f t="shared" si="26"/>
        <v>0</v>
      </c>
      <c r="P36" s="306">
        <f t="shared" si="15"/>
        <v>24.213971553522718</v>
      </c>
      <c r="Q36" s="307" t="str">
        <f t="shared" si="16"/>
        <v>L</v>
      </c>
      <c r="R36" s="304">
        <f t="shared" si="1"/>
        <v>1.4167219632725347</v>
      </c>
      <c r="S36" s="304">
        <f t="shared" si="27"/>
        <v>3.44</v>
      </c>
      <c r="T36" s="304">
        <f t="shared" si="2"/>
        <v>899.0071839936486</v>
      </c>
      <c r="U36" s="304">
        <f t="shared" si="3"/>
        <v>1.4406782654744801</v>
      </c>
      <c r="V36" s="303">
        <f t="shared" si="29"/>
        <v>0.43</v>
      </c>
      <c r="W36" s="304">
        <f t="shared" si="4"/>
        <v>-4.083333333333333</v>
      </c>
      <c r="X36" s="304">
        <f t="shared" si="17"/>
        <v>1.3451511991657987</v>
      </c>
      <c r="Y36" s="304">
        <f t="shared" si="5"/>
        <v>-12.773722627737234</v>
      </c>
      <c r="Z36" s="304">
        <f t="shared" si="31"/>
        <v>14.144424649178434</v>
      </c>
      <c r="AA36" s="308">
        <f t="shared" si="7"/>
        <v>0.10427528675703865</v>
      </c>
      <c r="AB36" s="304">
        <f t="shared" si="18"/>
        <v>25.769999999999982</v>
      </c>
      <c r="AC36" s="309"/>
      <c r="AD36" s="310">
        <f t="shared" si="8"/>
        <v>6.0039326268604934E-2</v>
      </c>
      <c r="AE36" s="310">
        <f t="shared" si="8"/>
        <v>3.6246997905418237</v>
      </c>
      <c r="AF36" s="310">
        <f t="shared" si="9"/>
        <v>1.0000552249876447</v>
      </c>
      <c r="AG36" s="310">
        <f t="shared" si="10"/>
        <v>6.0039326268604934E-2</v>
      </c>
      <c r="AH36" s="310">
        <f t="shared" si="19"/>
        <v>-12.25</v>
      </c>
      <c r="AI36" s="310">
        <f t="shared" si="20"/>
        <v>28.769999999999982</v>
      </c>
      <c r="AJ36" s="311">
        <f t="shared" si="21"/>
        <v>90.481622369169287</v>
      </c>
      <c r="AK36" s="311" t="str" cm="1">
        <f t="array" ref="AK36">IF(OR(E36="", H36=""), "",
  IFERROR(
     (
      INDEX($AM$3:$AM$22, MATCH(E36, $AL$3:$AL$22, 1)) +
      (E36 - INDEX($AL$3:$AL$22, MATCH(E36, $AL$3:$AL$22, 1))) *
      (INDEX($AM$3:$AM$22, MATCH(E36, $AL$3:$AL$22, 1)+1) - INDEX($AM$3:$AM$22, MATCH(E36, $AL$3:$AL$22, 1))) /
      (INDEX($AL$3:$AL$22, MATCH(E36, $AL$3:$AL$22, 1)+1) - INDEX($AL$3:$AL$22, MATCH(E36, $AL$3:$AL$22, 1)))
    ) - H36,
    ""
  )
)</f>
        <v/>
      </c>
      <c r="AL36" s="338"/>
      <c r="AM36" s="339"/>
      <c r="AN36" s="340"/>
    </row>
    <row r="37" spans="1:40" s="315" customFormat="1" ht="15" customHeight="1" x14ac:dyDescent="0.35">
      <c r="A37" s="316">
        <f t="shared" si="32"/>
        <v>2</v>
      </c>
      <c r="B37" s="317">
        <f t="shared" si="30"/>
        <v>19</v>
      </c>
      <c r="C37" s="318">
        <f t="shared" si="22"/>
        <v>28.769999999999982</v>
      </c>
      <c r="D37" s="319">
        <v>929.66</v>
      </c>
      <c r="E37" s="320">
        <f t="shared" si="23"/>
        <v>910.66</v>
      </c>
      <c r="F37" s="321">
        <v>4.59</v>
      </c>
      <c r="G37" s="321">
        <v>211.64</v>
      </c>
      <c r="H37" s="322">
        <f t="shared" si="12"/>
        <v>908.74080989349284</v>
      </c>
      <c r="I37" s="323">
        <f t="shared" si="13"/>
        <v>1.2328207803001749</v>
      </c>
      <c r="J37" s="321">
        <f t="shared" si="14"/>
        <v>929.66</v>
      </c>
      <c r="K37" s="323">
        <f t="shared" si="24"/>
        <v>932.66</v>
      </c>
      <c r="L37" s="321">
        <v>3</v>
      </c>
      <c r="M37" s="333" t="s">
        <v>587</v>
      </c>
      <c r="N37" s="323">
        <f t="shared" si="25"/>
        <v>3</v>
      </c>
      <c r="O37" s="323">
        <f t="shared" si="26"/>
        <v>0</v>
      </c>
      <c r="P37" s="324">
        <f t="shared" si="15"/>
        <v>13.418541523185684</v>
      </c>
      <c r="Q37" s="325" t="str">
        <f t="shared" si="16"/>
        <v>R</v>
      </c>
      <c r="R37" s="323">
        <f t="shared" si="1"/>
        <v>1.4223357786125914</v>
      </c>
      <c r="S37" s="323">
        <f t="shared" si="27"/>
        <v>4.59</v>
      </c>
      <c r="T37" s="323">
        <f t="shared" si="2"/>
        <v>927.67987424541013</v>
      </c>
      <c r="U37" s="323">
        <f t="shared" si="3"/>
        <v>1.4469832420514952</v>
      </c>
      <c r="V37" s="322">
        <f t="shared" si="29"/>
        <v>0.3833333333333333</v>
      </c>
      <c r="W37" s="323">
        <f t="shared" si="4"/>
        <v>1.3199999999999932</v>
      </c>
      <c r="X37" s="323">
        <f t="shared" si="17"/>
        <v>1.1991657977059444</v>
      </c>
      <c r="Y37" s="323">
        <f t="shared" si="5"/>
        <v>4.1293013555787095</v>
      </c>
      <c r="Z37" s="323">
        <f t="shared" si="31"/>
        <v>11.822751283078672</v>
      </c>
      <c r="AA37" s="326">
        <f t="shared" si="7"/>
        <v>0.10427528675703865</v>
      </c>
      <c r="AB37" s="323">
        <f t="shared" si="18"/>
        <v>25.810000000000059</v>
      </c>
      <c r="AC37" s="327"/>
      <c r="AD37" s="328">
        <f t="shared" si="8"/>
        <v>8.0110612666539724E-2</v>
      </c>
      <c r="AE37" s="328">
        <f t="shared" si="8"/>
        <v>3.6938148289207988</v>
      </c>
      <c r="AF37" s="328">
        <f t="shared" si="9"/>
        <v>1.000038582777514</v>
      </c>
      <c r="AG37" s="328">
        <f t="shared" si="10"/>
        <v>8.0110612666539724E-2</v>
      </c>
      <c r="AH37" s="328">
        <f t="shared" si="19"/>
        <v>3.9599999999999795</v>
      </c>
      <c r="AI37" s="328">
        <f t="shared" si="20"/>
        <v>28.769999999999982</v>
      </c>
      <c r="AJ37" s="329">
        <f t="shared" si="21"/>
        <v>90.481622369169287</v>
      </c>
      <c r="AK37" s="329" t="str" cm="1">
        <f t="array" ref="AK37">IF(OR(E37="", H37=""), "",
  IFERROR(
     (
      INDEX($AM$3:$AM$22, MATCH(E37, $AL$3:$AL$22, 1)) +
      (E37 - INDEX($AL$3:$AL$22, MATCH(E37, $AL$3:$AL$22, 1))) *
      (INDEX($AM$3:$AM$22, MATCH(E37, $AL$3:$AL$22, 1)+1) - INDEX($AM$3:$AM$22, MATCH(E37, $AL$3:$AL$22, 1))) /
      (INDEX($AL$3:$AL$22, MATCH(E37, $AL$3:$AL$22, 1)+1) - INDEX($AL$3:$AL$22, MATCH(E37, $AL$3:$AL$22, 1)))
    ) - H37,
    ""
  )
)</f>
        <v/>
      </c>
      <c r="AL37" s="341"/>
      <c r="AM37" s="342"/>
      <c r="AN37" s="343"/>
    </row>
    <row r="38" spans="1:40" s="315" customFormat="1" ht="15" customHeight="1" x14ac:dyDescent="0.35">
      <c r="A38" s="297">
        <f t="shared" si="32"/>
        <v>2</v>
      </c>
      <c r="B38" s="298">
        <f t="shared" si="30"/>
        <v>19</v>
      </c>
      <c r="C38" s="299">
        <f t="shared" si="22"/>
        <v>28.810000000000059</v>
      </c>
      <c r="D38" s="300">
        <v>958.47</v>
      </c>
      <c r="E38" s="301">
        <f t="shared" si="23"/>
        <v>939.47</v>
      </c>
      <c r="F38" s="302">
        <v>5.88</v>
      </c>
      <c r="G38" s="302">
        <v>212.2</v>
      </c>
      <c r="H38" s="303">
        <f t="shared" si="12"/>
        <v>937.43063901925154</v>
      </c>
      <c r="I38" s="304">
        <f t="shared" si="13"/>
        <v>1.3443209133663496</v>
      </c>
      <c r="J38" s="302">
        <f t="shared" si="14"/>
        <v>958.47</v>
      </c>
      <c r="K38" s="304">
        <f t="shared" si="24"/>
        <v>964.47</v>
      </c>
      <c r="L38" s="302">
        <v>6</v>
      </c>
      <c r="M38" s="305" t="s">
        <v>588</v>
      </c>
      <c r="N38" s="304">
        <f t="shared" si="25"/>
        <v>3</v>
      </c>
      <c r="O38" s="304">
        <f t="shared" si="26"/>
        <v>0</v>
      </c>
      <c r="P38" s="306">
        <f t="shared" si="15"/>
        <v>2.2509861331094125</v>
      </c>
      <c r="Q38" s="307" t="str">
        <f t="shared" si="16"/>
        <v>R</v>
      </c>
      <c r="R38" s="304">
        <f t="shared" si="1"/>
        <v>1.4244277591749692</v>
      </c>
      <c r="S38" s="304">
        <f t="shared" si="27"/>
        <v>5.88</v>
      </c>
      <c r="T38" s="304">
        <f t="shared" si="2"/>
        <v>956.33067313897061</v>
      </c>
      <c r="U38" s="304">
        <f t="shared" si="3"/>
        <v>1.4497237369599212</v>
      </c>
      <c r="V38" s="303">
        <f t="shared" si="29"/>
        <v>0.43</v>
      </c>
      <c r="W38" s="304">
        <f t="shared" si="4"/>
        <v>0.18666666666666742</v>
      </c>
      <c r="X38" s="304">
        <f t="shared" si="17"/>
        <v>1.3432835820895497</v>
      </c>
      <c r="Y38" s="304">
        <f t="shared" si="5"/>
        <v>0.58313085734120218</v>
      </c>
      <c r="Z38" s="304">
        <f t="shared" si="31"/>
        <v>12.909961838028204</v>
      </c>
      <c r="AA38" s="308">
        <f t="shared" si="7"/>
        <v>0.10413051023949996</v>
      </c>
      <c r="AB38" s="304">
        <f t="shared" si="18"/>
        <v>22.799999999999955</v>
      </c>
      <c r="AC38" s="309"/>
      <c r="AD38" s="310">
        <f t="shared" si="8"/>
        <v>0.10262536001726658</v>
      </c>
      <c r="AE38" s="310">
        <f t="shared" si="8"/>
        <v>3.7035886727319669</v>
      </c>
      <c r="AF38" s="310">
        <f t="shared" si="9"/>
        <v>1.0000458778764776</v>
      </c>
      <c r="AG38" s="310">
        <f t="shared" si="10"/>
        <v>0.10262536001726658</v>
      </c>
      <c r="AH38" s="310">
        <f t="shared" si="19"/>
        <v>0.56000000000000227</v>
      </c>
      <c r="AI38" s="310">
        <f t="shared" si="20"/>
        <v>28.810000000000059</v>
      </c>
      <c r="AJ38" s="311">
        <f t="shared" si="21"/>
        <v>90.481622369169287</v>
      </c>
      <c r="AK38" s="311" t="str" cm="1">
        <f t="array" ref="AK38">IF(OR(E38="", H38=""), "",
  IFERROR(
     (
      INDEX($AM$3:$AM$22, MATCH(E38, $AL$3:$AL$22, 1)) +
      (E38 - INDEX($AL$3:$AL$22, MATCH(E38, $AL$3:$AL$22, 1))) *
      (INDEX($AM$3:$AM$22, MATCH(E38, $AL$3:$AL$22, 1)+1) - INDEX($AM$3:$AM$22, MATCH(E38, $AL$3:$AL$22, 1))) /
      (INDEX($AL$3:$AL$22, MATCH(E38, $AL$3:$AL$22, 1)+1) - INDEX($AL$3:$AL$22, MATCH(E38, $AL$3:$AL$22, 1)))
    ) - H38,
    ""
  )
)</f>
        <v/>
      </c>
      <c r="AL38" s="338"/>
      <c r="AM38" s="339"/>
      <c r="AN38" s="340"/>
    </row>
    <row r="39" spans="1:40" s="315" customFormat="1" ht="15" customHeight="1" x14ac:dyDescent="0.35">
      <c r="A39" s="316">
        <f t="shared" si="32"/>
        <v>2</v>
      </c>
      <c r="B39" s="317">
        <f t="shared" si="32"/>
        <v>19</v>
      </c>
      <c r="C39" s="318">
        <f t="shared" si="22"/>
        <v>28.799999999999955</v>
      </c>
      <c r="D39" s="319">
        <v>987.27</v>
      </c>
      <c r="E39" s="320">
        <f t="shared" si="23"/>
        <v>968.27</v>
      </c>
      <c r="F39" s="321">
        <v>8.76</v>
      </c>
      <c r="G39" s="321">
        <v>213.15</v>
      </c>
      <c r="H39" s="322">
        <f t="shared" si="12"/>
        <v>965.99591983272501</v>
      </c>
      <c r="I39" s="323">
        <f t="shared" si="13"/>
        <v>3.0025463763466096</v>
      </c>
      <c r="J39" s="321">
        <f t="shared" si="14"/>
        <v>987.27</v>
      </c>
      <c r="K39" s="323">
        <f t="shared" si="24"/>
        <v>993.27</v>
      </c>
      <c r="L39" s="321">
        <v>6</v>
      </c>
      <c r="M39" s="333" t="s">
        <v>588</v>
      </c>
      <c r="N39" s="323">
        <f t="shared" si="25"/>
        <v>6</v>
      </c>
      <c r="O39" s="323">
        <f t="shared" si="26"/>
        <v>0</v>
      </c>
      <c r="P39" s="324">
        <f t="shared" si="15"/>
        <v>2.3598519714831525</v>
      </c>
      <c r="Q39" s="325" t="str">
        <f t="shared" si="16"/>
        <v>R</v>
      </c>
      <c r="R39" s="323">
        <f t="shared" si="1"/>
        <v>1.3817539683692619</v>
      </c>
      <c r="S39" s="323">
        <f t="shared" si="27"/>
        <v>8.76</v>
      </c>
      <c r="T39" s="323">
        <f t="shared" si="2"/>
        <v>984.77428378534444</v>
      </c>
      <c r="U39" s="323">
        <f t="shared" si="3"/>
        <v>1.4068036253770406</v>
      </c>
      <c r="V39" s="322">
        <f t="shared" si="29"/>
        <v>0.48</v>
      </c>
      <c r="W39" s="323">
        <f t="shared" si="4"/>
        <v>0.15833333333333618</v>
      </c>
      <c r="X39" s="323">
        <f t="shared" si="17"/>
        <v>3.0000000000000044</v>
      </c>
      <c r="Y39" s="323">
        <f t="shared" si="5"/>
        <v>0.98958333333335269</v>
      </c>
      <c r="Z39" s="323">
        <f t="shared" si="31"/>
        <v>14.412222606463704</v>
      </c>
      <c r="AA39" s="326">
        <f t="shared" si="7"/>
        <v>0.20833333333333368</v>
      </c>
      <c r="AB39" s="323">
        <f t="shared" si="18"/>
        <v>22.789999999999964</v>
      </c>
      <c r="AC39" s="327"/>
      <c r="AD39" s="328">
        <f t="shared" si="8"/>
        <v>0.15289084247470328</v>
      </c>
      <c r="AE39" s="328">
        <f t="shared" si="8"/>
        <v>3.7201693006259133</v>
      </c>
      <c r="AF39" s="328">
        <f t="shared" si="9"/>
        <v>1.0002289139295735</v>
      </c>
      <c r="AG39" s="328">
        <f t="shared" si="10"/>
        <v>0.15289084247470328</v>
      </c>
      <c r="AH39" s="328">
        <f t="shared" si="19"/>
        <v>0.95000000000001705</v>
      </c>
      <c r="AI39" s="328">
        <f t="shared" si="20"/>
        <v>28.799999999999955</v>
      </c>
      <c r="AJ39" s="329">
        <f t="shared" si="21"/>
        <v>90.481622369169287</v>
      </c>
      <c r="AK39" s="329" t="str" cm="1">
        <f t="array" ref="AK39">IF(OR(E39="", H39=""), "",
  IFERROR(
     (
      INDEX($AM$3:$AM$22, MATCH(E39, $AL$3:$AL$22, 1)) +
      (E39 - INDEX($AL$3:$AL$22, MATCH(E39, $AL$3:$AL$22, 1))) *
      (INDEX($AM$3:$AM$22, MATCH(E39, $AL$3:$AL$22, 1)+1) - INDEX($AM$3:$AM$22, MATCH(E39, $AL$3:$AL$22, 1))) /
      (INDEX($AL$3:$AL$22, MATCH(E39, $AL$3:$AL$22, 1)+1) - INDEX($AL$3:$AL$22, MATCH(E39, $AL$3:$AL$22, 1)))
    ) - H39,
    ""
  )
)</f>
        <v/>
      </c>
      <c r="AL39" s="341"/>
      <c r="AM39" s="342"/>
      <c r="AN39" s="343"/>
    </row>
    <row r="40" spans="1:40" s="315" customFormat="1" ht="15" customHeight="1" x14ac:dyDescent="0.35">
      <c r="A40" s="297">
        <f t="shared" si="32"/>
        <v>2</v>
      </c>
      <c r="B40" s="298">
        <f t="shared" si="32"/>
        <v>19</v>
      </c>
      <c r="C40" s="299">
        <f t="shared" si="22"/>
        <v>28.789999999999964</v>
      </c>
      <c r="D40" s="300">
        <v>1016.06</v>
      </c>
      <c r="E40" s="301">
        <f t="shared" si="23"/>
        <v>997.06</v>
      </c>
      <c r="F40" s="302">
        <v>11.13</v>
      </c>
      <c r="G40" s="302">
        <v>213.38</v>
      </c>
      <c r="H40" s="303">
        <f t="shared" si="12"/>
        <v>994.35332099148366</v>
      </c>
      <c r="I40" s="304">
        <f t="shared" si="13"/>
        <v>2.4699494631847805</v>
      </c>
      <c r="J40" s="302">
        <f t="shared" si="14"/>
        <v>1016.06</v>
      </c>
      <c r="K40" s="304">
        <f t="shared" si="24"/>
        <v>1023.06</v>
      </c>
      <c r="L40" s="302">
        <v>7</v>
      </c>
      <c r="M40" s="305" t="s">
        <v>589</v>
      </c>
      <c r="N40" s="304">
        <f t="shared" si="25"/>
        <v>6</v>
      </c>
      <c r="O40" s="304">
        <f t="shared" si="26"/>
        <v>0</v>
      </c>
      <c r="P40" s="306">
        <f t="shared" si="15"/>
        <v>0.95342520662735353</v>
      </c>
      <c r="Q40" s="307" t="str">
        <f t="shared" si="16"/>
        <v>R</v>
      </c>
      <c r="R40" s="304">
        <f t="shared" si="1"/>
        <v>1.3516940759653671</v>
      </c>
      <c r="S40" s="304">
        <f t="shared" si="27"/>
        <v>11.13</v>
      </c>
      <c r="T40" s="304">
        <f t="shared" si="2"/>
        <v>1012.9959637706148</v>
      </c>
      <c r="U40" s="304">
        <f t="shared" si="3"/>
        <v>1.3767030565756369</v>
      </c>
      <c r="V40" s="303">
        <f t="shared" si="29"/>
        <v>0.39500000000000018</v>
      </c>
      <c r="W40" s="304">
        <f t="shared" si="4"/>
        <v>3.833333333333163E-2</v>
      </c>
      <c r="X40" s="304">
        <f t="shared" si="17"/>
        <v>2.4696075026050752</v>
      </c>
      <c r="Y40" s="304">
        <f t="shared" si="5"/>
        <v>0.23966655088571384</v>
      </c>
      <c r="Z40" s="304">
        <f t="shared" si="31"/>
        <v>11.85164084084829</v>
      </c>
      <c r="AA40" s="308">
        <f t="shared" si="7"/>
        <v>0.20840569642236914</v>
      </c>
      <c r="AB40" s="304">
        <f t="shared" si="18"/>
        <v>21.840000000000146</v>
      </c>
      <c r="AC40" s="309"/>
      <c r="AD40" s="310">
        <f t="shared" si="8"/>
        <v>0.19425514574696889</v>
      </c>
      <c r="AE40" s="310">
        <f t="shared" si="8"/>
        <v>3.7241835579055005</v>
      </c>
      <c r="AF40" s="310">
        <f t="shared" si="9"/>
        <v>1.0001548924821346</v>
      </c>
      <c r="AG40" s="310">
        <f t="shared" si="10"/>
        <v>0.19425514574696889</v>
      </c>
      <c r="AH40" s="310">
        <f t="shared" si="19"/>
        <v>0.22999999999998977</v>
      </c>
      <c r="AI40" s="310">
        <f t="shared" si="20"/>
        <v>28.789999999999964</v>
      </c>
      <c r="AJ40" s="311">
        <f t="shared" si="21"/>
        <v>90.481622369169287</v>
      </c>
      <c r="AK40" s="311" t="str" cm="1">
        <f t="array" ref="AK40">IF(OR(E40="", H40=""), "",
  IFERROR(
     (
      INDEX($AM$3:$AM$22, MATCH(E40, $AL$3:$AL$22, 1)) +
      (E40 - INDEX($AL$3:$AL$22, MATCH(E40, $AL$3:$AL$22, 1))) *
      (INDEX($AM$3:$AM$22, MATCH(E40, $AL$3:$AL$22, 1)+1) - INDEX($AM$3:$AM$22, MATCH(E40, $AL$3:$AL$22, 1))) /
      (INDEX($AL$3:$AL$22, MATCH(E40, $AL$3:$AL$22, 1)+1) - INDEX($AL$3:$AL$22, MATCH(E40, $AL$3:$AL$22, 1)))
    ) - H40,
    ""
  )
)</f>
        <v/>
      </c>
      <c r="AL40" s="338"/>
      <c r="AM40" s="339"/>
      <c r="AN40" s="340"/>
    </row>
    <row r="41" spans="1:40" s="315" customFormat="1" ht="15" customHeight="1" x14ac:dyDescent="0.35">
      <c r="A41" s="316">
        <f t="shared" si="32"/>
        <v>2</v>
      </c>
      <c r="B41" s="317">
        <f t="shared" si="32"/>
        <v>19</v>
      </c>
      <c r="C41" s="318">
        <f t="shared" si="22"/>
        <v>28.840000000000146</v>
      </c>
      <c r="D41" s="319">
        <v>1044.9000000000001</v>
      </c>
      <c r="E41" s="320">
        <f t="shared" si="23"/>
        <v>1025.9000000000001</v>
      </c>
      <c r="F41" s="321">
        <v>13.72</v>
      </c>
      <c r="G41" s="321">
        <v>222.38</v>
      </c>
      <c r="H41" s="322">
        <f t="shared" si="12"/>
        <v>1022.5178446258619</v>
      </c>
      <c r="I41" s="323">
        <f t="shared" si="13"/>
        <v>3.3563189428312299</v>
      </c>
      <c r="J41" s="321">
        <f t="shared" si="14"/>
        <v>1044.9000000000001</v>
      </c>
      <c r="K41" s="323">
        <f t="shared" si="24"/>
        <v>1050.9000000000001</v>
      </c>
      <c r="L41" s="321">
        <v>6</v>
      </c>
      <c r="M41" s="333" t="s">
        <v>580</v>
      </c>
      <c r="N41" s="323">
        <f t="shared" si="25"/>
        <v>7</v>
      </c>
      <c r="O41" s="323">
        <f t="shared" si="26"/>
        <v>0</v>
      </c>
      <c r="P41" s="324">
        <f t="shared" si="15"/>
        <v>36.609640462032793</v>
      </c>
      <c r="Q41" s="325" t="str">
        <f t="shared" si="16"/>
        <v>R</v>
      </c>
      <c r="R41" s="323">
        <f t="shared" si="1"/>
        <v>1.3138119665365198</v>
      </c>
      <c r="S41" s="323">
        <f t="shared" si="27"/>
        <v>13.72</v>
      </c>
      <c r="T41" s="323">
        <f t="shared" si="2"/>
        <v>1040.9757060111676</v>
      </c>
      <c r="U41" s="323">
        <f t="shared" si="3"/>
        <v>1.3385665171468819</v>
      </c>
      <c r="V41" s="322">
        <f t="shared" si="29"/>
        <v>0.37</v>
      </c>
      <c r="W41" s="323">
        <f t="shared" si="4"/>
        <v>1.2857142857142858</v>
      </c>
      <c r="X41" s="323">
        <f t="shared" si="17"/>
        <v>2.6941747572815395</v>
      </c>
      <c r="Y41" s="323">
        <f t="shared" si="5"/>
        <v>9.3619972260748483</v>
      </c>
      <c r="Z41" s="323">
        <f t="shared" si="31"/>
        <v>13.828034044464736</v>
      </c>
      <c r="AA41" s="326">
        <f t="shared" si="7"/>
        <v>0.24271844660194053</v>
      </c>
      <c r="AB41" s="323">
        <f t="shared" si="18"/>
        <v>23.029999999999973</v>
      </c>
      <c r="AC41" s="327"/>
      <c r="AD41" s="328">
        <f t="shared" si="8"/>
        <v>0.23945917337362202</v>
      </c>
      <c r="AE41" s="328">
        <f t="shared" si="8"/>
        <v>3.8812631905849901</v>
      </c>
      <c r="AF41" s="328">
        <f t="shared" si="9"/>
        <v>1.0002860546359991</v>
      </c>
      <c r="AG41" s="328">
        <f t="shared" si="10"/>
        <v>0.23945917337362202</v>
      </c>
      <c r="AH41" s="328">
        <f t="shared" si="19"/>
        <v>9</v>
      </c>
      <c r="AI41" s="328">
        <f t="shared" si="20"/>
        <v>28.840000000000146</v>
      </c>
      <c r="AJ41" s="329">
        <f t="shared" si="21"/>
        <v>90.481622369169287</v>
      </c>
      <c r="AK41" s="329" t="str" cm="1">
        <f t="array" ref="AK41">IF(OR(E41="", H41=""), "",
  IFERROR(
     (
      INDEX($AM$3:$AM$22, MATCH(E41, $AL$3:$AL$22, 1)) +
      (E41 - INDEX($AL$3:$AL$22, MATCH(E41, $AL$3:$AL$22, 1))) *
      (INDEX($AM$3:$AM$22, MATCH(E41, $AL$3:$AL$22, 1)+1) - INDEX($AM$3:$AM$22, MATCH(E41, $AL$3:$AL$22, 1))) /
      (INDEX($AL$3:$AL$22, MATCH(E41, $AL$3:$AL$22, 1)+1) - INDEX($AL$3:$AL$22, MATCH(E41, $AL$3:$AL$22, 1)))
    ) - H41,
    ""
  )
)</f>
        <v/>
      </c>
      <c r="AL41" s="341"/>
      <c r="AM41" s="342"/>
      <c r="AN41" s="343"/>
    </row>
    <row r="42" spans="1:40" s="315" customFormat="1" ht="15" customHeight="1" x14ac:dyDescent="0.35">
      <c r="A42" s="297">
        <f t="shared" si="32"/>
        <v>2</v>
      </c>
      <c r="B42" s="298">
        <f t="shared" si="32"/>
        <v>19</v>
      </c>
      <c r="C42" s="299">
        <f t="shared" si="22"/>
        <v>29.029999999999973</v>
      </c>
      <c r="D42" s="300">
        <v>1073.93</v>
      </c>
      <c r="E42" s="301">
        <f t="shared" si="23"/>
        <v>1054.93</v>
      </c>
      <c r="F42" s="302">
        <v>15.19</v>
      </c>
      <c r="G42" s="302">
        <v>218.31</v>
      </c>
      <c r="H42" s="303">
        <f t="shared" si="12"/>
        <v>1050.6288706483674</v>
      </c>
      <c r="I42" s="304">
        <f t="shared" si="13"/>
        <v>1.8457471101999878</v>
      </c>
      <c r="J42" s="302">
        <f t="shared" si="14"/>
        <v>1073.93</v>
      </c>
      <c r="K42" s="304">
        <f t="shared" si="24"/>
        <v>1080.93</v>
      </c>
      <c r="L42" s="302">
        <v>7</v>
      </c>
      <c r="M42" s="305" t="s">
        <v>588</v>
      </c>
      <c r="N42" s="304">
        <f t="shared" si="25"/>
        <v>6</v>
      </c>
      <c r="O42" s="304">
        <f t="shared" si="26"/>
        <v>0</v>
      </c>
      <c r="P42" s="306">
        <f t="shared" si="15"/>
        <v>34.610025659283913</v>
      </c>
      <c r="Q42" s="307" t="str">
        <f t="shared" si="16"/>
        <v>L</v>
      </c>
      <c r="R42" s="304">
        <f t="shared" si="1"/>
        <v>1.3078598905321432</v>
      </c>
      <c r="S42" s="304">
        <f t="shared" si="27"/>
        <v>15.19</v>
      </c>
      <c r="T42" s="304">
        <f t="shared" si="2"/>
        <v>1068.9650532163159</v>
      </c>
      <c r="U42" s="304">
        <f t="shared" si="3"/>
        <v>1.3330598454173075</v>
      </c>
      <c r="V42" s="303">
        <f t="shared" si="29"/>
        <v>0.2449999999999998</v>
      </c>
      <c r="W42" s="304">
        <f t="shared" si="4"/>
        <v>-0.67833333333333223</v>
      </c>
      <c r="X42" s="304">
        <f t="shared" si="17"/>
        <v>1.5191181536341718</v>
      </c>
      <c r="Y42" s="304">
        <f t="shared" si="5"/>
        <v>-4.2059937995177368</v>
      </c>
      <c r="Z42" s="304">
        <f t="shared" si="31"/>
        <v>8.9303397681842647</v>
      </c>
      <c r="AA42" s="308">
        <f t="shared" si="7"/>
        <v>0.20668274199104394</v>
      </c>
      <c r="AB42" s="304">
        <f t="shared" si="18"/>
        <v>21.889999999999873</v>
      </c>
      <c r="AC42" s="309"/>
      <c r="AD42" s="310">
        <f t="shared" si="8"/>
        <v>0.26511551337793865</v>
      </c>
      <c r="AE42" s="310">
        <f t="shared" si="8"/>
        <v>3.8102282900288209</v>
      </c>
      <c r="AF42" s="310">
        <f t="shared" si="9"/>
        <v>1.0000864894141557</v>
      </c>
      <c r="AG42" s="310">
        <f t="shared" si="10"/>
        <v>0.26511551337793865</v>
      </c>
      <c r="AH42" s="310">
        <f t="shared" si="19"/>
        <v>-4.0699999999999932</v>
      </c>
      <c r="AI42" s="310">
        <f t="shared" si="20"/>
        <v>29.029999999999973</v>
      </c>
      <c r="AJ42" s="311">
        <f t="shared" si="21"/>
        <v>90.481622369169287</v>
      </c>
      <c r="AK42" s="311" t="str" cm="1">
        <f t="array" ref="AK42">IF(OR(E42="", H42=""), "",
  IFERROR(
     (
      INDEX($AM$3:$AM$22, MATCH(E42, $AL$3:$AL$22, 1)) +
      (E42 - INDEX($AL$3:$AL$22, MATCH(E42, $AL$3:$AL$22, 1))) *
      (INDEX($AM$3:$AM$22, MATCH(E42, $AL$3:$AL$22, 1)+1) - INDEX($AM$3:$AM$22, MATCH(E42, $AL$3:$AL$22, 1))) /
      (INDEX($AL$3:$AL$22, MATCH(E42, $AL$3:$AL$22, 1)+1) - INDEX($AL$3:$AL$22, MATCH(E42, $AL$3:$AL$22, 1)))
    ) - H42,
    ""
  )
)</f>
        <v/>
      </c>
      <c r="AL42" s="338"/>
      <c r="AM42" s="339"/>
      <c r="AN42" s="340"/>
    </row>
    <row r="43" spans="1:40" s="315" customFormat="1" ht="15" customHeight="1" x14ac:dyDescent="0.35">
      <c r="A43" s="316">
        <f t="shared" si="32"/>
        <v>2</v>
      </c>
      <c r="B43" s="317">
        <f t="shared" si="32"/>
        <v>19</v>
      </c>
      <c r="C43" s="318">
        <f t="shared" si="22"/>
        <v>28.889999999999873</v>
      </c>
      <c r="D43" s="319">
        <v>1102.82</v>
      </c>
      <c r="E43" s="320">
        <f t="shared" si="23"/>
        <v>1083.82</v>
      </c>
      <c r="F43" s="321">
        <v>16.71</v>
      </c>
      <c r="G43" s="321">
        <v>217.9</v>
      </c>
      <c r="H43" s="322">
        <f t="shared" si="12"/>
        <v>1078.4066596396319</v>
      </c>
      <c r="I43" s="323">
        <f t="shared" si="13"/>
        <v>1.5827213747661881</v>
      </c>
      <c r="J43" s="321">
        <f t="shared" si="14"/>
        <v>1102.82</v>
      </c>
      <c r="K43" s="323">
        <f t="shared" si="24"/>
        <v>1114.82</v>
      </c>
      <c r="L43" s="321">
        <v>12</v>
      </c>
      <c r="M43" s="333" t="s">
        <v>588</v>
      </c>
      <c r="N43" s="323">
        <f t="shared" si="25"/>
        <v>7</v>
      </c>
      <c r="O43" s="323">
        <f t="shared" si="26"/>
        <v>0</v>
      </c>
      <c r="P43" s="324">
        <f t="shared" si="15"/>
        <v>4.234512888030098</v>
      </c>
      <c r="Q43" s="325" t="str">
        <f t="shared" si="16"/>
        <v>L</v>
      </c>
      <c r="R43" s="323">
        <f t="shared" si="1"/>
        <v>1.2998817265256704</v>
      </c>
      <c r="S43" s="323">
        <f t="shared" si="27"/>
        <v>16.71</v>
      </c>
      <c r="T43" s="323">
        <f t="shared" si="2"/>
        <v>1096.6043338409465</v>
      </c>
      <c r="U43" s="323">
        <f t="shared" si="3"/>
        <v>1.3254823056473093</v>
      </c>
      <c r="V43" s="322">
        <f t="shared" si="29"/>
        <v>0.21714285714285733</v>
      </c>
      <c r="W43" s="323">
        <f t="shared" si="4"/>
        <v>-5.8571428571428087E-2</v>
      </c>
      <c r="X43" s="323">
        <f t="shared" si="17"/>
        <v>1.5784008307372877</v>
      </c>
      <c r="Y43" s="323">
        <f t="shared" si="5"/>
        <v>-0.42575285565939602</v>
      </c>
      <c r="Z43" s="323">
        <f t="shared" si="31"/>
        <v>6.5321172167135666</v>
      </c>
      <c r="AA43" s="326">
        <f t="shared" si="7"/>
        <v>0.2422983731394957</v>
      </c>
      <c r="AB43" s="323">
        <f t="shared" si="18"/>
        <v>16.920000000000073</v>
      </c>
      <c r="AC43" s="327"/>
      <c r="AD43" s="328">
        <f t="shared" si="8"/>
        <v>0.29164451800825247</v>
      </c>
      <c r="AE43" s="328">
        <f t="shared" si="8"/>
        <v>3.8030724400956442</v>
      </c>
      <c r="AF43" s="328">
        <f t="shared" si="9"/>
        <v>1.0000635939154658</v>
      </c>
      <c r="AG43" s="328">
        <f t="shared" si="10"/>
        <v>0.29164451800825247</v>
      </c>
      <c r="AH43" s="328">
        <f t="shared" si="19"/>
        <v>-0.40999999999999659</v>
      </c>
      <c r="AI43" s="328">
        <f t="shared" si="20"/>
        <v>28.889999999999873</v>
      </c>
      <c r="AJ43" s="329">
        <f t="shared" si="21"/>
        <v>90.481622369169287</v>
      </c>
      <c r="AK43" s="329" t="str" cm="1">
        <f t="array" ref="AK43">IF(OR(E43="", H43=""), "",
  IFERROR(
     (
      INDEX($AM$3:$AM$22, MATCH(E43, $AL$3:$AL$22, 1)) +
      (E43 - INDEX($AL$3:$AL$22, MATCH(E43, $AL$3:$AL$22, 1))) *
      (INDEX($AM$3:$AM$22, MATCH(E43, $AL$3:$AL$22, 1)+1) - INDEX($AM$3:$AM$22, MATCH(E43, $AL$3:$AL$22, 1))) /
      (INDEX($AL$3:$AL$22, MATCH(E43, $AL$3:$AL$22, 1)+1) - INDEX($AL$3:$AL$22, MATCH(E43, $AL$3:$AL$22, 1)))
    ) - H43,
    ""
  )
)</f>
        <v/>
      </c>
      <c r="AL43" s="341"/>
      <c r="AM43" s="342"/>
      <c r="AN43" s="343"/>
    </row>
    <row r="44" spans="1:40" s="315" customFormat="1" ht="15" customHeight="1" x14ac:dyDescent="0.35">
      <c r="A44" s="297">
        <f t="shared" si="32"/>
        <v>2</v>
      </c>
      <c r="B44" s="298">
        <f t="shared" si="32"/>
        <v>19</v>
      </c>
      <c r="C44" s="299">
        <f t="shared" si="22"/>
        <v>28.920000000000073</v>
      </c>
      <c r="D44" s="300">
        <v>1131.74</v>
      </c>
      <c r="E44" s="301">
        <f t="shared" si="23"/>
        <v>1112.74</v>
      </c>
      <c r="F44" s="302">
        <v>19.3</v>
      </c>
      <c r="G44" s="302">
        <v>220.79</v>
      </c>
      <c r="H44" s="303">
        <f t="shared" si="12"/>
        <v>1105.9104341057255</v>
      </c>
      <c r="I44" s="304">
        <f t="shared" si="13"/>
        <v>2.8412511123658399</v>
      </c>
      <c r="J44" s="302">
        <f t="shared" si="14"/>
        <v>1131.74</v>
      </c>
      <c r="K44" s="304">
        <f t="shared" si="24"/>
        <v>1145.74</v>
      </c>
      <c r="L44" s="302">
        <v>14</v>
      </c>
      <c r="M44" s="305" t="s">
        <v>580</v>
      </c>
      <c r="N44" s="304">
        <f t="shared" si="25"/>
        <v>9.9200000000000728</v>
      </c>
      <c r="O44" s="304">
        <f t="shared" si="26"/>
        <v>2.0799999999999272</v>
      </c>
      <c r="P44" s="306">
        <f t="shared" si="15"/>
        <v>18.98349928541333</v>
      </c>
      <c r="Q44" s="307" t="str">
        <f t="shared" si="16"/>
        <v>R</v>
      </c>
      <c r="R44" s="304">
        <f t="shared" si="1"/>
        <v>1.2581817939519293</v>
      </c>
      <c r="S44" s="304">
        <f t="shared" si="27"/>
        <v>19.843064516129012</v>
      </c>
      <c r="T44" s="304">
        <f t="shared" si="2"/>
        <v>1123.8126902494953</v>
      </c>
      <c r="U44" s="304">
        <f t="shared" si="3"/>
        <v>1.2661798628862762</v>
      </c>
      <c r="V44" s="303">
        <f t="shared" si="29"/>
        <v>0.26108870967741743</v>
      </c>
      <c r="W44" s="304">
        <f t="shared" si="4"/>
        <v>0.29133064516128682</v>
      </c>
      <c r="X44" s="304">
        <f t="shared" si="17"/>
        <v>2.6867219917012375</v>
      </c>
      <c r="Y44" s="304">
        <f t="shared" si="5"/>
        <v>2.9979253112032977</v>
      </c>
      <c r="Z44" s="304">
        <f t="shared" si="31"/>
        <v>8.2831635251632765</v>
      </c>
      <c r="AA44" s="308">
        <f t="shared" si="7"/>
        <v>0.34301521438451066</v>
      </c>
      <c r="AB44" s="304">
        <f t="shared" si="18"/>
        <v>14.960000000000036</v>
      </c>
      <c r="AC44" s="309"/>
      <c r="AD44" s="310">
        <f t="shared" si="8"/>
        <v>0.33684854563490563</v>
      </c>
      <c r="AE44" s="310">
        <f t="shared" si="8"/>
        <v>3.8535124554782803</v>
      </c>
      <c r="AF44" s="310">
        <f t="shared" si="9"/>
        <v>1.0002049743589823</v>
      </c>
      <c r="AG44" s="310">
        <f t="shared" si="10"/>
        <v>0.3463268094921067</v>
      </c>
      <c r="AH44" s="310">
        <f t="shared" si="19"/>
        <v>2.8899999999999864</v>
      </c>
      <c r="AI44" s="310">
        <f t="shared" si="20"/>
        <v>28.920000000000073</v>
      </c>
      <c r="AJ44" s="311">
        <f t="shared" si="21"/>
        <v>90.481622369169287</v>
      </c>
      <c r="AK44" s="311" t="str" cm="1">
        <f t="array" ref="AK44">IF(OR(E44="", H44=""), "",
  IFERROR(
     (
      INDEX($AM$3:$AM$22, MATCH(E44, $AL$3:$AL$22, 1)) +
      (E44 - INDEX($AL$3:$AL$22, MATCH(E44, $AL$3:$AL$22, 1))) *
      (INDEX($AM$3:$AM$22, MATCH(E44, $AL$3:$AL$22, 1)+1) - INDEX($AM$3:$AM$22, MATCH(E44, $AL$3:$AL$22, 1))) /
      (INDEX($AL$3:$AL$22, MATCH(E44, $AL$3:$AL$22, 1)+1) - INDEX($AL$3:$AL$22, MATCH(E44, $AL$3:$AL$22, 1)))
    ) - H44,
    ""
  )
)</f>
        <v/>
      </c>
      <c r="AL44" s="338"/>
      <c r="AM44" s="339"/>
      <c r="AN44" s="340"/>
    </row>
    <row r="45" spans="1:40" s="315" customFormat="1" ht="15" customHeight="1" x14ac:dyDescent="0.35">
      <c r="A45" s="316">
        <f t="shared" si="32"/>
        <v>2</v>
      </c>
      <c r="B45" s="317">
        <f t="shared" si="32"/>
        <v>19</v>
      </c>
      <c r="C45" s="318">
        <f t="shared" si="22"/>
        <v>28.960000000000036</v>
      </c>
      <c r="D45" s="319">
        <v>1160.7</v>
      </c>
      <c r="E45" s="320">
        <f t="shared" si="23"/>
        <v>1141.7</v>
      </c>
      <c r="F45" s="321">
        <v>24</v>
      </c>
      <c r="G45" s="321">
        <v>218.2</v>
      </c>
      <c r="H45" s="322">
        <f t="shared" si="12"/>
        <v>1132.8274475064388</v>
      </c>
      <c r="I45" s="323">
        <f t="shared" si="13"/>
        <v>4.9672652138748266</v>
      </c>
      <c r="J45" s="321">
        <f t="shared" si="14"/>
        <v>1160.7</v>
      </c>
      <c r="K45" s="323">
        <f t="shared" si="24"/>
        <v>1174.7</v>
      </c>
      <c r="L45" s="321">
        <v>14</v>
      </c>
      <c r="M45" s="333" t="s">
        <v>580</v>
      </c>
      <c r="N45" s="323">
        <f t="shared" si="25"/>
        <v>12.039999999999964</v>
      </c>
      <c r="O45" s="323">
        <f t="shared" si="26"/>
        <v>4.0399999999999636</v>
      </c>
      <c r="P45" s="324">
        <f t="shared" si="15"/>
        <v>11.428115734429328</v>
      </c>
      <c r="Q45" s="325" t="str">
        <f t="shared" si="16"/>
        <v>L</v>
      </c>
      <c r="R45" s="323">
        <f t="shared" si="1"/>
        <v>1.1487398519905201</v>
      </c>
      <c r="S45" s="323">
        <f t="shared" si="27"/>
        <v>25.577076411960125</v>
      </c>
      <c r="T45" s="323">
        <f t="shared" si="2"/>
        <v>1150.076813538303</v>
      </c>
      <c r="U45" s="323">
        <f t="shared" si="3"/>
        <v>1.1221583930638852</v>
      </c>
      <c r="V45" s="322">
        <f t="shared" si="29"/>
        <v>0.3903654485049845</v>
      </c>
      <c r="W45" s="323">
        <f t="shared" si="4"/>
        <v>-0.21511627906976838</v>
      </c>
      <c r="X45" s="323">
        <f t="shared" si="17"/>
        <v>4.8687845303867334</v>
      </c>
      <c r="Y45" s="323">
        <f t="shared" si="5"/>
        <v>-2.6830110497237571</v>
      </c>
      <c r="Z45" s="323">
        <f t="shared" si="31"/>
        <v>11.947840580881694</v>
      </c>
      <c r="AA45" s="326">
        <f t="shared" si="7"/>
        <v>0.4157458563535894</v>
      </c>
      <c r="AB45" s="323">
        <f t="shared" si="18"/>
        <v>15.039999999999964</v>
      </c>
      <c r="AC45" s="327"/>
      <c r="AD45" s="328">
        <f t="shared" si="8"/>
        <v>0.41887902047863912</v>
      </c>
      <c r="AE45" s="328">
        <f t="shared" si="8"/>
        <v>3.8083084278516268</v>
      </c>
      <c r="AF45" s="328">
        <f t="shared" si="9"/>
        <v>1.0006268082871725</v>
      </c>
      <c r="AG45" s="328">
        <f t="shared" si="10"/>
        <v>0.44640419642288176</v>
      </c>
      <c r="AH45" s="328">
        <f t="shared" si="19"/>
        <v>-2.5900000000000034</v>
      </c>
      <c r="AI45" s="328">
        <f t="shared" si="20"/>
        <v>28.960000000000036</v>
      </c>
      <c r="AJ45" s="329">
        <f t="shared" si="21"/>
        <v>90.481622369169287</v>
      </c>
      <c r="AK45" s="329" t="str" cm="1">
        <f t="array" ref="AK45">IF(OR(E45="", H45=""), "",
  IFERROR(
     (
      INDEX($AM$3:$AM$22, MATCH(E45, $AL$3:$AL$22, 1)) +
      (E45 - INDEX($AL$3:$AL$22, MATCH(E45, $AL$3:$AL$22, 1))) *
      (INDEX($AM$3:$AM$22, MATCH(E45, $AL$3:$AL$22, 1)+1) - INDEX($AM$3:$AM$22, MATCH(E45, $AL$3:$AL$22, 1))) /
      (INDEX($AL$3:$AL$22, MATCH(E45, $AL$3:$AL$22, 1)+1) - INDEX($AL$3:$AL$22, MATCH(E45, $AL$3:$AL$22, 1)))
    ) - H45,
    ""
  )
)</f>
        <v/>
      </c>
      <c r="AL45" s="341"/>
      <c r="AM45" s="342"/>
      <c r="AN45" s="343"/>
    </row>
    <row r="46" spans="1:40" s="315" customFormat="1" ht="15" customHeight="1" x14ac:dyDescent="0.35">
      <c r="A46" s="297">
        <f t="shared" ref="A46:B61" si="33">+A45</f>
        <v>2</v>
      </c>
      <c r="B46" s="298">
        <f t="shared" si="33"/>
        <v>19</v>
      </c>
      <c r="C46" s="299">
        <f t="shared" si="22"/>
        <v>29.039999999999964</v>
      </c>
      <c r="D46" s="300">
        <v>1189.74</v>
      </c>
      <c r="E46" s="301">
        <f t="shared" si="23"/>
        <v>1170.74</v>
      </c>
      <c r="F46" s="302">
        <v>28.76</v>
      </c>
      <c r="G46" s="302">
        <v>218.39</v>
      </c>
      <c r="H46" s="303">
        <f t="shared" si="12"/>
        <v>1158.8434226490201</v>
      </c>
      <c r="I46" s="304">
        <f t="shared" si="13"/>
        <v>4.9181228159956341</v>
      </c>
      <c r="J46" s="302">
        <f t="shared" si="14"/>
        <v>1189.74</v>
      </c>
      <c r="K46" s="304">
        <f t="shared" si="24"/>
        <v>1204.74</v>
      </c>
      <c r="L46" s="302">
        <v>15</v>
      </c>
      <c r="M46" s="305" t="s">
        <v>581</v>
      </c>
      <c r="N46" s="304">
        <f t="shared" si="25"/>
        <v>14.079999999999927</v>
      </c>
      <c r="O46" s="304">
        <f t="shared" si="26"/>
        <v>3.9600000000000364</v>
      </c>
      <c r="P46" s="306">
        <f t="shared" si="15"/>
        <v>1.012201478369293</v>
      </c>
      <c r="Q46" s="307" t="str">
        <f t="shared" si="16"/>
        <v>R</v>
      </c>
      <c r="R46" s="304">
        <f t="shared" si="1"/>
        <v>1.0349990993545288</v>
      </c>
      <c r="S46" s="304">
        <f t="shared" si="27"/>
        <v>30.09875000000002</v>
      </c>
      <c r="T46" s="304">
        <f t="shared" si="2"/>
        <v>1175.3917009331881</v>
      </c>
      <c r="U46" s="304">
        <f t="shared" si="3"/>
        <v>1.0138749105306593</v>
      </c>
      <c r="V46" s="303">
        <f t="shared" si="29"/>
        <v>0.33806818181818366</v>
      </c>
      <c r="W46" s="304">
        <f t="shared" si="4"/>
        <v>1.349431818181809E-2</v>
      </c>
      <c r="X46" s="304">
        <f t="shared" si="17"/>
        <v>4.9173553719008343</v>
      </c>
      <c r="Y46" s="304">
        <f t="shared" si="5"/>
        <v>0.19628099173553509</v>
      </c>
      <c r="Z46" s="304">
        <f t="shared" si="31"/>
        <v>10.143628307991035</v>
      </c>
      <c r="AA46" s="308">
        <f t="shared" si="7"/>
        <v>0.48484848484848297</v>
      </c>
      <c r="AB46" s="304">
        <f t="shared" si="18"/>
        <v>14.1099999999999</v>
      </c>
      <c r="AC46" s="309"/>
      <c r="AD46" s="310">
        <f t="shared" si="8"/>
        <v>0.50195669287356925</v>
      </c>
      <c r="AE46" s="310">
        <f t="shared" si="8"/>
        <v>3.8116245534304158</v>
      </c>
      <c r="AF46" s="310">
        <f t="shared" si="9"/>
        <v>1.0006144581946186</v>
      </c>
      <c r="AG46" s="310">
        <f t="shared" si="10"/>
        <v>0.52532228823464366</v>
      </c>
      <c r="AH46" s="310">
        <f t="shared" si="19"/>
        <v>0.18999999999999773</v>
      </c>
      <c r="AI46" s="310">
        <f t="shared" si="20"/>
        <v>29.039999999999964</v>
      </c>
      <c r="AJ46" s="311">
        <f t="shared" si="21"/>
        <v>90.481622369169287</v>
      </c>
      <c r="AK46" s="311" t="str" cm="1">
        <f t="array" ref="AK46">IF(OR(E46="", H46=""), "",
  IFERROR(
     (
      INDEX($AM$3:$AM$22, MATCH(E46, $AL$3:$AL$22, 1)) +
      (E46 - INDEX($AL$3:$AL$22, MATCH(E46, $AL$3:$AL$22, 1))) *
      (INDEX($AM$3:$AM$22, MATCH(E46, $AL$3:$AL$22, 1)+1) - INDEX($AM$3:$AM$22, MATCH(E46, $AL$3:$AL$22, 1))) /
      (INDEX($AL$3:$AL$22, MATCH(E46, $AL$3:$AL$22, 1)+1) - INDEX($AL$3:$AL$22, MATCH(E46, $AL$3:$AL$22, 1)))
    ) - H46,
    ""
  )
)</f>
        <v/>
      </c>
      <c r="AL46" s="338"/>
      <c r="AM46" s="339"/>
      <c r="AN46" s="340"/>
    </row>
    <row r="47" spans="1:40" s="315" customFormat="1" ht="15" customHeight="1" x14ac:dyDescent="0.35">
      <c r="A47" s="316">
        <f t="shared" si="33"/>
        <v>2</v>
      </c>
      <c r="B47" s="317">
        <f t="shared" si="33"/>
        <v>19</v>
      </c>
      <c r="C47" s="318">
        <f t="shared" si="22"/>
        <v>29.1099999999999</v>
      </c>
      <c r="D47" s="319">
        <v>1218.8499999999999</v>
      </c>
      <c r="E47" s="320">
        <f t="shared" si="23"/>
        <v>1199.8499999999999</v>
      </c>
      <c r="F47" s="321">
        <v>32.979999999999997</v>
      </c>
      <c r="G47" s="321">
        <v>218.36</v>
      </c>
      <c r="H47" s="322">
        <f t="shared" si="12"/>
        <v>1183.8295160057164</v>
      </c>
      <c r="I47" s="323">
        <f t="shared" si="13"/>
        <v>4.349049763369143</v>
      </c>
      <c r="J47" s="321">
        <f t="shared" si="14"/>
        <v>1218.8499999999999</v>
      </c>
      <c r="K47" s="323">
        <f t="shared" si="24"/>
        <v>1233.8499999999999</v>
      </c>
      <c r="L47" s="321">
        <v>15</v>
      </c>
      <c r="M47" s="333" t="s">
        <v>581</v>
      </c>
      <c r="N47" s="323">
        <f t="shared" si="25"/>
        <v>14.069999999999936</v>
      </c>
      <c r="O47" s="323">
        <f t="shared" si="26"/>
        <v>4.8900000000001</v>
      </c>
      <c r="P47" s="324">
        <f t="shared" si="15"/>
        <v>0.20854511965041586</v>
      </c>
      <c r="Q47" s="325" t="str">
        <f t="shared" si="16"/>
        <v>L</v>
      </c>
      <c r="R47" s="323">
        <f t="shared" si="1"/>
        <v>0.93606169221704938</v>
      </c>
      <c r="S47" s="323">
        <f t="shared" si="27"/>
        <v>34.446652452025617</v>
      </c>
      <c r="T47" s="323">
        <f t="shared" si="2"/>
        <v>1199.6341919612985</v>
      </c>
      <c r="U47" s="323">
        <f t="shared" si="3"/>
        <v>0.90949847577782705</v>
      </c>
      <c r="V47" s="322">
        <f t="shared" si="29"/>
        <v>0.29992892679459948</v>
      </c>
      <c r="W47" s="323">
        <f t="shared" si="4"/>
        <v>-2.1321961620449788E-3</v>
      </c>
      <c r="X47" s="323">
        <f t="shared" si="17"/>
        <v>4.3490209549982923</v>
      </c>
      <c r="Y47" s="323">
        <f t="shared" si="5"/>
        <v>-3.0917210580528497E-2</v>
      </c>
      <c r="Z47" s="323">
        <f t="shared" si="31"/>
        <v>8.9979274066578459</v>
      </c>
      <c r="AA47" s="326">
        <f t="shared" si="7"/>
        <v>0.48333905874269956</v>
      </c>
      <c r="AB47" s="323">
        <f t="shared" si="18"/>
        <v>14.060000000000173</v>
      </c>
      <c r="AC47" s="327"/>
      <c r="AD47" s="328">
        <f t="shared" si="8"/>
        <v>0.57560958730772982</v>
      </c>
      <c r="AE47" s="328">
        <f t="shared" si="8"/>
        <v>3.811100954654818</v>
      </c>
      <c r="AF47" s="328">
        <f t="shared" si="9"/>
        <v>1.0004804105547296</v>
      </c>
      <c r="AG47" s="328">
        <f t="shared" si="10"/>
        <v>0.60120750157802505</v>
      </c>
      <c r="AH47" s="328">
        <f t="shared" si="19"/>
        <v>-2.9999999999972715E-2</v>
      </c>
      <c r="AI47" s="328">
        <f t="shared" si="20"/>
        <v>29.1099999999999</v>
      </c>
      <c r="AJ47" s="329">
        <f t="shared" si="21"/>
        <v>90.481622369169287</v>
      </c>
      <c r="AK47" s="329" t="str" cm="1">
        <f t="array" ref="AK47">IF(OR(E47="", H47=""), "",
  IFERROR(
     (
      INDEX($AM$3:$AM$22, MATCH(E47, $AL$3:$AL$22, 1)) +
      (E47 - INDEX($AL$3:$AL$22, MATCH(E47, $AL$3:$AL$22, 1))) *
      (INDEX($AM$3:$AM$22, MATCH(E47, $AL$3:$AL$22, 1)+1) - INDEX($AM$3:$AM$22, MATCH(E47, $AL$3:$AL$22, 1))) /
      (INDEX($AL$3:$AL$22, MATCH(E47, $AL$3:$AL$22, 1)+1) - INDEX($AL$3:$AL$22, MATCH(E47, $AL$3:$AL$22, 1)))
    ) - H47,
    ""
  )
)</f>
        <v/>
      </c>
      <c r="AL47" s="341"/>
      <c r="AM47" s="342"/>
      <c r="AN47" s="343"/>
    </row>
    <row r="48" spans="1:40" s="315" customFormat="1" ht="15" customHeight="1" x14ac:dyDescent="0.35">
      <c r="A48" s="297">
        <f t="shared" si="33"/>
        <v>2</v>
      </c>
      <c r="B48" s="298">
        <f t="shared" si="33"/>
        <v>19</v>
      </c>
      <c r="C48" s="299">
        <f t="shared" si="22"/>
        <v>29.060000000000173</v>
      </c>
      <c r="D48" s="300">
        <v>1247.9100000000001</v>
      </c>
      <c r="E48" s="301">
        <f t="shared" si="23"/>
        <v>1228.9100000000001</v>
      </c>
      <c r="F48" s="302">
        <v>37.619999999999997</v>
      </c>
      <c r="G48" s="302">
        <v>221.67</v>
      </c>
      <c r="H48" s="303">
        <f t="shared" si="12"/>
        <v>1207.546474373446</v>
      </c>
      <c r="I48" s="304">
        <f t="shared" si="13"/>
        <v>5.1796050438600343</v>
      </c>
      <c r="J48" s="302">
        <f t="shared" si="14"/>
        <v>1247.9100000000001</v>
      </c>
      <c r="K48" s="304">
        <f t="shared" si="24"/>
        <v>1262.9100000000001</v>
      </c>
      <c r="L48" s="302">
        <v>15</v>
      </c>
      <c r="M48" s="305" t="s">
        <v>581</v>
      </c>
      <c r="N48" s="304">
        <f t="shared" si="25"/>
        <v>14.950000000000273</v>
      </c>
      <c r="O48" s="304">
        <f t="shared" si="26"/>
        <v>4.9399999999998272</v>
      </c>
      <c r="P48" s="306">
        <f t="shared" si="15"/>
        <v>22.362053654693309</v>
      </c>
      <c r="Q48" s="307" t="str">
        <f t="shared" si="16"/>
        <v>R</v>
      </c>
      <c r="R48" s="304">
        <f t="shared" si="1"/>
        <v>0.8236667048993529</v>
      </c>
      <c r="S48" s="304">
        <f t="shared" si="27"/>
        <v>39.153217391304267</v>
      </c>
      <c r="T48" s="304">
        <f t="shared" si="2"/>
        <v>1222.4394080021984</v>
      </c>
      <c r="U48" s="304">
        <f t="shared" si="3"/>
        <v>0.79386240685745368</v>
      </c>
      <c r="V48" s="303">
        <f t="shared" si="29"/>
        <v>0.31036789297658302</v>
      </c>
      <c r="W48" s="304">
        <f t="shared" si="4"/>
        <v>0.2214046822742417</v>
      </c>
      <c r="X48" s="304">
        <f t="shared" si="17"/>
        <v>4.790089470061913</v>
      </c>
      <c r="Y48" s="304">
        <f t="shared" si="5"/>
        <v>3.417068134893277</v>
      </c>
      <c r="Z48" s="304">
        <f t="shared" si="31"/>
        <v>10.068182112011421</v>
      </c>
      <c r="AA48" s="308">
        <f t="shared" si="7"/>
        <v>0.51445285615967595</v>
      </c>
      <c r="AB48" s="304">
        <f t="shared" si="18"/>
        <v>14</v>
      </c>
      <c r="AC48" s="309"/>
      <c r="AD48" s="310">
        <f t="shared" si="8"/>
        <v>0.65659286460026678</v>
      </c>
      <c r="AE48" s="310">
        <f t="shared" si="8"/>
        <v>3.8688713528958303</v>
      </c>
      <c r="AF48" s="310">
        <f t="shared" si="9"/>
        <v>1.0006815878646818</v>
      </c>
      <c r="AG48" s="310">
        <f t="shared" si="10"/>
        <v>0.68335255622736446</v>
      </c>
      <c r="AH48" s="310">
        <f t="shared" si="19"/>
        <v>3.3099999999999739</v>
      </c>
      <c r="AI48" s="310">
        <f t="shared" si="20"/>
        <v>29.060000000000173</v>
      </c>
      <c r="AJ48" s="311">
        <f t="shared" si="21"/>
        <v>90.481622369169287</v>
      </c>
      <c r="AK48" s="311" t="str" cm="1">
        <f t="array" ref="AK48">IF(OR(E48="", H48=""), "",
  IFERROR(
     (
      INDEX($AM$3:$AM$22, MATCH(E48, $AL$3:$AL$22, 1)) +
      (E48 - INDEX($AL$3:$AL$22, MATCH(E48, $AL$3:$AL$22, 1))) *
      (INDEX($AM$3:$AM$22, MATCH(E48, $AL$3:$AL$22, 1)+1) - INDEX($AM$3:$AM$22, MATCH(E48, $AL$3:$AL$22, 1))) /
      (INDEX($AL$3:$AL$22, MATCH(E48, $AL$3:$AL$22, 1)+1) - INDEX($AL$3:$AL$22, MATCH(E48, $AL$3:$AL$22, 1)))
    ) - H48,
    ""
  )
)</f>
        <v/>
      </c>
      <c r="AL48" s="338"/>
      <c r="AM48" s="339"/>
      <c r="AN48" s="340"/>
    </row>
    <row r="49" spans="1:40" s="315" customFormat="1" ht="15" customHeight="1" x14ac:dyDescent="0.35">
      <c r="A49" s="316">
        <f t="shared" si="33"/>
        <v>2</v>
      </c>
      <c r="B49" s="317">
        <f t="shared" si="33"/>
        <v>19</v>
      </c>
      <c r="C49" s="318">
        <f t="shared" si="22"/>
        <v>29</v>
      </c>
      <c r="D49" s="319">
        <v>1276.9100000000001</v>
      </c>
      <c r="E49" s="320">
        <f t="shared" si="23"/>
        <v>1257.9100000000001</v>
      </c>
      <c r="F49" s="321">
        <v>41.97</v>
      </c>
      <c r="G49" s="321">
        <v>222.41</v>
      </c>
      <c r="H49" s="322">
        <f t="shared" si="12"/>
        <v>1229.8283164159848</v>
      </c>
      <c r="I49" s="323">
        <f t="shared" si="13"/>
        <v>4.5265271845892538</v>
      </c>
      <c r="J49" s="321">
        <f t="shared" si="14"/>
        <v>1276.9100000000001</v>
      </c>
      <c r="K49" s="323">
        <f t="shared" si="24"/>
        <v>1279.9100000000001</v>
      </c>
      <c r="L49" s="321">
        <v>3</v>
      </c>
      <c r="M49" s="333" t="s">
        <v>580</v>
      </c>
      <c r="N49" s="323">
        <f t="shared" si="25"/>
        <v>14.939999999999827</v>
      </c>
      <c r="O49" s="323">
        <f t="shared" si="26"/>
        <v>5</v>
      </c>
      <c r="P49" s="324">
        <f t="shared" si="15"/>
        <v>6.2060170740969207</v>
      </c>
      <c r="Q49" s="325" t="str">
        <f t="shared" si="16"/>
        <v>R</v>
      </c>
      <c r="R49" s="323">
        <f t="shared" si="1"/>
        <v>0.72009852747813985</v>
      </c>
      <c r="S49" s="323">
        <f t="shared" si="27"/>
        <v>43.425823293172705</v>
      </c>
      <c r="T49" s="323">
        <f t="shared" si="2"/>
        <v>1243.7921633565531</v>
      </c>
      <c r="U49" s="323">
        <f t="shared" si="3"/>
        <v>0.6917203271833896</v>
      </c>
      <c r="V49" s="322">
        <f t="shared" si="29"/>
        <v>0.29116465863454161</v>
      </c>
      <c r="W49" s="323">
        <f t="shared" si="4"/>
        <v>4.9531459170014572E-2</v>
      </c>
      <c r="X49" s="323">
        <f t="shared" si="17"/>
        <v>4.5000000000000018</v>
      </c>
      <c r="Y49" s="323">
        <f t="shared" si="5"/>
        <v>0.76551724137931976</v>
      </c>
      <c r="Z49" s="323">
        <f t="shared" si="31"/>
        <v>8.786431616672683</v>
      </c>
      <c r="AA49" s="326">
        <f t="shared" si="7"/>
        <v>0.51517241379309753</v>
      </c>
      <c r="AB49" s="323">
        <f t="shared" si="18"/>
        <v>26.039999999999964</v>
      </c>
      <c r="AC49" s="327"/>
      <c r="AD49" s="328">
        <f t="shared" si="8"/>
        <v>0.73251468706202005</v>
      </c>
      <c r="AE49" s="328">
        <f t="shared" si="8"/>
        <v>3.8817867893605884</v>
      </c>
      <c r="AF49" s="328">
        <f t="shared" si="9"/>
        <v>1.0005204450760767</v>
      </c>
      <c r="AG49" s="328">
        <f t="shared" si="10"/>
        <v>0.75792359685511046</v>
      </c>
      <c r="AH49" s="328">
        <f t="shared" si="19"/>
        <v>0.74000000000000909</v>
      </c>
      <c r="AI49" s="328">
        <f t="shared" si="20"/>
        <v>29</v>
      </c>
      <c r="AJ49" s="329">
        <f t="shared" si="21"/>
        <v>90.481622369169287</v>
      </c>
      <c r="AK49" s="329" t="str" cm="1">
        <f t="array" ref="AK49">IF(OR(E49="", H49=""), "",
  IFERROR(
     (
      INDEX($AM$3:$AM$22, MATCH(E49, $AL$3:$AL$22, 1)) +
      (E49 - INDEX($AL$3:$AL$22, MATCH(E49, $AL$3:$AL$22, 1))) *
      (INDEX($AM$3:$AM$22, MATCH(E49, $AL$3:$AL$22, 1)+1) - INDEX($AM$3:$AM$22, MATCH(E49, $AL$3:$AL$22, 1))) /
      (INDEX($AL$3:$AL$22, MATCH(E49, $AL$3:$AL$22, 1)+1) - INDEX($AL$3:$AL$22, MATCH(E49, $AL$3:$AL$22, 1)))
    ) - H49,
    ""
  )
)</f>
        <v/>
      </c>
      <c r="AL49" s="341"/>
      <c r="AM49" s="342"/>
      <c r="AN49" s="343"/>
    </row>
    <row r="50" spans="1:40" s="315" customFormat="1" ht="15" customHeight="1" x14ac:dyDescent="0.35">
      <c r="A50" s="297">
        <f t="shared" si="33"/>
        <v>2</v>
      </c>
      <c r="B50" s="298">
        <f t="shared" si="33"/>
        <v>19</v>
      </c>
      <c r="C50" s="299">
        <f t="shared" si="22"/>
        <v>29.039999999999964</v>
      </c>
      <c r="D50" s="300">
        <v>1305.95</v>
      </c>
      <c r="E50" s="301">
        <f t="shared" si="23"/>
        <v>1286.95</v>
      </c>
      <c r="F50" s="302">
        <v>43.03</v>
      </c>
      <c r="G50" s="302">
        <v>223.11</v>
      </c>
      <c r="H50" s="303">
        <f t="shared" si="12"/>
        <v>1251.2388502769506</v>
      </c>
      <c r="I50" s="304">
        <f t="shared" si="13"/>
        <v>1.1990665410715939</v>
      </c>
      <c r="J50" s="302">
        <f t="shared" si="14"/>
        <v>1305.95</v>
      </c>
      <c r="K50" s="304">
        <f t="shared" si="24"/>
        <v>1310.95</v>
      </c>
      <c r="L50" s="302">
        <v>5</v>
      </c>
      <c r="M50" s="305" t="s">
        <v>580</v>
      </c>
      <c r="N50" s="304">
        <f t="shared" si="25"/>
        <v>8</v>
      </c>
      <c r="O50" s="304">
        <f t="shared" si="26"/>
        <v>0</v>
      </c>
      <c r="P50" s="306">
        <f t="shared" si="15"/>
        <v>24.042313096687479</v>
      </c>
      <c r="Q50" s="307" t="str">
        <f t="shared" si="16"/>
        <v>R</v>
      </c>
      <c r="R50" s="304">
        <f t="shared" si="1"/>
        <v>0.70966244288051106</v>
      </c>
      <c r="S50" s="304">
        <f t="shared" si="27"/>
        <v>43.03</v>
      </c>
      <c r="T50" s="304">
        <f t="shared" si="2"/>
        <v>1265.1277839266102</v>
      </c>
      <c r="U50" s="304">
        <f t="shared" si="3"/>
        <v>0.72270918950218321</v>
      </c>
      <c r="V50" s="303">
        <f t="shared" si="29"/>
        <v>0.13250000000000028</v>
      </c>
      <c r="W50" s="304">
        <f t="shared" si="4"/>
        <v>8.7500000000002132E-2</v>
      </c>
      <c r="X50" s="304">
        <f t="shared" si="17"/>
        <v>1.0950413223140534</v>
      </c>
      <c r="Y50" s="304">
        <f t="shared" si="5"/>
        <v>0.72314049586778717</v>
      </c>
      <c r="Z50" s="304">
        <f t="shared" si="31"/>
        <v>4.3526115440898803</v>
      </c>
      <c r="AA50" s="308">
        <f t="shared" si="7"/>
        <v>0.27548209366391219</v>
      </c>
      <c r="AB50" s="304">
        <f t="shared" si="18"/>
        <v>24.139999999999873</v>
      </c>
      <c r="AC50" s="309"/>
      <c r="AD50" s="310">
        <f t="shared" si="8"/>
        <v>0.75101517713316002</v>
      </c>
      <c r="AE50" s="310">
        <f t="shared" si="8"/>
        <v>3.8940040941245488</v>
      </c>
      <c r="AF50" s="310">
        <f t="shared" si="9"/>
        <v>1.0000364988414525</v>
      </c>
      <c r="AG50" s="310">
        <f t="shared" si="10"/>
        <v>0.75101517713316002</v>
      </c>
      <c r="AH50" s="310">
        <f t="shared" si="19"/>
        <v>0.70000000000001705</v>
      </c>
      <c r="AI50" s="310">
        <f t="shared" si="20"/>
        <v>29.039999999999964</v>
      </c>
      <c r="AJ50" s="311">
        <f t="shared" si="21"/>
        <v>90.481622369169287</v>
      </c>
      <c r="AK50" s="311" t="str" cm="1">
        <f t="array" ref="AK50">IF(OR(E50="", H50=""), "",
  IFERROR(
     (
      INDEX($AM$3:$AM$22, MATCH(E50, $AL$3:$AL$22, 1)) +
      (E50 - INDEX($AL$3:$AL$22, MATCH(E50, $AL$3:$AL$22, 1))) *
      (INDEX($AM$3:$AM$22, MATCH(E50, $AL$3:$AL$22, 1)+1) - INDEX($AM$3:$AM$22, MATCH(E50, $AL$3:$AL$22, 1))) /
      (INDEX($AL$3:$AL$22, MATCH(E50, $AL$3:$AL$22, 1)+1) - INDEX($AL$3:$AL$22, MATCH(E50, $AL$3:$AL$22, 1)))
    ) - H50,
    ""
  )
)</f>
        <v/>
      </c>
      <c r="AL50" s="338"/>
      <c r="AM50" s="339"/>
      <c r="AN50" s="340"/>
    </row>
    <row r="51" spans="1:40" s="315" customFormat="1" ht="15" customHeight="1" x14ac:dyDescent="0.35">
      <c r="A51" s="316">
        <f t="shared" si="33"/>
        <v>2</v>
      </c>
      <c r="B51" s="317">
        <f t="shared" si="33"/>
        <v>19</v>
      </c>
      <c r="C51" s="318">
        <f t="shared" si="22"/>
        <v>29.139999999999873</v>
      </c>
      <c r="D51" s="319">
        <v>1335.09</v>
      </c>
      <c r="E51" s="320">
        <f t="shared" si="23"/>
        <v>1316.09</v>
      </c>
      <c r="F51" s="321">
        <v>43.65</v>
      </c>
      <c r="G51" s="321">
        <v>221.78</v>
      </c>
      <c r="H51" s="322">
        <f t="shared" si="12"/>
        <v>1272.4321912828489</v>
      </c>
      <c r="I51" s="323">
        <f t="shared" si="13"/>
        <v>1.1360027543684681</v>
      </c>
      <c r="J51" s="321">
        <f t="shared" si="14"/>
        <v>1335.09</v>
      </c>
      <c r="K51" s="323">
        <f t="shared" si="24"/>
        <v>1339.09</v>
      </c>
      <c r="L51" s="321">
        <v>4</v>
      </c>
      <c r="M51" s="333" t="s">
        <v>580</v>
      </c>
      <c r="N51" s="323">
        <f t="shared" si="25"/>
        <v>5</v>
      </c>
      <c r="O51" s="323">
        <f t="shared" si="26"/>
        <v>0</v>
      </c>
      <c r="P51" s="324">
        <f t="shared" si="15"/>
        <v>55.814048459000198</v>
      </c>
      <c r="Q51" s="325" t="str">
        <f t="shared" si="16"/>
        <v>L</v>
      </c>
      <c r="R51" s="323">
        <f t="shared" si="1"/>
        <v>0.71168274260554454</v>
      </c>
      <c r="S51" s="323">
        <f t="shared" si="27"/>
        <v>43.65</v>
      </c>
      <c r="T51" s="323">
        <f t="shared" si="2"/>
        <v>1286.1800170874294</v>
      </c>
      <c r="U51" s="323">
        <f t="shared" si="3"/>
        <v>0.7250049432551855</v>
      </c>
      <c r="V51" s="322">
        <f t="shared" si="29"/>
        <v>0.12399999999999949</v>
      </c>
      <c r="W51" s="323">
        <f t="shared" si="4"/>
        <v>-0.26600000000000251</v>
      </c>
      <c r="X51" s="323">
        <f t="shared" si="17"/>
        <v>0.63829787234042568</v>
      </c>
      <c r="Y51" s="323">
        <f t="shared" si="5"/>
        <v>-1.369251887439964</v>
      </c>
      <c r="Z51" s="323">
        <f t="shared" si="31"/>
        <v>6.6206240524594033</v>
      </c>
      <c r="AA51" s="326">
        <f t="shared" si="7"/>
        <v>0.17158544955387858</v>
      </c>
      <c r="AB51" s="323">
        <f t="shared" si="18"/>
        <v>25.110000000000127</v>
      </c>
      <c r="AC51" s="327"/>
      <c r="AD51" s="328">
        <f t="shared" si="8"/>
        <v>0.76183621849552485</v>
      </c>
      <c r="AE51" s="328">
        <f t="shared" si="8"/>
        <v>3.8707912150730239</v>
      </c>
      <c r="AF51" s="328">
        <f t="shared" si="9"/>
        <v>1.00003276041018</v>
      </c>
      <c r="AG51" s="328">
        <f t="shared" si="10"/>
        <v>0.76183621849552485</v>
      </c>
      <c r="AH51" s="328">
        <f t="shared" si="19"/>
        <v>-1.3300000000000125</v>
      </c>
      <c r="AI51" s="328">
        <f t="shared" si="20"/>
        <v>29.139999999999873</v>
      </c>
      <c r="AJ51" s="329">
        <f t="shared" si="21"/>
        <v>90.481622369169287</v>
      </c>
      <c r="AK51" s="329" t="str" cm="1">
        <f t="array" ref="AK51">IF(OR(E51="", H51=""), "",
  IFERROR(
     (
      INDEX($AM$3:$AM$22, MATCH(E51, $AL$3:$AL$22, 1)) +
      (E51 - INDEX($AL$3:$AL$22, MATCH(E51, $AL$3:$AL$22, 1))) *
      (INDEX($AM$3:$AM$22, MATCH(E51, $AL$3:$AL$22, 1)+1) - INDEX($AM$3:$AM$22, MATCH(E51, $AL$3:$AL$22, 1))) /
      (INDEX($AL$3:$AL$22, MATCH(E51, $AL$3:$AL$22, 1)+1) - INDEX($AL$3:$AL$22, MATCH(E51, $AL$3:$AL$22, 1)))
    ) - H51,
    ""
  )
)</f>
        <v/>
      </c>
      <c r="AL51" s="341"/>
      <c r="AM51" s="342"/>
      <c r="AN51" s="343"/>
    </row>
    <row r="52" spans="1:40" s="315" customFormat="1" ht="15" customHeight="1" x14ac:dyDescent="0.35">
      <c r="A52" s="297">
        <f t="shared" si="33"/>
        <v>2</v>
      </c>
      <c r="B52" s="298">
        <f t="shared" si="33"/>
        <v>19</v>
      </c>
      <c r="C52" s="299">
        <f t="shared" si="22"/>
        <v>29.110000000000127</v>
      </c>
      <c r="D52" s="300">
        <v>1364.2</v>
      </c>
      <c r="E52" s="301">
        <f t="shared" si="23"/>
        <v>1345.2</v>
      </c>
      <c r="F52" s="302">
        <v>45.69</v>
      </c>
      <c r="G52" s="302">
        <v>222.09</v>
      </c>
      <c r="H52" s="303">
        <f t="shared" si="12"/>
        <v>1293.1342822446493</v>
      </c>
      <c r="I52" s="304">
        <f t="shared" si="13"/>
        <v>2.1143283585199142</v>
      </c>
      <c r="J52" s="302" t="str">
        <f t="shared" si="14"/>
        <v/>
      </c>
      <c r="K52" s="304" t="str">
        <f t="shared" si="24"/>
        <v/>
      </c>
      <c r="L52" s="302"/>
      <c r="M52" s="305"/>
      <c r="N52" s="304">
        <f t="shared" si="25"/>
        <v>4</v>
      </c>
      <c r="O52" s="304">
        <f t="shared" si="26"/>
        <v>0</v>
      </c>
      <c r="P52" s="306">
        <f t="shared" si="15"/>
        <v>6.096580267169065</v>
      </c>
      <c r="Q52" s="307" t="str">
        <f t="shared" si="16"/>
        <v>R</v>
      </c>
      <c r="R52" s="304">
        <f t="shared" si="1"/>
        <v>0.67210555437379194</v>
      </c>
      <c r="S52" s="304">
        <f t="shared" si="27"/>
        <v>45.69</v>
      </c>
      <c r="T52" s="304">
        <f t="shared" si="2"/>
        <v>1306.4065457926952</v>
      </c>
      <c r="U52" s="304">
        <f t="shared" si="3"/>
        <v>0.68459567451869763</v>
      </c>
      <c r="V52" s="303">
        <f t="shared" si="29"/>
        <v>0.50999999999999979</v>
      </c>
      <c r="W52" s="304">
        <f t="shared" si="4"/>
        <v>7.7500000000000568E-2</v>
      </c>
      <c r="X52" s="304">
        <f t="shared" si="17"/>
        <v>2.1023703194778327</v>
      </c>
      <c r="Y52" s="304">
        <f t="shared" si="5"/>
        <v>0.31947784266575152</v>
      </c>
      <c r="Z52" s="304">
        <f t="shared" si="31"/>
        <v>15.387024629128742</v>
      </c>
      <c r="AA52" s="308">
        <f t="shared" si="7"/>
        <v>0.13740982480247277</v>
      </c>
      <c r="AB52" s="304" t="str">
        <f t="shared" si="18"/>
        <v/>
      </c>
      <c r="AC52" s="309"/>
      <c r="AD52" s="310">
        <f t="shared" si="8"/>
        <v>0.79744093523620918</v>
      </c>
      <c r="AE52" s="310">
        <f t="shared" si="8"/>
        <v>3.8762017357542065</v>
      </c>
      <c r="AF52" s="310">
        <f t="shared" si="9"/>
        <v>1.000113495202289</v>
      </c>
      <c r="AG52" s="310">
        <f t="shared" si="10"/>
        <v>0.79744093523620918</v>
      </c>
      <c r="AH52" s="310">
        <f t="shared" si="19"/>
        <v>0.31000000000000227</v>
      </c>
      <c r="AI52" s="310">
        <f t="shared" si="20"/>
        <v>29.110000000000127</v>
      </c>
      <c r="AJ52" s="311">
        <f t="shared" si="21"/>
        <v>90.481622369169287</v>
      </c>
      <c r="AK52" s="311" t="str" cm="1">
        <f t="array" ref="AK52">IF(OR(E52="", H52=""), "",
  IFERROR(
     (
      INDEX($AM$3:$AM$22, MATCH(E52, $AL$3:$AL$22, 1)) +
      (E52 - INDEX($AL$3:$AL$22, MATCH(E52, $AL$3:$AL$22, 1))) *
      (INDEX($AM$3:$AM$22, MATCH(E52, $AL$3:$AL$22, 1)+1) - INDEX($AM$3:$AM$22, MATCH(E52, $AL$3:$AL$22, 1))) /
      (INDEX($AL$3:$AL$22, MATCH(E52, $AL$3:$AL$22, 1)+1) - INDEX($AL$3:$AL$22, MATCH(E52, $AL$3:$AL$22, 1)))
    ) - H52,
    ""
  )
)</f>
        <v/>
      </c>
      <c r="AL52" s="338"/>
      <c r="AM52" s="339"/>
      <c r="AN52" s="340"/>
    </row>
    <row r="53" spans="1:40" s="315" customFormat="1" ht="15" customHeight="1" x14ac:dyDescent="0.35">
      <c r="A53" s="316">
        <f t="shared" si="33"/>
        <v>2</v>
      </c>
      <c r="B53" s="317">
        <f t="shared" si="33"/>
        <v>19</v>
      </c>
      <c r="C53" s="318">
        <f t="shared" si="22"/>
        <v>29.089999999999918</v>
      </c>
      <c r="D53" s="319">
        <v>1393.29</v>
      </c>
      <c r="E53" s="320">
        <f t="shared" si="23"/>
        <v>1374.29</v>
      </c>
      <c r="F53" s="321">
        <v>42.41</v>
      </c>
      <c r="G53" s="321">
        <v>221.29</v>
      </c>
      <c r="H53" s="322">
        <f t="shared" si="12"/>
        <v>1314.042234602698</v>
      </c>
      <c r="I53" s="323">
        <f t="shared" si="13"/>
        <v>3.430843995439361</v>
      </c>
      <c r="J53" s="321">
        <f t="shared" si="14"/>
        <v>1393.29</v>
      </c>
      <c r="K53" s="323">
        <f t="shared" si="24"/>
        <v>1398.29</v>
      </c>
      <c r="L53" s="321">
        <v>5</v>
      </c>
      <c r="M53" s="333" t="s">
        <v>580</v>
      </c>
      <c r="N53" s="323" t="str">
        <f t="shared" si="25"/>
        <v/>
      </c>
      <c r="O53" s="323">
        <f t="shared" si="26"/>
        <v>0</v>
      </c>
      <c r="P53" s="324">
        <f t="shared" si="15"/>
        <v>170.3807045445057</v>
      </c>
      <c r="Q53" s="325" t="str">
        <f t="shared" si="16"/>
        <v>L</v>
      </c>
      <c r="R53" s="323">
        <f t="shared" si="1"/>
        <v>0.79208337645772142</v>
      </c>
      <c r="S53" s="323">
        <f t="shared" si="27"/>
        <v>42.41</v>
      </c>
      <c r="T53" s="323">
        <f t="shared" si="2"/>
        <v>1328.0706497895069</v>
      </c>
      <c r="U53" s="323">
        <f t="shared" si="3"/>
        <v>0.80812843572364412</v>
      </c>
      <c r="V53" s="322">
        <f t="shared" si="29"/>
        <v>0.25549999999999984</v>
      </c>
      <c r="W53" s="323">
        <f t="shared" si="4"/>
        <v>-2.6666666666667047E-2</v>
      </c>
      <c r="X53" s="323">
        <f t="shared" si="17"/>
        <v>-3.3826057064283366</v>
      </c>
      <c r="Y53" s="323">
        <f t="shared" si="5"/>
        <v>-0.82502578205570332</v>
      </c>
      <c r="Z53" s="323">
        <f t="shared" si="31"/>
        <v>3.430843995439361</v>
      </c>
      <c r="AA53" s="326">
        <f t="shared" si="7"/>
        <v>0</v>
      </c>
      <c r="AB53" s="323">
        <f t="shared" si="18"/>
        <v>24.009999999999991</v>
      </c>
      <c r="AC53" s="327"/>
      <c r="AD53" s="328">
        <f t="shared" si="8"/>
        <v>0.74019413577079507</v>
      </c>
      <c r="AE53" s="328">
        <f t="shared" si="8"/>
        <v>3.8622391017382518</v>
      </c>
      <c r="AF53" s="328">
        <f t="shared" si="9"/>
        <v>1.0002989036220351</v>
      </c>
      <c r="AG53" s="328">
        <f t="shared" si="10"/>
        <v>0.74019413577079507</v>
      </c>
      <c r="AH53" s="328">
        <f t="shared" si="19"/>
        <v>-0.80000000000001137</v>
      </c>
      <c r="AI53" s="328">
        <f t="shared" si="20"/>
        <v>29.089999999999918</v>
      </c>
      <c r="AJ53" s="329">
        <f t="shared" si="21"/>
        <v>90.481622369169287</v>
      </c>
      <c r="AK53" s="329" t="str" cm="1">
        <f t="array" ref="AK53">IF(OR(E53="", H53=""), "",
  IFERROR(
     (
      INDEX($AM$3:$AM$22, MATCH(E53, $AL$3:$AL$22, 1)) +
      (E53 - INDEX($AL$3:$AL$22, MATCH(E53, $AL$3:$AL$22, 1))) *
      (INDEX($AM$3:$AM$22, MATCH(E53, $AL$3:$AL$22, 1)+1) - INDEX($AM$3:$AM$22, MATCH(E53, $AL$3:$AL$22, 1))) /
      (INDEX($AL$3:$AL$22, MATCH(E53, $AL$3:$AL$22, 1)+1) - INDEX($AL$3:$AL$22, MATCH(E53, $AL$3:$AL$22, 1)))
    ) - H53,
    ""
  )
)</f>
        <v/>
      </c>
      <c r="AL53" s="341"/>
      <c r="AM53" s="342"/>
      <c r="AN53" s="343"/>
    </row>
    <row r="54" spans="1:40" s="315" customFormat="1" ht="15" customHeight="1" x14ac:dyDescent="0.35">
      <c r="A54" s="297">
        <f t="shared" si="33"/>
        <v>2</v>
      </c>
      <c r="B54" s="298">
        <f t="shared" si="33"/>
        <v>19</v>
      </c>
      <c r="C54" s="299">
        <f t="shared" si="22"/>
        <v>29.009999999999991</v>
      </c>
      <c r="D54" s="300">
        <v>1422.3</v>
      </c>
      <c r="E54" s="301">
        <f t="shared" si="23"/>
        <v>1403.3</v>
      </c>
      <c r="F54" s="302">
        <v>39.1</v>
      </c>
      <c r="G54" s="302">
        <v>222.78</v>
      </c>
      <c r="H54" s="303">
        <f t="shared" si="12"/>
        <v>1336.0175421893578</v>
      </c>
      <c r="I54" s="304">
        <f t="shared" si="13"/>
        <v>3.5674967812226095</v>
      </c>
      <c r="J54" s="302">
        <f t="shared" si="14"/>
        <v>1422.3</v>
      </c>
      <c r="K54" s="304">
        <f t="shared" si="24"/>
        <v>1434.3</v>
      </c>
      <c r="L54" s="302">
        <v>12</v>
      </c>
      <c r="M54" s="305" t="s">
        <v>580</v>
      </c>
      <c r="N54" s="304">
        <f t="shared" si="25"/>
        <v>5</v>
      </c>
      <c r="O54" s="304">
        <f t="shared" si="26"/>
        <v>0</v>
      </c>
      <c r="P54" s="306">
        <f t="shared" si="15"/>
        <v>163.63462537100344</v>
      </c>
      <c r="Q54" s="307" t="str">
        <f t="shared" si="16"/>
        <v>R</v>
      </c>
      <c r="R54" s="304">
        <f t="shared" si="1"/>
        <v>0.92738030281404848</v>
      </c>
      <c r="S54" s="304">
        <f t="shared" si="27"/>
        <v>39.1</v>
      </c>
      <c r="T54" s="304">
        <f t="shared" si="2"/>
        <v>1350.7624239236222</v>
      </c>
      <c r="U54" s="304">
        <f t="shared" si="3"/>
        <v>0.94779437538336686</v>
      </c>
      <c r="V54" s="303">
        <f t="shared" si="29"/>
        <v>-0.66199999999999903</v>
      </c>
      <c r="W54" s="304">
        <f t="shared" si="4"/>
        <v>0.29800000000000182</v>
      </c>
      <c r="X54" s="304">
        <f t="shared" si="17"/>
        <v>-3.4229576008272971</v>
      </c>
      <c r="Y54" s="304">
        <f t="shared" si="5"/>
        <v>1.5408479834539912</v>
      </c>
      <c r="Z54" s="304">
        <f t="shared" si="31"/>
        <v>20.698616324653571</v>
      </c>
      <c r="AA54" s="308">
        <f t="shared" si="7"/>
        <v>0.17235436056532236</v>
      </c>
      <c r="AB54" s="304">
        <f t="shared" si="18"/>
        <v>16.970000000000027</v>
      </c>
      <c r="AC54" s="309"/>
      <c r="AD54" s="310">
        <f t="shared" si="8"/>
        <v>0.68242373752978291</v>
      </c>
      <c r="AE54" s="310">
        <f t="shared" si="8"/>
        <v>3.8882445075929675</v>
      </c>
      <c r="AF54" s="310">
        <f t="shared" si="9"/>
        <v>1.0003231983039313</v>
      </c>
      <c r="AG54" s="310">
        <f t="shared" si="10"/>
        <v>0.68242373752978291</v>
      </c>
      <c r="AH54" s="310">
        <f t="shared" si="19"/>
        <v>1.4900000000000091</v>
      </c>
      <c r="AI54" s="310">
        <f t="shared" si="20"/>
        <v>29.009999999999991</v>
      </c>
      <c r="AJ54" s="311">
        <f t="shared" si="21"/>
        <v>90.481622369169287</v>
      </c>
      <c r="AK54" s="311" t="str" cm="1">
        <f t="array" ref="AK54">IF(OR(E54="", H54=""), "",
  IFERROR(
     (
      INDEX($AM$3:$AM$22, MATCH(E54, $AL$3:$AL$22, 1)) +
      (E54 - INDEX($AL$3:$AL$22, MATCH(E54, $AL$3:$AL$22, 1))) *
      (INDEX($AM$3:$AM$22, MATCH(E54, $AL$3:$AL$22, 1)+1) - INDEX($AM$3:$AM$22, MATCH(E54, $AL$3:$AL$22, 1))) /
      (INDEX($AL$3:$AL$22, MATCH(E54, $AL$3:$AL$22, 1)+1) - INDEX($AL$3:$AL$22, MATCH(E54, $AL$3:$AL$22, 1)))
    ) - H54,
    ""
  )
)</f>
        <v/>
      </c>
      <c r="AL54" s="338"/>
      <c r="AM54" s="339"/>
      <c r="AN54" s="340"/>
    </row>
    <row r="55" spans="1:40" s="315" customFormat="1" ht="15" customHeight="1" x14ac:dyDescent="0.35">
      <c r="A55" s="316">
        <f t="shared" si="33"/>
        <v>2</v>
      </c>
      <c r="B55" s="317">
        <f t="shared" si="33"/>
        <v>19</v>
      </c>
      <c r="C55" s="318">
        <f t="shared" si="22"/>
        <v>28.970000000000027</v>
      </c>
      <c r="D55" s="319">
        <v>1451.27</v>
      </c>
      <c r="E55" s="320">
        <f t="shared" si="23"/>
        <v>1432.27</v>
      </c>
      <c r="F55" s="321">
        <v>40.700000000000003</v>
      </c>
      <c r="G55" s="321">
        <v>220.35</v>
      </c>
      <c r="H55" s="322">
        <f t="shared" si="12"/>
        <v>1358.2423166374469</v>
      </c>
      <c r="I55" s="323">
        <f t="shared" si="13"/>
        <v>2.3129201375332755</v>
      </c>
      <c r="J55" s="321">
        <f t="shared" si="14"/>
        <v>1451.27</v>
      </c>
      <c r="K55" s="323">
        <f t="shared" si="24"/>
        <v>1457.27</v>
      </c>
      <c r="L55" s="321">
        <v>6</v>
      </c>
      <c r="M55" s="333" t="s">
        <v>580</v>
      </c>
      <c r="N55" s="323">
        <f t="shared" si="25"/>
        <v>9.9700000000000273</v>
      </c>
      <c r="O55" s="323">
        <f t="shared" si="26"/>
        <v>2.0299999999999727</v>
      </c>
      <c r="P55" s="324">
        <f t="shared" si="15"/>
        <v>44.245127502359395</v>
      </c>
      <c r="Q55" s="325" t="str">
        <f t="shared" si="16"/>
        <v>L</v>
      </c>
      <c r="R55" s="323">
        <f t="shared" si="1"/>
        <v>0.90290013815421644</v>
      </c>
      <c r="S55" s="323">
        <f t="shared" si="27"/>
        <v>41.025777331995982</v>
      </c>
      <c r="T55" s="323">
        <f t="shared" si="2"/>
        <v>1372.6115871616355</v>
      </c>
      <c r="U55" s="323">
        <f t="shared" si="3"/>
        <v>0.91151470712186833</v>
      </c>
      <c r="V55" s="322">
        <f t="shared" si="29"/>
        <v>0.16048144433299871</v>
      </c>
      <c r="W55" s="323">
        <f t="shared" si="4"/>
        <v>-0.24373119358074224</v>
      </c>
      <c r="X55" s="323">
        <f t="shared" si="17"/>
        <v>1.6568864342423195</v>
      </c>
      <c r="Y55" s="323">
        <f t="shared" si="5"/>
        <v>-2.5163962720055277</v>
      </c>
      <c r="Z55" s="323">
        <f t="shared" si="31"/>
        <v>6.7206917135746114</v>
      </c>
      <c r="AA55" s="326">
        <f t="shared" si="7"/>
        <v>0.34414911977908241</v>
      </c>
      <c r="AB55" s="323">
        <f t="shared" si="18"/>
        <v>23.019999999999982</v>
      </c>
      <c r="AC55" s="327"/>
      <c r="AD55" s="328">
        <f t="shared" si="8"/>
        <v>0.71034900556169223</v>
      </c>
      <c r="AE55" s="328">
        <f t="shared" si="8"/>
        <v>3.8458330067695052</v>
      </c>
      <c r="AF55" s="328">
        <f t="shared" si="9"/>
        <v>1.0001358205677453</v>
      </c>
      <c r="AG55" s="328">
        <f t="shared" si="10"/>
        <v>0.71603489263338471</v>
      </c>
      <c r="AH55" s="328">
        <f t="shared" si="19"/>
        <v>-2.4300000000000068</v>
      </c>
      <c r="AI55" s="328">
        <f t="shared" si="20"/>
        <v>28.970000000000027</v>
      </c>
      <c r="AJ55" s="329">
        <f t="shared" si="21"/>
        <v>90.481622369169287</v>
      </c>
      <c r="AK55" s="329" t="str" cm="1">
        <f t="array" ref="AK55">IF(OR(E55="", H55=""), "",
  IFERROR(
     (
      INDEX($AM$3:$AM$22, MATCH(E55, $AL$3:$AL$22, 1)) +
      (E55 - INDEX($AL$3:$AL$22, MATCH(E55, $AL$3:$AL$22, 1))) *
      (INDEX($AM$3:$AM$22, MATCH(E55, $AL$3:$AL$22, 1)+1) - INDEX($AM$3:$AM$22, MATCH(E55, $AL$3:$AL$22, 1))) /
      (INDEX($AL$3:$AL$22, MATCH(E55, $AL$3:$AL$22, 1)+1) - INDEX($AL$3:$AL$22, MATCH(E55, $AL$3:$AL$22, 1)))
    ) - H55,
    ""
  )
)</f>
        <v/>
      </c>
      <c r="AL55" s="341"/>
      <c r="AM55" s="342"/>
      <c r="AN55" s="343"/>
    </row>
    <row r="56" spans="1:40" s="315" customFormat="1" ht="15" customHeight="1" x14ac:dyDescent="0.35">
      <c r="A56" s="297">
        <f t="shared" si="33"/>
        <v>2</v>
      </c>
      <c r="B56" s="298">
        <f t="shared" si="33"/>
        <v>19</v>
      </c>
      <c r="C56" s="299">
        <f t="shared" si="22"/>
        <v>29.019999999999982</v>
      </c>
      <c r="D56" s="300">
        <v>1480.29</v>
      </c>
      <c r="E56" s="301">
        <f t="shared" si="23"/>
        <v>1461.29</v>
      </c>
      <c r="F56" s="302">
        <v>42.77</v>
      </c>
      <c r="G56" s="302">
        <v>219.77</v>
      </c>
      <c r="H56" s="303">
        <f t="shared" si="12"/>
        <v>1379.8979599012366</v>
      </c>
      <c r="I56" s="304">
        <f t="shared" si="13"/>
        <v>2.1767897468796331</v>
      </c>
      <c r="J56" s="302">
        <f t="shared" si="14"/>
        <v>1480.29</v>
      </c>
      <c r="K56" s="304">
        <f t="shared" si="24"/>
        <v>1484.79</v>
      </c>
      <c r="L56" s="302">
        <v>4.5</v>
      </c>
      <c r="M56" s="305" t="s">
        <v>589</v>
      </c>
      <c r="N56" s="304">
        <f t="shared" si="25"/>
        <v>8.0299999999999727</v>
      </c>
      <c r="O56" s="304">
        <f t="shared" si="26"/>
        <v>0</v>
      </c>
      <c r="P56" s="306">
        <f t="shared" si="15"/>
        <v>10.562743134501813</v>
      </c>
      <c r="Q56" s="307" t="str">
        <f t="shared" si="16"/>
        <v>L</v>
      </c>
      <c r="R56" s="304">
        <f t="shared" si="1"/>
        <v>0.8610881955073344</v>
      </c>
      <c r="S56" s="304">
        <f t="shared" si="27"/>
        <v>42.77</v>
      </c>
      <c r="T56" s="304">
        <f t="shared" si="2"/>
        <v>1393.8455847535636</v>
      </c>
      <c r="U56" s="304">
        <f t="shared" si="3"/>
        <v>0.88025062152866707</v>
      </c>
      <c r="V56" s="303">
        <f t="shared" si="29"/>
        <v>0.25778331257783405</v>
      </c>
      <c r="W56" s="304">
        <f t="shared" si="4"/>
        <v>-7.222914072228967E-2</v>
      </c>
      <c r="X56" s="304">
        <f t="shared" si="17"/>
        <v>2.1399035148173691</v>
      </c>
      <c r="Y56" s="304">
        <f t="shared" si="5"/>
        <v>-0.59958649207441539</v>
      </c>
      <c r="Z56" s="304">
        <f t="shared" si="31"/>
        <v>7.8668042907157067</v>
      </c>
      <c r="AA56" s="308">
        <f t="shared" si="7"/>
        <v>0.27670572019296957</v>
      </c>
      <c r="AB56" s="304">
        <f t="shared" si="18"/>
        <v>24.529999999999973</v>
      </c>
      <c r="AC56" s="309"/>
      <c r="AD56" s="310">
        <f t="shared" si="8"/>
        <v>0.74647732107797482</v>
      </c>
      <c r="AE56" s="310">
        <f t="shared" si="8"/>
        <v>3.8357100971079383</v>
      </c>
      <c r="AF56" s="310">
        <f t="shared" si="9"/>
        <v>1.0001203009747592</v>
      </c>
      <c r="AG56" s="310">
        <f t="shared" si="10"/>
        <v>0.74647732107797482</v>
      </c>
      <c r="AH56" s="310">
        <f t="shared" si="19"/>
        <v>-0.57999999999998408</v>
      </c>
      <c r="AI56" s="310">
        <f t="shared" si="20"/>
        <v>29.019999999999982</v>
      </c>
      <c r="AJ56" s="311">
        <f t="shared" si="21"/>
        <v>90.481622369169287</v>
      </c>
      <c r="AK56" s="311" t="str" cm="1">
        <f t="array" ref="AK56">IF(OR(E56="", H56=""), "",
  IFERROR(
     (
      INDEX($AM$3:$AM$22, MATCH(E56, $AL$3:$AL$22, 1)) +
      (E56 - INDEX($AL$3:$AL$22, MATCH(E56, $AL$3:$AL$22, 1))) *
      (INDEX($AM$3:$AM$22, MATCH(E56, $AL$3:$AL$22, 1)+1) - INDEX($AM$3:$AM$22, MATCH(E56, $AL$3:$AL$22, 1))) /
      (INDEX($AL$3:$AL$22, MATCH(E56, $AL$3:$AL$22, 1)+1) - INDEX($AL$3:$AL$22, MATCH(E56, $AL$3:$AL$22, 1)))
    ) - H56,
    ""
  )
)</f>
        <v/>
      </c>
      <c r="AL56" s="338"/>
      <c r="AM56" s="339"/>
      <c r="AN56" s="340"/>
    </row>
    <row r="57" spans="1:40" s="315" customFormat="1" ht="15" customHeight="1" x14ac:dyDescent="0.35">
      <c r="A57" s="316">
        <f t="shared" si="33"/>
        <v>2</v>
      </c>
      <c r="B57" s="317">
        <f t="shared" si="33"/>
        <v>19</v>
      </c>
      <c r="C57" s="318">
        <f t="shared" si="22"/>
        <v>29.029999999999973</v>
      </c>
      <c r="D57" s="319">
        <v>1509.32</v>
      </c>
      <c r="E57" s="320">
        <f t="shared" si="23"/>
        <v>1490.32</v>
      </c>
      <c r="F57" s="321">
        <v>41.33</v>
      </c>
      <c r="G57" s="321">
        <v>219.26</v>
      </c>
      <c r="H57" s="322">
        <f t="shared" si="12"/>
        <v>1401.4544945829216</v>
      </c>
      <c r="I57" s="323">
        <f t="shared" si="13"/>
        <v>1.5294008338939145</v>
      </c>
      <c r="J57" s="321">
        <f t="shared" si="14"/>
        <v>1509.32</v>
      </c>
      <c r="K57" s="323">
        <f t="shared" si="24"/>
        <v>1518.32</v>
      </c>
      <c r="L57" s="321">
        <v>9</v>
      </c>
      <c r="M57" s="333" t="s">
        <v>589</v>
      </c>
      <c r="N57" s="323">
        <f t="shared" si="25"/>
        <v>4.5</v>
      </c>
      <c r="O57" s="323">
        <f t="shared" si="26"/>
        <v>0</v>
      </c>
      <c r="P57" s="324">
        <f t="shared" si="15"/>
        <v>166.65694051606008</v>
      </c>
      <c r="Q57" s="325" t="str">
        <f t="shared" si="16"/>
        <v>L</v>
      </c>
      <c r="R57" s="323">
        <f t="shared" si="1"/>
        <v>0.94288191659902687</v>
      </c>
      <c r="S57" s="323">
        <f t="shared" si="27"/>
        <v>41.33</v>
      </c>
      <c r="T57" s="323">
        <f t="shared" si="2"/>
        <v>1415.7219452178972</v>
      </c>
      <c r="U57" s="323">
        <f t="shared" si="3"/>
        <v>0.96512197158752178</v>
      </c>
      <c r="V57" s="322">
        <f t="shared" si="29"/>
        <v>-0.32000000000000106</v>
      </c>
      <c r="W57" s="323">
        <f t="shared" si="4"/>
        <v>-0.11333333333333763</v>
      </c>
      <c r="X57" s="323">
        <f t="shared" si="17"/>
        <v>-1.4881157423355214</v>
      </c>
      <c r="Y57" s="323">
        <f t="shared" si="5"/>
        <v>-0.52704099207718202</v>
      </c>
      <c r="Z57" s="323">
        <f t="shared" si="31"/>
        <v>9.8663347128756218</v>
      </c>
      <c r="AA57" s="326">
        <f t="shared" si="7"/>
        <v>0.15501205649328295</v>
      </c>
      <c r="AB57" s="323">
        <f t="shared" si="18"/>
        <v>20.060000000000173</v>
      </c>
      <c r="AC57" s="327"/>
      <c r="AD57" s="328">
        <f t="shared" si="8"/>
        <v>0.72134457984925637</v>
      </c>
      <c r="AE57" s="328">
        <f t="shared" si="8"/>
        <v>3.8268089179227669</v>
      </c>
      <c r="AF57" s="328">
        <f t="shared" si="9"/>
        <v>1.0000593809416052</v>
      </c>
      <c r="AG57" s="328">
        <f t="shared" si="10"/>
        <v>0.72134457984925637</v>
      </c>
      <c r="AH57" s="328">
        <f t="shared" si="19"/>
        <v>-0.51000000000001933</v>
      </c>
      <c r="AI57" s="328">
        <f t="shared" si="20"/>
        <v>29.029999999999973</v>
      </c>
      <c r="AJ57" s="329">
        <f t="shared" si="21"/>
        <v>90.481622369169287</v>
      </c>
      <c r="AK57" s="329" t="str" cm="1">
        <f t="array" ref="AK57">IF(OR(E57="", H57=""), "",
  IFERROR(
     (
      INDEX($AM$3:$AM$22, MATCH(E57, $AL$3:$AL$22, 1)) +
      (E57 - INDEX($AL$3:$AL$22, MATCH(E57, $AL$3:$AL$22, 1))) *
      (INDEX($AM$3:$AM$22, MATCH(E57, $AL$3:$AL$22, 1)+1) - INDEX($AM$3:$AM$22, MATCH(E57, $AL$3:$AL$22, 1))) /
      (INDEX($AL$3:$AL$22, MATCH(E57, $AL$3:$AL$22, 1)+1) - INDEX($AL$3:$AL$22, MATCH(E57, $AL$3:$AL$22, 1)))
    ) - H57,
    ""
  )
)</f>
        <v/>
      </c>
      <c r="AL57" s="341"/>
      <c r="AM57" s="342"/>
      <c r="AN57" s="343"/>
    </row>
    <row r="58" spans="1:40" s="315" customFormat="1" ht="15" customHeight="1" x14ac:dyDescent="0.35">
      <c r="A58" s="297">
        <f t="shared" si="33"/>
        <v>2</v>
      </c>
      <c r="B58" s="298">
        <f t="shared" si="33"/>
        <v>19</v>
      </c>
      <c r="C58" s="299">
        <f t="shared" si="22"/>
        <v>29.060000000000173</v>
      </c>
      <c r="D58" s="300">
        <v>1538.38</v>
      </c>
      <c r="E58" s="301">
        <f t="shared" si="23"/>
        <v>1519.38</v>
      </c>
      <c r="F58" s="302">
        <v>42.83</v>
      </c>
      <c r="G58" s="302">
        <v>219.48</v>
      </c>
      <c r="H58" s="303">
        <f t="shared" si="12"/>
        <v>1423.0231119173948</v>
      </c>
      <c r="I58" s="304">
        <f t="shared" si="13"/>
        <v>1.5559805857320284</v>
      </c>
      <c r="J58" s="302">
        <f t="shared" si="14"/>
        <v>1538.38</v>
      </c>
      <c r="K58" s="304">
        <f t="shared" si="24"/>
        <v>1544.38</v>
      </c>
      <c r="L58" s="302">
        <v>6</v>
      </c>
      <c r="M58" s="305" t="s">
        <v>590</v>
      </c>
      <c r="N58" s="304">
        <f t="shared" si="25"/>
        <v>9</v>
      </c>
      <c r="O58" s="304">
        <f t="shared" si="26"/>
        <v>0</v>
      </c>
      <c r="P58" s="306">
        <f t="shared" si="15"/>
        <v>5.6128943341730437</v>
      </c>
      <c r="Q58" s="307" t="str">
        <f t="shared" si="16"/>
        <v>R</v>
      </c>
      <c r="R58" s="304">
        <f t="shared" si="1"/>
        <v>0.92101981110933195</v>
      </c>
      <c r="S58" s="304">
        <f t="shared" si="27"/>
        <v>42.83</v>
      </c>
      <c r="T58" s="304">
        <f t="shared" si="2"/>
        <v>1436.9572180942093</v>
      </c>
      <c r="U58" s="304">
        <f t="shared" si="3"/>
        <v>0.94300858272926213</v>
      </c>
      <c r="V58" s="303">
        <f t="shared" si="29"/>
        <v>0.16666666666666666</v>
      </c>
      <c r="W58" s="304">
        <f t="shared" si="4"/>
        <v>2.4444444444444317E-2</v>
      </c>
      <c r="X58" s="304">
        <f t="shared" si="17"/>
        <v>1.5485203028217389</v>
      </c>
      <c r="Y58" s="304">
        <f t="shared" si="5"/>
        <v>0.22711631108052052</v>
      </c>
      <c r="Z58" s="304">
        <f t="shared" si="31"/>
        <v>5.0240884245970019</v>
      </c>
      <c r="AA58" s="308">
        <f t="shared" si="7"/>
        <v>0.30970406056434779</v>
      </c>
      <c r="AB58" s="304">
        <f t="shared" si="18"/>
        <v>23.059999999999945</v>
      </c>
      <c r="AC58" s="309"/>
      <c r="AD58" s="310">
        <f t="shared" si="8"/>
        <v>0.74752451862917135</v>
      </c>
      <c r="AE58" s="310">
        <f t="shared" si="8"/>
        <v>3.8306486422771542</v>
      </c>
      <c r="AF58" s="310">
        <f t="shared" si="9"/>
        <v>1.0000614630160172</v>
      </c>
      <c r="AG58" s="310">
        <f t="shared" si="10"/>
        <v>0.74752451862917135</v>
      </c>
      <c r="AH58" s="310">
        <f t="shared" si="19"/>
        <v>0.21999999999999886</v>
      </c>
      <c r="AI58" s="310">
        <f t="shared" si="20"/>
        <v>29.060000000000173</v>
      </c>
      <c r="AJ58" s="311">
        <f t="shared" si="21"/>
        <v>90.481622369169287</v>
      </c>
      <c r="AK58" s="311" t="str" cm="1">
        <f t="array" ref="AK58">IF(OR(E58="", H58=""), "",
  IFERROR(
     (
      INDEX($AM$3:$AM$22, MATCH(E58, $AL$3:$AL$22, 1)) +
      (E58 - INDEX($AL$3:$AL$22, MATCH(E58, $AL$3:$AL$22, 1))) *
      (INDEX($AM$3:$AM$22, MATCH(E58, $AL$3:$AL$22, 1)+1) - INDEX($AM$3:$AM$22, MATCH(E58, $AL$3:$AL$22, 1))) /
      (INDEX($AL$3:$AL$22, MATCH(E58, $AL$3:$AL$22, 1)+1) - INDEX($AL$3:$AL$22, MATCH(E58, $AL$3:$AL$22, 1)))
    ) - H58,
    ""
  )
)</f>
        <v/>
      </c>
      <c r="AL58" s="338"/>
      <c r="AM58" s="339"/>
      <c r="AN58" s="340"/>
    </row>
    <row r="59" spans="1:40" s="315" customFormat="1" ht="15" customHeight="1" x14ac:dyDescent="0.35">
      <c r="A59" s="316">
        <f t="shared" si="33"/>
        <v>2</v>
      </c>
      <c r="B59" s="317">
        <f t="shared" si="33"/>
        <v>19</v>
      </c>
      <c r="C59" s="318">
        <f t="shared" si="22"/>
        <v>29.059999999999945</v>
      </c>
      <c r="D59" s="319">
        <v>1567.44</v>
      </c>
      <c r="E59" s="320">
        <f t="shared" si="23"/>
        <v>1548.44</v>
      </c>
      <c r="F59" s="321">
        <v>38.479999999999997</v>
      </c>
      <c r="G59" s="321">
        <v>221.89</v>
      </c>
      <c r="H59" s="322">
        <f t="shared" si="12"/>
        <v>1445.0693722099224</v>
      </c>
      <c r="I59" s="323">
        <f t="shared" si="13"/>
        <v>4.7735934998823915</v>
      </c>
      <c r="J59" s="321">
        <f t="shared" si="14"/>
        <v>1567.44</v>
      </c>
      <c r="K59" s="323">
        <f t="shared" si="24"/>
        <v>1579.44</v>
      </c>
      <c r="L59" s="321">
        <v>12</v>
      </c>
      <c r="M59" s="333" t="s">
        <v>581</v>
      </c>
      <c r="N59" s="323">
        <f t="shared" si="25"/>
        <v>6</v>
      </c>
      <c r="O59" s="323">
        <f t="shared" si="26"/>
        <v>0</v>
      </c>
      <c r="P59" s="324">
        <f t="shared" si="15"/>
        <v>160.17615132101551</v>
      </c>
      <c r="Q59" s="325" t="str">
        <f t="shared" si="16"/>
        <v>R</v>
      </c>
      <c r="R59" s="323">
        <f t="shared" si="1"/>
        <v>1.1282926970909124</v>
      </c>
      <c r="S59" s="323">
        <f t="shared" si="27"/>
        <v>38.479999999999997</v>
      </c>
      <c r="T59" s="323">
        <f t="shared" si="2"/>
        <v>1459.9430549575488</v>
      </c>
      <c r="U59" s="323">
        <f t="shared" si="3"/>
        <v>1.1582252035396168</v>
      </c>
      <c r="V59" s="322">
        <f t="shared" si="29"/>
        <v>-0.7250000000000002</v>
      </c>
      <c r="W59" s="323">
        <f t="shared" si="4"/>
        <v>0.40166666666666612</v>
      </c>
      <c r="X59" s="323">
        <f t="shared" si="17"/>
        <v>-4.4907088781830797</v>
      </c>
      <c r="Y59" s="323">
        <f t="shared" si="5"/>
        <v>2.4879559532002764</v>
      </c>
      <c r="Z59" s="323">
        <f t="shared" si="31"/>
        <v>23.120104517763671</v>
      </c>
      <c r="AA59" s="326">
        <f t="shared" si="7"/>
        <v>0.20646937370956681</v>
      </c>
      <c r="AB59" s="323">
        <f t="shared" si="18"/>
        <v>17.019999999999982</v>
      </c>
      <c r="AC59" s="327"/>
      <c r="AD59" s="328">
        <f t="shared" si="8"/>
        <v>0.67160269616741797</v>
      </c>
      <c r="AE59" s="328">
        <f t="shared" si="8"/>
        <v>3.8727110772502176</v>
      </c>
      <c r="AF59" s="328">
        <f t="shared" si="9"/>
        <v>1.0005788498477328</v>
      </c>
      <c r="AG59" s="328">
        <f t="shared" si="10"/>
        <v>0.67160269616741797</v>
      </c>
      <c r="AH59" s="328">
        <f t="shared" si="19"/>
        <v>2.4099999999999966</v>
      </c>
      <c r="AI59" s="328">
        <f t="shared" si="20"/>
        <v>29.059999999999945</v>
      </c>
      <c r="AJ59" s="329">
        <f t="shared" si="21"/>
        <v>90.481622369169287</v>
      </c>
      <c r="AK59" s="329" t="str" cm="1">
        <f t="array" ref="AK59">IF(OR(E59="", H59=""), "",
  IFERROR(
     (
      INDEX($AM$3:$AM$22, MATCH(E59, $AL$3:$AL$22, 1)) +
      (E59 - INDEX($AL$3:$AL$22, MATCH(E59, $AL$3:$AL$22, 1))) *
      (INDEX($AM$3:$AM$22, MATCH(E59, $AL$3:$AL$22, 1)+1) - INDEX($AM$3:$AM$22, MATCH(E59, $AL$3:$AL$22, 1))) /
      (INDEX($AL$3:$AL$22, MATCH(E59, $AL$3:$AL$22, 1)+1) - INDEX($AL$3:$AL$22, MATCH(E59, $AL$3:$AL$22, 1)))
    ) - H59,
    ""
  )
)</f>
        <v/>
      </c>
      <c r="AL59" s="341"/>
      <c r="AM59" s="342"/>
      <c r="AN59" s="343"/>
    </row>
    <row r="60" spans="1:40" s="315" customFormat="1" ht="15" customHeight="1" x14ac:dyDescent="0.35">
      <c r="A60" s="297">
        <f t="shared" si="33"/>
        <v>2</v>
      </c>
      <c r="B60" s="298">
        <f t="shared" si="33"/>
        <v>19</v>
      </c>
      <c r="C60" s="299">
        <f t="shared" si="22"/>
        <v>29.019999999999982</v>
      </c>
      <c r="D60" s="300">
        <v>1596.46</v>
      </c>
      <c r="E60" s="301">
        <f t="shared" si="23"/>
        <v>1577.46</v>
      </c>
      <c r="F60" s="302">
        <v>44.53</v>
      </c>
      <c r="G60" s="302">
        <v>224.03</v>
      </c>
      <c r="H60" s="303">
        <f t="shared" si="12"/>
        <v>1466.8023890772497</v>
      </c>
      <c r="I60" s="304">
        <f t="shared" si="13"/>
        <v>6.42307018678612</v>
      </c>
      <c r="J60" s="302" t="str">
        <f t="shared" si="14"/>
        <v/>
      </c>
      <c r="K60" s="304" t="str">
        <f t="shared" si="24"/>
        <v/>
      </c>
      <c r="L60" s="302"/>
      <c r="M60" s="305"/>
      <c r="N60" s="304">
        <f t="shared" si="25"/>
        <v>10.019999999999982</v>
      </c>
      <c r="O60" s="304">
        <f t="shared" si="26"/>
        <v>1.9800000000000182</v>
      </c>
      <c r="P60" s="306">
        <f t="shared" si="15"/>
        <v>13.163160983958264</v>
      </c>
      <c r="Q60" s="307" t="str">
        <f t="shared" si="16"/>
        <v>R</v>
      </c>
      <c r="R60" s="304">
        <f t="shared" si="1"/>
        <v>0.92722532029878235</v>
      </c>
      <c r="S60" s="304">
        <f t="shared" si="27"/>
        <v>45.72550898203594</v>
      </c>
      <c r="T60" s="304">
        <f t="shared" si="2"/>
        <v>1480.2074279727751</v>
      </c>
      <c r="U60" s="304">
        <f t="shared" si="3"/>
        <v>0.90339842315194996</v>
      </c>
      <c r="V60" s="303">
        <f t="shared" si="29"/>
        <v>0.6037924151696622</v>
      </c>
      <c r="W60" s="304">
        <f t="shared" si="4"/>
        <v>0.21357285429141903</v>
      </c>
      <c r="X60" s="304">
        <f t="shared" si="17"/>
        <v>6.2543073742246804</v>
      </c>
      <c r="Y60" s="304">
        <f t="shared" si="5"/>
        <v>2.2122674017918844</v>
      </c>
      <c r="Z60" s="304">
        <f t="shared" si="31"/>
        <v>18.602544592867606</v>
      </c>
      <c r="AA60" s="308">
        <f t="shared" si="7"/>
        <v>0.3452791178497584</v>
      </c>
      <c r="AB60" s="304" t="str">
        <f t="shared" si="18"/>
        <v/>
      </c>
      <c r="AC60" s="309"/>
      <c r="AD60" s="310">
        <f t="shared" si="8"/>
        <v>0.777195115913075</v>
      </c>
      <c r="AE60" s="310">
        <f t="shared" si="8"/>
        <v>3.9100611232428966</v>
      </c>
      <c r="AF60" s="310">
        <f t="shared" si="9"/>
        <v>1.0010485881958233</v>
      </c>
      <c r="AG60" s="310">
        <f t="shared" si="10"/>
        <v>0.79806068388676787</v>
      </c>
      <c r="AH60" s="310">
        <f t="shared" si="19"/>
        <v>2.1400000000000148</v>
      </c>
      <c r="AI60" s="310">
        <f t="shared" si="20"/>
        <v>29.019999999999982</v>
      </c>
      <c r="AJ60" s="311">
        <f t="shared" si="21"/>
        <v>90.481622369169287</v>
      </c>
      <c r="AK60" s="311" t="str" cm="1">
        <f t="array" ref="AK60">IF(OR(E60="", H60=""), "",
  IFERROR(
     (
      INDEX($AM$3:$AM$22, MATCH(E60, $AL$3:$AL$22, 1)) +
      (E60 - INDEX($AL$3:$AL$22, MATCH(E60, $AL$3:$AL$22, 1))) *
      (INDEX($AM$3:$AM$22, MATCH(E60, $AL$3:$AL$22, 1)+1) - INDEX($AM$3:$AM$22, MATCH(E60, $AL$3:$AL$22, 1))) /
      (INDEX($AL$3:$AL$22, MATCH(E60, $AL$3:$AL$22, 1)+1) - INDEX($AL$3:$AL$22, MATCH(E60, $AL$3:$AL$22, 1)))
    ) - H60,
    ""
  )
)</f>
        <v/>
      </c>
      <c r="AL60" s="338"/>
      <c r="AM60" s="339"/>
      <c r="AN60" s="340"/>
    </row>
    <row r="61" spans="1:40" s="315" customFormat="1" ht="15" customHeight="1" x14ac:dyDescent="0.35">
      <c r="A61" s="316">
        <f t="shared" si="33"/>
        <v>2</v>
      </c>
      <c r="B61" s="317">
        <f t="shared" si="33"/>
        <v>19</v>
      </c>
      <c r="C61" s="318">
        <f t="shared" si="22"/>
        <v>29.029999999999973</v>
      </c>
      <c r="D61" s="319">
        <v>1625.49</v>
      </c>
      <c r="E61" s="320">
        <f t="shared" si="23"/>
        <v>1606.49</v>
      </c>
      <c r="F61" s="321">
        <v>45.33</v>
      </c>
      <c r="G61" s="321">
        <v>224.09</v>
      </c>
      <c r="H61" s="322">
        <f t="shared" si="12"/>
        <v>1487.3547624491184</v>
      </c>
      <c r="I61" s="323">
        <f t="shared" si="13"/>
        <v>0.82788982973746872</v>
      </c>
      <c r="J61" s="321">
        <f t="shared" si="14"/>
        <v>1625.49</v>
      </c>
      <c r="K61" s="323">
        <f t="shared" si="24"/>
        <v>1630.49</v>
      </c>
      <c r="L61" s="321">
        <v>5</v>
      </c>
      <c r="M61" s="333" t="s">
        <v>591</v>
      </c>
      <c r="N61" s="323">
        <f t="shared" si="25"/>
        <v>1.9800000000000182</v>
      </c>
      <c r="O61" s="323">
        <f t="shared" si="26"/>
        <v>0</v>
      </c>
      <c r="P61" s="324">
        <f t="shared" si="15"/>
        <v>3.031920767428316</v>
      </c>
      <c r="Q61" s="325" t="str">
        <f t="shared" si="16"/>
        <v>R</v>
      </c>
      <c r="R61" s="323">
        <f t="shared" si="1"/>
        <v>0.9310964920153314</v>
      </c>
      <c r="S61" s="323">
        <f t="shared" si="27"/>
        <v>45.33</v>
      </c>
      <c r="T61" s="323">
        <f t="shared" si="2"/>
        <v>1500.7121886699144</v>
      </c>
      <c r="U61" s="323">
        <f t="shared" si="3"/>
        <v>0.95501906228047706</v>
      </c>
      <c r="V61" s="322">
        <f t="shared" si="29"/>
        <v>0.40404040404039887</v>
      </c>
      <c r="W61" s="323">
        <f t="shared" si="4"/>
        <v>3.0303030303031175E-2</v>
      </c>
      <c r="X61" s="323">
        <f t="shared" si="17"/>
        <v>0.82673096796417278</v>
      </c>
      <c r="Y61" s="323">
        <f t="shared" si="5"/>
        <v>6.2004822597315531E-2</v>
      </c>
      <c r="Z61" s="323">
        <f t="shared" si="31"/>
        <v>12.138202907716401</v>
      </c>
      <c r="AA61" s="326">
        <f t="shared" si="7"/>
        <v>6.8205304857045124E-2</v>
      </c>
      <c r="AB61" s="323">
        <f t="shared" si="18"/>
        <v>24.059999999999945</v>
      </c>
      <c r="AC61" s="327"/>
      <c r="AD61" s="328">
        <f t="shared" si="8"/>
        <v>0.79115774992902954</v>
      </c>
      <c r="AE61" s="328">
        <f t="shared" si="8"/>
        <v>3.9111083207940931</v>
      </c>
      <c r="AF61" s="328">
        <f t="shared" si="9"/>
        <v>1.0000173991347538</v>
      </c>
      <c r="AG61" s="328">
        <f t="shared" si="10"/>
        <v>0.79115774992902954</v>
      </c>
      <c r="AH61" s="328">
        <f t="shared" si="19"/>
        <v>6.0000000000002274E-2</v>
      </c>
      <c r="AI61" s="328">
        <f t="shared" si="20"/>
        <v>29.029999999999973</v>
      </c>
      <c r="AJ61" s="329">
        <f t="shared" si="21"/>
        <v>90.481622369169287</v>
      </c>
      <c r="AK61" s="329" t="str" cm="1">
        <f t="array" ref="AK61">IF(OR(E61="", H61=""), "",
  IFERROR(
     (
      INDEX($AM$3:$AM$22, MATCH(E61, $AL$3:$AL$22, 1)) +
      (E61 - INDEX($AL$3:$AL$22, MATCH(E61, $AL$3:$AL$22, 1))) *
      (INDEX($AM$3:$AM$22, MATCH(E61, $AL$3:$AL$22, 1)+1) - INDEX($AM$3:$AM$22, MATCH(E61, $AL$3:$AL$22, 1))) /
      (INDEX($AL$3:$AL$22, MATCH(E61, $AL$3:$AL$22, 1)+1) - INDEX($AL$3:$AL$22, MATCH(E61, $AL$3:$AL$22, 1)))
    ) - H61,
    ""
  )
)</f>
        <v/>
      </c>
      <c r="AL61" s="341"/>
      <c r="AM61" s="342"/>
      <c r="AN61" s="343"/>
    </row>
    <row r="62" spans="1:40" s="315" customFormat="1" ht="15" customHeight="1" x14ac:dyDescent="0.35">
      <c r="A62" s="297">
        <f t="shared" ref="A62:B70" si="34">+A61</f>
        <v>2</v>
      </c>
      <c r="B62" s="298">
        <f t="shared" si="34"/>
        <v>19</v>
      </c>
      <c r="C62" s="299">
        <f t="shared" si="22"/>
        <v>29.059999999999945</v>
      </c>
      <c r="D62" s="300">
        <v>1654.55</v>
      </c>
      <c r="E62" s="301">
        <f t="shared" si="23"/>
        <v>1635.55</v>
      </c>
      <c r="F62" s="302">
        <v>40.9</v>
      </c>
      <c r="G62" s="302">
        <v>221.96</v>
      </c>
      <c r="H62" s="303">
        <f t="shared" si="12"/>
        <v>1508.5680792087767</v>
      </c>
      <c r="I62" s="304">
        <f t="shared" si="13"/>
        <v>4.8133714164540651</v>
      </c>
      <c r="J62" s="302" t="str">
        <f t="shared" si="14"/>
        <v/>
      </c>
      <c r="K62" s="304" t="str">
        <f t="shared" si="24"/>
        <v/>
      </c>
      <c r="L62" s="302"/>
      <c r="M62" s="305"/>
      <c r="N62" s="304">
        <f t="shared" si="25"/>
        <v>5</v>
      </c>
      <c r="O62" s="304">
        <f t="shared" si="26"/>
        <v>0</v>
      </c>
      <c r="P62" s="306">
        <f t="shared" si="15"/>
        <v>161.82777719451488</v>
      </c>
      <c r="Q62" s="307" t="str">
        <f t="shared" si="16"/>
        <v>L</v>
      </c>
      <c r="R62" s="304">
        <f t="shared" si="1"/>
        <v>1.1591084796095903</v>
      </c>
      <c r="S62" s="304">
        <f t="shared" si="27"/>
        <v>40.9</v>
      </c>
      <c r="T62" s="304">
        <f t="shared" si="2"/>
        <v>1522.9292951229618</v>
      </c>
      <c r="U62" s="304">
        <f t="shared" si="3"/>
        <v>1.1925567155224295</v>
      </c>
      <c r="V62" s="303">
        <f t="shared" si="29"/>
        <v>-0.8859999999999999</v>
      </c>
      <c r="W62" s="304">
        <f t="shared" si="4"/>
        <v>-0.4259999999999991</v>
      </c>
      <c r="X62" s="304">
        <f t="shared" si="17"/>
        <v>-4.5732966276669043</v>
      </c>
      <c r="Y62" s="304">
        <f t="shared" si="5"/>
        <v>-2.1988988300068817</v>
      </c>
      <c r="Z62" s="304">
        <f t="shared" si="31"/>
        <v>27.975314672430972</v>
      </c>
      <c r="AA62" s="308">
        <f t="shared" si="7"/>
        <v>0.172057811424639</v>
      </c>
      <c r="AB62" s="304" t="str">
        <f t="shared" si="18"/>
        <v/>
      </c>
      <c r="AC62" s="309"/>
      <c r="AD62" s="310">
        <f t="shared" si="8"/>
        <v>0.71383966406568078</v>
      </c>
      <c r="AE62" s="310">
        <f t="shared" si="8"/>
        <v>3.873932807726614</v>
      </c>
      <c r="AF62" s="310">
        <f t="shared" si="9"/>
        <v>1.0005885438885846</v>
      </c>
      <c r="AG62" s="310">
        <f t="shared" si="10"/>
        <v>0.71383966406568078</v>
      </c>
      <c r="AH62" s="310">
        <f t="shared" si="19"/>
        <v>-2.1299999999999955</v>
      </c>
      <c r="AI62" s="310">
        <f t="shared" si="20"/>
        <v>29.059999999999945</v>
      </c>
      <c r="AJ62" s="311">
        <f t="shared" si="21"/>
        <v>90.481622369169287</v>
      </c>
      <c r="AK62" s="311" t="str" cm="1">
        <f t="array" ref="AK62">IF(OR(E62="", H62=""), "",
  IFERROR(
     (
      INDEX($AM$3:$AM$22, MATCH(E62, $AL$3:$AL$22, 1)) +
      (E62 - INDEX($AL$3:$AL$22, MATCH(E62, $AL$3:$AL$22, 1))) *
      (INDEX($AM$3:$AM$22, MATCH(E62, $AL$3:$AL$22, 1)+1) - INDEX($AM$3:$AM$22, MATCH(E62, $AL$3:$AL$22, 1))) /
      (INDEX($AL$3:$AL$22, MATCH(E62, $AL$3:$AL$22, 1)+1) - INDEX($AL$3:$AL$22, MATCH(E62, $AL$3:$AL$22, 1)))
    ) - H62,
    ""
  )
)</f>
        <v/>
      </c>
      <c r="AL62" s="338"/>
      <c r="AM62" s="339"/>
      <c r="AN62" s="340"/>
    </row>
    <row r="63" spans="1:40" s="315" customFormat="1" ht="15" customHeight="1" x14ac:dyDescent="0.35">
      <c r="A63" s="316">
        <f t="shared" si="34"/>
        <v>2</v>
      </c>
      <c r="B63" s="317">
        <f t="shared" si="34"/>
        <v>19</v>
      </c>
      <c r="C63" s="318">
        <f t="shared" si="22"/>
        <v>28.759999999999991</v>
      </c>
      <c r="D63" s="319">
        <v>1683.31</v>
      </c>
      <c r="E63" s="320">
        <f t="shared" si="23"/>
        <v>1664.31</v>
      </c>
      <c r="F63" s="321">
        <v>39.47</v>
      </c>
      <c r="G63" s="321">
        <v>220.91</v>
      </c>
      <c r="H63" s="322">
        <f t="shared" si="12"/>
        <v>1530.5397121165588</v>
      </c>
      <c r="I63" s="323">
        <f t="shared" si="13"/>
        <v>1.6505641845043588</v>
      </c>
      <c r="J63" s="321" t="str">
        <f t="shared" si="14"/>
        <v/>
      </c>
      <c r="K63" s="323" t="str">
        <f t="shared" si="24"/>
        <v/>
      </c>
      <c r="L63" s="321"/>
      <c r="M63" s="333"/>
      <c r="N63" s="323" t="str">
        <f t="shared" si="25"/>
        <v/>
      </c>
      <c r="O63" s="323">
        <f t="shared" si="26"/>
        <v>0</v>
      </c>
      <c r="P63" s="324">
        <f t="shared" si="15"/>
        <v>154.65202131443604</v>
      </c>
      <c r="Q63" s="325" t="str">
        <f t="shared" si="16"/>
        <v>L</v>
      </c>
      <c r="R63" s="323">
        <f t="shared" si="1"/>
        <v>1.2779574635177937</v>
      </c>
      <c r="S63" s="323">
        <f t="shared" si="27"/>
        <v>39.47</v>
      </c>
      <c r="T63" s="323">
        <f t="shared" si="2"/>
        <v>1545.2069051367255</v>
      </c>
      <c r="U63" s="323">
        <f t="shared" si="3"/>
        <v>1.317385989071723</v>
      </c>
      <c r="V63" s="322">
        <f t="shared" si="29"/>
        <v>4.0610939736687057E-2</v>
      </c>
      <c r="W63" s="323">
        <f t="shared" si="4"/>
        <v>-3.5000000000000378E-2</v>
      </c>
      <c r="X63" s="323">
        <f t="shared" si="17"/>
        <v>-1.4916550764951324</v>
      </c>
      <c r="Y63" s="323">
        <f t="shared" si="5"/>
        <v>-1.0952712100139204</v>
      </c>
      <c r="Z63" s="323">
        <f t="shared" si="31"/>
        <v>1.6505641845043588</v>
      </c>
      <c r="AA63" s="326">
        <f t="shared" si="7"/>
        <v>0</v>
      </c>
      <c r="AB63" s="323" t="str">
        <f t="shared" si="18"/>
        <v/>
      </c>
      <c r="AC63" s="327"/>
      <c r="AD63" s="328">
        <f t="shared" si="8"/>
        <v>0.68888145576216187</v>
      </c>
      <c r="AE63" s="328">
        <f t="shared" si="8"/>
        <v>3.8556068505806733</v>
      </c>
      <c r="AF63" s="328">
        <f t="shared" si="9"/>
        <v>1.0000691630865803</v>
      </c>
      <c r="AG63" s="328">
        <f t="shared" si="10"/>
        <v>0.68888145576216187</v>
      </c>
      <c r="AH63" s="328">
        <f t="shared" si="19"/>
        <v>-1.0500000000000114</v>
      </c>
      <c r="AI63" s="328">
        <f t="shared" si="20"/>
        <v>28.759999999999991</v>
      </c>
      <c r="AJ63" s="329">
        <f t="shared" si="21"/>
        <v>90.481622369169287</v>
      </c>
      <c r="AK63" s="329" t="str" cm="1">
        <f t="array" ref="AK63">IF(OR(E63="", H63=""), "",
  IFERROR(
     (
      INDEX($AM$3:$AM$22, MATCH(E63, $AL$3:$AL$22, 1)) +
      (E63 - INDEX($AL$3:$AL$22, MATCH(E63, $AL$3:$AL$22, 1))) *
      (INDEX($AM$3:$AM$22, MATCH(E63, $AL$3:$AL$22, 1)+1) - INDEX($AM$3:$AM$22, MATCH(E63, $AL$3:$AL$22, 1))) /
      (INDEX($AL$3:$AL$22, MATCH(E63, $AL$3:$AL$22, 1)+1) - INDEX($AL$3:$AL$22, MATCH(E63, $AL$3:$AL$22, 1)))
    ) - H63,
    ""
  )
)</f>
        <v/>
      </c>
      <c r="AL63" s="341"/>
      <c r="AM63" s="342"/>
      <c r="AN63" s="343"/>
    </row>
    <row r="64" spans="1:40" s="315" customFormat="1" ht="15" customHeight="1" x14ac:dyDescent="0.35">
      <c r="A64" s="297">
        <f t="shared" si="34"/>
        <v>2</v>
      </c>
      <c r="B64" s="298">
        <f t="shared" si="34"/>
        <v>19</v>
      </c>
      <c r="C64" s="299">
        <f t="shared" si="22"/>
        <v>28.860000000000127</v>
      </c>
      <c r="D64" s="300">
        <v>1712.17</v>
      </c>
      <c r="E64" s="301">
        <f t="shared" si="23"/>
        <v>1693.17</v>
      </c>
      <c r="F64" s="302">
        <v>39.340000000000003</v>
      </c>
      <c r="G64" s="302">
        <v>220.95</v>
      </c>
      <c r="H64" s="303">
        <f t="shared" si="12"/>
        <v>1552.8392043875631</v>
      </c>
      <c r="I64" s="304">
        <f t="shared" si="13"/>
        <v>0.1376887619437572</v>
      </c>
      <c r="J64" s="302">
        <f t="shared" si="14"/>
        <v>1712.17</v>
      </c>
      <c r="K64" s="304">
        <f t="shared" si="24"/>
        <v>1716.17</v>
      </c>
      <c r="L64" s="302">
        <v>4</v>
      </c>
      <c r="M64" s="305" t="s">
        <v>580</v>
      </c>
      <c r="N64" s="304" t="str">
        <f t="shared" si="25"/>
        <v/>
      </c>
      <c r="O64" s="304">
        <f t="shared" si="26"/>
        <v>0</v>
      </c>
      <c r="P64" s="306">
        <f t="shared" si="15"/>
        <v>168.94800685633626</v>
      </c>
      <c r="Q64" s="307" t="str">
        <f t="shared" si="16"/>
        <v>R</v>
      </c>
      <c r="R64" s="304">
        <f t="shared" si="1"/>
        <v>1.3453240942948113</v>
      </c>
      <c r="S64" s="304">
        <f t="shared" si="27"/>
        <v>39.340000000000003</v>
      </c>
      <c r="T64" s="304">
        <f t="shared" si="2"/>
        <v>1567.5337633079748</v>
      </c>
      <c r="U64" s="304">
        <f t="shared" si="3"/>
        <v>1.3889577676292089</v>
      </c>
      <c r="V64" s="303">
        <f t="shared" si="29"/>
        <v>-0.14711621874097133</v>
      </c>
      <c r="W64" s="304">
        <f t="shared" si="4"/>
        <v>1.3333333333330681E-3</v>
      </c>
      <c r="X64" s="304">
        <f t="shared" si="17"/>
        <v>-0.13513513513512981</v>
      </c>
      <c r="Y64" s="304">
        <f t="shared" si="5"/>
        <v>4.1580041580033124E-2</v>
      </c>
      <c r="Z64" s="304">
        <f t="shared" si="31"/>
        <v>0.1376887619437572</v>
      </c>
      <c r="AA64" s="308">
        <f t="shared" si="7"/>
        <v>0</v>
      </c>
      <c r="AB64" s="304">
        <f t="shared" si="18"/>
        <v>24.779999999999973</v>
      </c>
      <c r="AC64" s="309"/>
      <c r="AD64" s="310">
        <f t="shared" si="8"/>
        <v>0.68661252773456927</v>
      </c>
      <c r="AE64" s="310">
        <f t="shared" si="8"/>
        <v>3.856304982281471</v>
      </c>
      <c r="AF64" s="310">
        <f t="shared" si="9"/>
        <v>1.0000004812499859</v>
      </c>
      <c r="AG64" s="310">
        <f t="shared" si="10"/>
        <v>0.68661252773456927</v>
      </c>
      <c r="AH64" s="310">
        <f t="shared" si="19"/>
        <v>3.9999999999992042E-2</v>
      </c>
      <c r="AI64" s="310">
        <f t="shared" si="20"/>
        <v>28.860000000000127</v>
      </c>
      <c r="AJ64" s="311">
        <f t="shared" si="21"/>
        <v>90.481622369169287</v>
      </c>
      <c r="AK64" s="311" t="str" cm="1">
        <f t="array" ref="AK64">IF(OR(E64="", H64=""), "",
  IFERROR(
     (
      INDEX($AM$3:$AM$22, MATCH(E64, $AL$3:$AL$22, 1)) +
      (E64 - INDEX($AL$3:$AL$22, MATCH(E64, $AL$3:$AL$22, 1))) *
      (INDEX($AM$3:$AM$22, MATCH(E64, $AL$3:$AL$22, 1)+1) - INDEX($AM$3:$AM$22, MATCH(E64, $AL$3:$AL$22, 1))) /
      (INDEX($AL$3:$AL$22, MATCH(E64, $AL$3:$AL$22, 1)+1) - INDEX($AL$3:$AL$22, MATCH(E64, $AL$3:$AL$22, 1)))
    ) - H64,
    ""
  )
)</f>
        <v/>
      </c>
      <c r="AL64" s="338"/>
      <c r="AM64" s="339"/>
      <c r="AN64" s="340"/>
    </row>
    <row r="65" spans="1:40" s="315" customFormat="1" ht="15" customHeight="1" x14ac:dyDescent="0.35">
      <c r="A65" s="316">
        <f t="shared" si="34"/>
        <v>2</v>
      </c>
      <c r="B65" s="317">
        <f t="shared" si="34"/>
        <v>19</v>
      </c>
      <c r="C65" s="318">
        <f t="shared" si="22"/>
        <v>28.779999999999973</v>
      </c>
      <c r="D65" s="319">
        <v>1740.95</v>
      </c>
      <c r="E65" s="320">
        <f t="shared" si="23"/>
        <v>1721.95</v>
      </c>
      <c r="F65" s="321">
        <v>40.86</v>
      </c>
      <c r="G65" s="321">
        <v>220.07</v>
      </c>
      <c r="H65" s="322">
        <f t="shared" si="12"/>
        <v>1574.8536423059954</v>
      </c>
      <c r="I65" s="323">
        <f t="shared" si="13"/>
        <v>1.6909851537866487</v>
      </c>
      <c r="J65" s="321" t="str">
        <f t="shared" si="14"/>
        <v/>
      </c>
      <c r="K65" s="323" t="str">
        <f t="shared" si="24"/>
        <v/>
      </c>
      <c r="L65" s="321"/>
      <c r="M65" s="333"/>
      <c r="N65" s="323">
        <f t="shared" si="25"/>
        <v>4</v>
      </c>
      <c r="O65" s="323">
        <f t="shared" si="26"/>
        <v>0</v>
      </c>
      <c r="P65" s="324">
        <f t="shared" si="15"/>
        <v>20.448188027319077</v>
      </c>
      <c r="Q65" s="325" t="str">
        <f t="shared" si="16"/>
        <v>L</v>
      </c>
      <c r="R65" s="323">
        <f t="shared" si="1"/>
        <v>1.3335115276641325</v>
      </c>
      <c r="S65" s="323">
        <f t="shared" si="27"/>
        <v>40.86</v>
      </c>
      <c r="T65" s="323">
        <f t="shared" si="2"/>
        <v>1589.2235395307735</v>
      </c>
      <c r="U65" s="323">
        <f t="shared" si="3"/>
        <v>1.3779331068568093</v>
      </c>
      <c r="V65" s="322">
        <f t="shared" si="29"/>
        <v>0.37999999999999901</v>
      </c>
      <c r="W65" s="323">
        <f t="shared" si="4"/>
        <v>-0.21999999999999886</v>
      </c>
      <c r="X65" s="323">
        <f t="shared" si="17"/>
        <v>1.5844336344683783</v>
      </c>
      <c r="Y65" s="323">
        <f t="shared" si="5"/>
        <v>-0.91730368311326926</v>
      </c>
      <c r="Z65" s="323">
        <f t="shared" si="31"/>
        <v>12.166638181494926</v>
      </c>
      <c r="AA65" s="326">
        <f t="shared" si="7"/>
        <v>0.13898540653231423</v>
      </c>
      <c r="AB65" s="323" t="str">
        <f t="shared" si="18"/>
        <v/>
      </c>
      <c r="AC65" s="327"/>
      <c r="AD65" s="328">
        <f t="shared" si="8"/>
        <v>0.71314153236488309</v>
      </c>
      <c r="AE65" s="328">
        <f t="shared" si="8"/>
        <v>3.840946084863921</v>
      </c>
      <c r="AF65" s="328">
        <f t="shared" si="9"/>
        <v>1.0000725923588203</v>
      </c>
      <c r="AG65" s="328">
        <f t="shared" si="10"/>
        <v>0.71314153236488309</v>
      </c>
      <c r="AH65" s="328">
        <f t="shared" si="19"/>
        <v>-0.87999999999999545</v>
      </c>
      <c r="AI65" s="328">
        <f t="shared" si="20"/>
        <v>28.779999999999973</v>
      </c>
      <c r="AJ65" s="329">
        <f t="shared" si="21"/>
        <v>90.481622369169287</v>
      </c>
      <c r="AK65" s="329" t="str" cm="1">
        <f t="array" ref="AK65">IF(OR(E65="", H65=""), "",
  IFERROR(
     (
      INDEX($AM$3:$AM$22, MATCH(E65, $AL$3:$AL$22, 1)) +
      (E65 - INDEX($AL$3:$AL$22, MATCH(E65, $AL$3:$AL$22, 1))) *
      (INDEX($AM$3:$AM$22, MATCH(E65, $AL$3:$AL$22, 1)+1) - INDEX($AM$3:$AM$22, MATCH(E65, $AL$3:$AL$22, 1))) /
      (INDEX($AL$3:$AL$22, MATCH(E65, $AL$3:$AL$22, 1)+1) - INDEX($AL$3:$AL$22, MATCH(E65, $AL$3:$AL$22, 1)))
    ) - H65,
    ""
  )
)</f>
        <v/>
      </c>
      <c r="AL65" s="341"/>
      <c r="AM65" s="342"/>
      <c r="AN65" s="343"/>
    </row>
    <row r="66" spans="1:40" s="315" customFormat="1" ht="15" customHeight="1" x14ac:dyDescent="0.35">
      <c r="A66" s="297">
        <f t="shared" si="34"/>
        <v>2</v>
      </c>
      <c r="B66" s="298">
        <f t="shared" si="34"/>
        <v>19</v>
      </c>
      <c r="C66" s="299">
        <f t="shared" si="22"/>
        <v>29.079999999999927</v>
      </c>
      <c r="D66" s="300">
        <v>1770.03</v>
      </c>
      <c r="E66" s="301">
        <f t="shared" si="23"/>
        <v>1751.03</v>
      </c>
      <c r="F66" s="302">
        <v>38.659999999999997</v>
      </c>
      <c r="G66" s="302">
        <v>220.27</v>
      </c>
      <c r="H66" s="303">
        <f t="shared" si="12"/>
        <v>1597.2083170222991</v>
      </c>
      <c r="I66" s="304">
        <f t="shared" si="13"/>
        <v>2.2734316696559453</v>
      </c>
      <c r="J66" s="302">
        <f t="shared" si="14"/>
        <v>1770.03</v>
      </c>
      <c r="K66" s="304">
        <f t="shared" si="24"/>
        <v>1775.03</v>
      </c>
      <c r="L66" s="302">
        <v>5</v>
      </c>
      <c r="M66" s="305" t="s">
        <v>580</v>
      </c>
      <c r="N66" s="304" t="str">
        <f t="shared" si="25"/>
        <v/>
      </c>
      <c r="O66" s="304">
        <f t="shared" si="26"/>
        <v>0</v>
      </c>
      <c r="P66" s="306">
        <f t="shared" si="15"/>
        <v>176.67348616113171</v>
      </c>
      <c r="Q66" s="307" t="str">
        <f t="shared" si="16"/>
        <v>R</v>
      </c>
      <c r="R66" s="304">
        <f t="shared" si="1"/>
        <v>1.5237538832595559</v>
      </c>
      <c r="S66" s="304">
        <f t="shared" si="27"/>
        <v>38.659999999999997</v>
      </c>
      <c r="T66" s="304">
        <f t="shared" si="2"/>
        <v>1612.0447846801792</v>
      </c>
      <c r="U66" s="304">
        <f t="shared" si="3"/>
        <v>1.5790882037132861</v>
      </c>
      <c r="V66" s="303">
        <f t="shared" si="29"/>
        <v>9.1164906998571563E-2</v>
      </c>
      <c r="W66" s="304">
        <f t="shared" si="4"/>
        <v>6.6666666666672352E-3</v>
      </c>
      <c r="X66" s="304">
        <f t="shared" si="17"/>
        <v>-2.2696011004126633</v>
      </c>
      <c r="Y66" s="304">
        <f t="shared" si="5"/>
        <v>0.20632737276480489</v>
      </c>
      <c r="Z66" s="304">
        <f t="shared" si="31"/>
        <v>2.2734316696559453</v>
      </c>
      <c r="AA66" s="308">
        <f t="shared" si="7"/>
        <v>0</v>
      </c>
      <c r="AB66" s="304">
        <f t="shared" si="18"/>
        <v>24.079999999999927</v>
      </c>
      <c r="AC66" s="309"/>
      <c r="AD66" s="310">
        <f t="shared" si="8"/>
        <v>0.67474428882100779</v>
      </c>
      <c r="AE66" s="310">
        <f t="shared" si="8"/>
        <v>3.8444367433679099</v>
      </c>
      <c r="AF66" s="310">
        <f t="shared" si="9"/>
        <v>1.0001312217065956</v>
      </c>
      <c r="AG66" s="310">
        <f t="shared" si="10"/>
        <v>0.67474428882100779</v>
      </c>
      <c r="AH66" s="310">
        <f t="shared" si="19"/>
        <v>0.20000000000001705</v>
      </c>
      <c r="AI66" s="310">
        <f t="shared" si="20"/>
        <v>29.079999999999927</v>
      </c>
      <c r="AJ66" s="311">
        <f t="shared" si="21"/>
        <v>90.481622369169287</v>
      </c>
      <c r="AK66" s="311" t="str" cm="1">
        <f t="array" ref="AK66">IF(OR(E66="", H66=""), "",
  IFERROR(
     (
      INDEX($AM$3:$AM$22, MATCH(E66, $AL$3:$AL$22, 1)) +
      (E66 - INDEX($AL$3:$AL$22, MATCH(E66, $AL$3:$AL$22, 1))) *
      (INDEX($AM$3:$AM$22, MATCH(E66, $AL$3:$AL$22, 1)+1) - INDEX($AM$3:$AM$22, MATCH(E66, $AL$3:$AL$22, 1))) /
      (INDEX($AL$3:$AL$22, MATCH(E66, $AL$3:$AL$22, 1)+1) - INDEX($AL$3:$AL$22, MATCH(E66, $AL$3:$AL$22, 1)))
    ) - H66,
    ""
  )
)</f>
        <v/>
      </c>
      <c r="AL66" s="338"/>
      <c r="AM66" s="339"/>
      <c r="AN66" s="340"/>
    </row>
    <row r="67" spans="1:40" s="315" customFormat="1" ht="15" customHeight="1" x14ac:dyDescent="0.35">
      <c r="A67" s="316">
        <f t="shared" si="34"/>
        <v>2</v>
      </c>
      <c r="B67" s="317">
        <f t="shared" si="34"/>
        <v>19</v>
      </c>
      <c r="C67" s="318">
        <f t="shared" si="22"/>
        <v>29.079999999999927</v>
      </c>
      <c r="D67" s="319">
        <v>1799.11</v>
      </c>
      <c r="E67" s="320">
        <f t="shared" si="23"/>
        <v>1780.11</v>
      </c>
      <c r="F67" s="321">
        <v>39.29</v>
      </c>
      <c r="G67" s="321">
        <v>221.63</v>
      </c>
      <c r="H67" s="322">
        <f t="shared" si="12"/>
        <v>1619.8157045891699</v>
      </c>
      <c r="I67" s="323">
        <f t="shared" si="13"/>
        <v>1.0959518913186284</v>
      </c>
      <c r="J67" s="321">
        <f t="shared" si="14"/>
        <v>1799.11</v>
      </c>
      <c r="K67" s="323">
        <f t="shared" si="24"/>
        <v>1803.11</v>
      </c>
      <c r="L67" s="321">
        <v>4</v>
      </c>
      <c r="M67" s="333" t="s">
        <v>580</v>
      </c>
      <c r="N67" s="323">
        <f t="shared" si="25"/>
        <v>5</v>
      </c>
      <c r="O67" s="323">
        <f t="shared" si="26"/>
        <v>0</v>
      </c>
      <c r="P67" s="324">
        <f t="shared" si="15"/>
        <v>53.62775078580524</v>
      </c>
      <c r="Q67" s="325" t="str">
        <f t="shared" si="16"/>
        <v>R</v>
      </c>
      <c r="R67" s="323">
        <f t="shared" si="1"/>
        <v>1.573041840505417</v>
      </c>
      <c r="S67" s="323">
        <f t="shared" si="27"/>
        <v>39.29</v>
      </c>
      <c r="T67" s="323">
        <f t="shared" si="2"/>
        <v>1634.5207687205368</v>
      </c>
      <c r="U67" s="323">
        <f t="shared" si="3"/>
        <v>1.6329561774390497</v>
      </c>
      <c r="V67" s="322">
        <f t="shared" si="29"/>
        <v>0.1260000000000005</v>
      </c>
      <c r="W67" s="323">
        <f t="shared" si="4"/>
        <v>0.27199999999999702</v>
      </c>
      <c r="X67" s="323">
        <f t="shared" si="17"/>
        <v>0.64993122420908267</v>
      </c>
      <c r="Y67" s="323">
        <f t="shared" si="5"/>
        <v>1.4030261348005384</v>
      </c>
      <c r="Z67" s="323">
        <f t="shared" si="31"/>
        <v>6.374056199909127</v>
      </c>
      <c r="AA67" s="326">
        <f t="shared" si="7"/>
        <v>0.17193947730398942</v>
      </c>
      <c r="AB67" s="323">
        <f t="shared" si="18"/>
        <v>24.990000000000009</v>
      </c>
      <c r="AC67" s="327"/>
      <c r="AD67" s="328">
        <f t="shared" si="8"/>
        <v>0.68573986310857205</v>
      </c>
      <c r="AE67" s="328">
        <f t="shared" si="8"/>
        <v>3.8681732211950326</v>
      </c>
      <c r="AF67" s="328">
        <f t="shared" si="9"/>
        <v>1.0000304910486075</v>
      </c>
      <c r="AG67" s="328">
        <f t="shared" si="10"/>
        <v>0.68573986310857205</v>
      </c>
      <c r="AH67" s="328">
        <f t="shared" si="19"/>
        <v>1.3599999999999852</v>
      </c>
      <c r="AI67" s="328">
        <f t="shared" si="20"/>
        <v>29.079999999999927</v>
      </c>
      <c r="AJ67" s="329">
        <f t="shared" si="21"/>
        <v>90.481622369169287</v>
      </c>
      <c r="AK67" s="329" t="str" cm="1">
        <f t="array" ref="AK67">IF(OR(E67="", H67=""), "",
  IFERROR(
     (
      INDEX($AM$3:$AM$22, MATCH(E67, $AL$3:$AL$22, 1)) +
      (E67 - INDEX($AL$3:$AL$22, MATCH(E67, $AL$3:$AL$22, 1))) *
      (INDEX($AM$3:$AM$22, MATCH(E67, $AL$3:$AL$22, 1)+1) - INDEX($AM$3:$AM$22, MATCH(E67, $AL$3:$AL$22, 1))) /
      (INDEX($AL$3:$AL$22, MATCH(E67, $AL$3:$AL$22, 1)+1) - INDEX($AL$3:$AL$22, MATCH(E67, $AL$3:$AL$22, 1)))
    ) - H67,
    ""
  )
)</f>
        <v/>
      </c>
      <c r="AL67" s="341"/>
      <c r="AM67" s="342"/>
      <c r="AN67" s="343"/>
    </row>
    <row r="68" spans="1:40" s="315" customFormat="1" ht="15" customHeight="1" x14ac:dyDescent="0.35">
      <c r="A68" s="297">
        <f t="shared" si="34"/>
        <v>2</v>
      </c>
      <c r="B68" s="298">
        <f t="shared" si="34"/>
        <v>19</v>
      </c>
      <c r="C68" s="299">
        <f t="shared" si="22"/>
        <v>28.990000000000009</v>
      </c>
      <c r="D68" s="300">
        <v>1828.1</v>
      </c>
      <c r="E68" s="301">
        <f t="shared" si="23"/>
        <v>1809.1</v>
      </c>
      <c r="F68" s="302">
        <v>38.65</v>
      </c>
      <c r="G68" s="302">
        <v>220.82</v>
      </c>
      <c r="H68" s="303">
        <f t="shared" si="12"/>
        <v>1642.3547154581674</v>
      </c>
      <c r="I68" s="304">
        <f t="shared" si="13"/>
        <v>0.84647785490823824</v>
      </c>
      <c r="J68" s="302">
        <f t="shared" si="14"/>
        <v>1828.1</v>
      </c>
      <c r="K68" s="304">
        <f t="shared" si="24"/>
        <v>1835.1</v>
      </c>
      <c r="L68" s="302">
        <v>7</v>
      </c>
      <c r="M68" s="305" t="s">
        <v>580</v>
      </c>
      <c r="N68" s="304">
        <f t="shared" si="25"/>
        <v>4</v>
      </c>
      <c r="O68" s="304">
        <f t="shared" si="26"/>
        <v>0</v>
      </c>
      <c r="P68" s="306">
        <f t="shared" si="15"/>
        <v>141.48226600237876</v>
      </c>
      <c r="Q68" s="307" t="str">
        <f t="shared" si="16"/>
        <v>L</v>
      </c>
      <c r="R68" s="304">
        <f t="shared" si="1"/>
        <v>1.70624470701584</v>
      </c>
      <c r="S68" s="304">
        <f t="shared" si="27"/>
        <v>38.65</v>
      </c>
      <c r="T68" s="304">
        <f t="shared" si="2"/>
        <v>1657.1932544659569</v>
      </c>
      <c r="U68" s="304">
        <f t="shared" si="3"/>
        <v>1.7759136907455795</v>
      </c>
      <c r="V68" s="303">
        <f t="shared" si="29"/>
        <v>-0.16000000000000014</v>
      </c>
      <c r="W68" s="304">
        <f t="shared" si="4"/>
        <v>-0.20250000000000057</v>
      </c>
      <c r="X68" s="304">
        <f t="shared" si="17"/>
        <v>-0.66229734391169404</v>
      </c>
      <c r="Y68" s="304">
        <f t="shared" si="5"/>
        <v>-0.83822007588823944</v>
      </c>
      <c r="Z68" s="304">
        <f t="shared" si="31"/>
        <v>6.1348482534474584</v>
      </c>
      <c r="AA68" s="308">
        <f t="shared" si="7"/>
        <v>0.13797861331493613</v>
      </c>
      <c r="AB68" s="304">
        <f t="shared" si="18"/>
        <v>22.190000000000055</v>
      </c>
      <c r="AC68" s="309"/>
      <c r="AD68" s="310">
        <f t="shared" si="8"/>
        <v>0.67456975589580837</v>
      </c>
      <c r="AE68" s="310">
        <f t="shared" si="8"/>
        <v>3.8540360542538785</v>
      </c>
      <c r="AF68" s="310">
        <f t="shared" si="9"/>
        <v>1.0000181892239466</v>
      </c>
      <c r="AG68" s="310">
        <f t="shared" si="10"/>
        <v>0.67456975589580837</v>
      </c>
      <c r="AH68" s="310">
        <f t="shared" si="19"/>
        <v>-0.81000000000000227</v>
      </c>
      <c r="AI68" s="310">
        <f t="shared" si="20"/>
        <v>28.990000000000009</v>
      </c>
      <c r="AJ68" s="311">
        <f t="shared" si="21"/>
        <v>90.481622369169287</v>
      </c>
      <c r="AK68" s="311" t="str" cm="1">
        <f t="array" ref="AK68">IF(OR(E68="", H68=""), "",
  IFERROR(
     (
      INDEX($AM$3:$AM$22, MATCH(E68, $AL$3:$AL$22, 1)) +
      (E68 - INDEX($AL$3:$AL$22, MATCH(E68, $AL$3:$AL$22, 1))) *
      (INDEX($AM$3:$AM$22, MATCH(E68, $AL$3:$AL$22, 1)+1) - INDEX($AM$3:$AM$22, MATCH(E68, $AL$3:$AL$22, 1))) /
      (INDEX($AL$3:$AL$22, MATCH(E68, $AL$3:$AL$22, 1)+1) - INDEX($AL$3:$AL$22, MATCH(E68, $AL$3:$AL$22, 1)))
    ) - H68,
    ""
  )
)</f>
        <v/>
      </c>
      <c r="AL68" s="338"/>
      <c r="AM68" s="339"/>
      <c r="AN68" s="340"/>
    </row>
    <row r="69" spans="1:40" s="315" customFormat="1" ht="15" customHeight="1" x14ac:dyDescent="0.35">
      <c r="A69" s="316">
        <f t="shared" si="34"/>
        <v>2</v>
      </c>
      <c r="B69" s="317">
        <f t="shared" si="34"/>
        <v>19</v>
      </c>
      <c r="C69" s="318">
        <f t="shared" si="22"/>
        <v>29.190000000000055</v>
      </c>
      <c r="D69" s="319">
        <v>1857.29</v>
      </c>
      <c r="E69" s="320">
        <f t="shared" si="23"/>
        <v>1838.29</v>
      </c>
      <c r="F69" s="321">
        <v>40.19</v>
      </c>
      <c r="G69" s="321">
        <v>220.71</v>
      </c>
      <c r="H69" s="322">
        <f t="shared" si="12"/>
        <v>1664.9043396779243</v>
      </c>
      <c r="I69" s="323">
        <f t="shared" si="13"/>
        <v>1.5843605002931218</v>
      </c>
      <c r="J69" s="321">
        <f t="shared" si="14"/>
        <v>1857.29</v>
      </c>
      <c r="K69" s="323">
        <f t="shared" si="24"/>
        <v>1862.29</v>
      </c>
      <c r="L69" s="321">
        <v>5</v>
      </c>
      <c r="M69" s="333" t="s">
        <v>581</v>
      </c>
      <c r="N69" s="323">
        <f t="shared" si="25"/>
        <v>7</v>
      </c>
      <c r="O69" s="323">
        <f t="shared" si="26"/>
        <v>0</v>
      </c>
      <c r="P69" s="324">
        <f t="shared" si="15"/>
        <v>2.596568809093617</v>
      </c>
      <c r="Q69" s="325" t="str">
        <f t="shared" si="16"/>
        <v>L</v>
      </c>
      <c r="R69" s="323">
        <f t="shared" si="1"/>
        <v>1.7140704129925766</v>
      </c>
      <c r="S69" s="323">
        <f t="shared" si="27"/>
        <v>40.19</v>
      </c>
      <c r="T69" s="323">
        <f t="shared" si="2"/>
        <v>1679.4186044196877</v>
      </c>
      <c r="U69" s="323">
        <f t="shared" si="3"/>
        <v>1.7869890189965245</v>
      </c>
      <c r="V69" s="322">
        <f t="shared" si="29"/>
        <v>0.21999999999999989</v>
      </c>
      <c r="W69" s="323">
        <f t="shared" si="4"/>
        <v>-1.5714285714283602E-2</v>
      </c>
      <c r="X69" s="323">
        <f t="shared" si="17"/>
        <v>1.5827338129496364</v>
      </c>
      <c r="Y69" s="323">
        <f t="shared" si="5"/>
        <v>-0.11305241521067319</v>
      </c>
      <c r="Z69" s="323">
        <f t="shared" si="31"/>
        <v>6.6067832862223304</v>
      </c>
      <c r="AA69" s="326">
        <f t="shared" si="7"/>
        <v>0.23980815347721779</v>
      </c>
      <c r="AB69" s="323">
        <f t="shared" si="18"/>
        <v>24.079999999999927</v>
      </c>
      <c r="AC69" s="327"/>
      <c r="AD69" s="328">
        <f t="shared" si="8"/>
        <v>0.70144782637652103</v>
      </c>
      <c r="AE69" s="328">
        <f t="shared" si="8"/>
        <v>3.8521161920766849</v>
      </c>
      <c r="AF69" s="328">
        <f t="shared" si="9"/>
        <v>1.0000637257142317</v>
      </c>
      <c r="AG69" s="328">
        <f t="shared" si="10"/>
        <v>0.70144782637652103</v>
      </c>
      <c r="AH69" s="328">
        <f t="shared" si="19"/>
        <v>-0.10999999999998522</v>
      </c>
      <c r="AI69" s="328">
        <f t="shared" si="20"/>
        <v>29.190000000000055</v>
      </c>
      <c r="AJ69" s="329">
        <f t="shared" si="21"/>
        <v>90.481622369169287</v>
      </c>
      <c r="AK69" s="329" t="str" cm="1">
        <f t="array" ref="AK69">IF(OR(E69="", H69=""), "",
  IFERROR(
     (
      INDEX($AM$3:$AM$22, MATCH(E69, $AL$3:$AL$22, 1)) +
      (E69 - INDEX($AL$3:$AL$22, MATCH(E69, $AL$3:$AL$22, 1))) *
      (INDEX($AM$3:$AM$22, MATCH(E69, $AL$3:$AL$22, 1)+1) - INDEX($AM$3:$AM$22, MATCH(E69, $AL$3:$AL$22, 1))) /
      (INDEX($AL$3:$AL$22, MATCH(E69, $AL$3:$AL$22, 1)+1) - INDEX($AL$3:$AL$22, MATCH(E69, $AL$3:$AL$22, 1)))
    ) - H69,
    ""
  )
)</f>
        <v/>
      </c>
      <c r="AL69" s="341"/>
      <c r="AM69" s="342"/>
      <c r="AN69" s="343"/>
    </row>
    <row r="70" spans="1:40" s="315" customFormat="1" ht="15" customHeight="1" x14ac:dyDescent="0.35">
      <c r="A70" s="297">
        <f t="shared" si="34"/>
        <v>2</v>
      </c>
      <c r="B70" s="298">
        <f t="shared" si="34"/>
        <v>19</v>
      </c>
      <c r="C70" s="299">
        <f t="shared" si="22"/>
        <v>29.079999999999927</v>
      </c>
      <c r="D70" s="300">
        <v>1886.37</v>
      </c>
      <c r="E70" s="301">
        <f t="shared" si="23"/>
        <v>1867.37</v>
      </c>
      <c r="F70" s="302">
        <v>40.19</v>
      </c>
      <c r="G70" s="302">
        <v>223.23</v>
      </c>
      <c r="H70" s="303">
        <f t="shared" si="12"/>
        <v>1687.1188038195282</v>
      </c>
      <c r="I70" s="304">
        <f t="shared" si="13"/>
        <v>1.677586916702881</v>
      </c>
      <c r="J70" s="302">
        <f t="shared" si="14"/>
        <v>1886.37</v>
      </c>
      <c r="K70" s="304">
        <f t="shared" si="24"/>
        <v>1889.87</v>
      </c>
      <c r="L70" s="302">
        <v>3.5</v>
      </c>
      <c r="M70" s="305" t="s">
        <v>580</v>
      </c>
      <c r="N70" s="304">
        <f t="shared" si="25"/>
        <v>5</v>
      </c>
      <c r="O70" s="304">
        <f t="shared" si="26"/>
        <v>0</v>
      </c>
      <c r="P70" s="306">
        <f t="shared" si="15"/>
        <v>90</v>
      </c>
      <c r="Q70" s="307" t="str">
        <f t="shared" si="16"/>
        <v>R</v>
      </c>
      <c r="R70" s="304">
        <f t="shared" ref="R70:R133" si="35">IF(V70="","",(SIN($AD$2)-SIN(AD70))*1719/($X$2-H70))</f>
        <v>1.8282512308669416</v>
      </c>
      <c r="S70" s="304">
        <f t="shared" si="27"/>
        <v>40.19</v>
      </c>
      <c r="T70" s="304">
        <f t="shared" ref="T70:T133" si="36">IF(V70="","",H70+(COS((AG70+AD70)/2))*B70)</f>
        <v>1701.6330685612916</v>
      </c>
      <c r="U70" s="304">
        <f t="shared" ref="U70:U133" si="37">IF(V70="","",(SIN($AD$2)-SIN(AG70))*1719/($X$2-T70))</f>
        <v>1.9114439375828616</v>
      </c>
      <c r="V70" s="303">
        <f t="shared" si="29"/>
        <v>0</v>
      </c>
      <c r="W70" s="304">
        <f t="shared" ref="W70:W133" si="38">IF(G70="","",IF(N70="",(G70-G69)/30,AH70/N70))</f>
        <v>0.50399999999999634</v>
      </c>
      <c r="X70" s="304">
        <f t="shared" si="17"/>
        <v>0</v>
      </c>
      <c r="Y70" s="304">
        <f t="shared" ref="Y70:Y133" si="39">IF(W70="","",IF(F70="","",AH70*30/AI70))</f>
        <v>2.5997248968363014</v>
      </c>
      <c r="Z70" s="304">
        <f t="shared" si="31"/>
        <v>9.7568455075439324</v>
      </c>
      <c r="AA70" s="308">
        <f t="shared" ref="AA70:AA133" si="40">+IF(Z70="","",IF(N70="",0,N70/AI70))</f>
        <v>0.17193947730398942</v>
      </c>
      <c r="AB70" s="304">
        <f t="shared" si="18"/>
        <v>25.550000000000182</v>
      </c>
      <c r="AC70" s="309"/>
      <c r="AD70" s="310">
        <f t="shared" ref="AD70:AE133" si="41">IF(F70&gt;0,RADIANS(F70),"")</f>
        <v>0.70144782637652103</v>
      </c>
      <c r="AE70" s="310">
        <f t="shared" si="41"/>
        <v>3.8960984892269415</v>
      </c>
      <c r="AF70" s="310">
        <f t="shared" ref="AF70:AF133" si="42">IF(F70="","",2/RADIANS(I70)*TAN(RADIANS(I70)/2))</f>
        <v>1.0000714464711298</v>
      </c>
      <c r="AG70" s="310">
        <f t="shared" ref="AG70:AG133" si="43">IF(S70="","",RADIANS(S70))</f>
        <v>0.70144782637652103</v>
      </c>
      <c r="AH70" s="310">
        <f t="shared" si="19"/>
        <v>2.5199999999999818</v>
      </c>
      <c r="AI70" s="310">
        <f t="shared" si="20"/>
        <v>29.079999999999927</v>
      </c>
      <c r="AJ70" s="311">
        <f t="shared" si="21"/>
        <v>90.481622369169287</v>
      </c>
      <c r="AK70" s="311" t="str" cm="1">
        <f t="array" ref="AK70">IF(OR(E70="", H70=""), "",
  IFERROR(
     (
      INDEX($AM$3:$AM$22, MATCH(E70, $AL$3:$AL$22, 1)) +
      (E70 - INDEX($AL$3:$AL$22, MATCH(E70, $AL$3:$AL$22, 1))) *
      (INDEX($AM$3:$AM$22, MATCH(E70, $AL$3:$AL$22, 1)+1) - INDEX($AM$3:$AM$22, MATCH(E70, $AL$3:$AL$22, 1))) /
      (INDEX($AL$3:$AL$22, MATCH(E70, $AL$3:$AL$22, 1)+1) - INDEX($AL$3:$AL$22, MATCH(E70, $AL$3:$AL$22, 1)))
    ) - H70,
    ""
  )
)</f>
        <v/>
      </c>
      <c r="AL70" s="338"/>
      <c r="AM70" s="339"/>
      <c r="AN70" s="340"/>
    </row>
    <row r="71" spans="1:40" s="315" customFormat="1" ht="15" customHeight="1" x14ac:dyDescent="0.35">
      <c r="A71" s="316">
        <f>+A70</f>
        <v>2</v>
      </c>
      <c r="B71" s="317">
        <f>+B70</f>
        <v>19</v>
      </c>
      <c r="C71" s="318">
        <f t="shared" si="22"/>
        <v>29.050000000000182</v>
      </c>
      <c r="D71" s="319">
        <v>1915.42</v>
      </c>
      <c r="E71" s="320">
        <f t="shared" si="23"/>
        <v>1896.42</v>
      </c>
      <c r="F71" s="321">
        <v>40.4</v>
      </c>
      <c r="G71" s="321">
        <v>221.34</v>
      </c>
      <c r="H71" s="322">
        <f t="shared" ref="H71:H106" si="44">IF(F71="","",H70+(COS((AD71+AD70)/2))*AI71)</f>
        <v>1709.2759583836039</v>
      </c>
      <c r="I71" s="323">
        <f t="shared" ref="I71:I134" si="45">IF(OR(F71="",G71=""),"",DEGREES(ACOS(COS(AD71-AD70)-(SIN(AD71)*SIN(AD70)*(1-COS(AE71-AE70)))))*(30/AI71))</f>
        <v>1.2807367579368441</v>
      </c>
      <c r="J71" s="321">
        <f>IF(L71="","",D71)</f>
        <v>1915.42</v>
      </c>
      <c r="K71" s="323">
        <f t="shared" si="24"/>
        <v>1918.42</v>
      </c>
      <c r="L71" s="321">
        <v>3</v>
      </c>
      <c r="M71" s="333" t="s">
        <v>580</v>
      </c>
      <c r="N71" s="323">
        <f t="shared" si="25"/>
        <v>3.5</v>
      </c>
      <c r="O71" s="323">
        <f t="shared" si="26"/>
        <v>0</v>
      </c>
      <c r="P71" s="324">
        <f t="shared" ref="P71:P134" si="46">IF(AND(ISNUMBER(C71),ISNUMBER(I71)),(IF(AND(I71&gt;0,G71&lt;&gt;G70),ACOS((C71*X71/30)/(C71*I71/30))*180/PI(),IF(AND(F71&gt;F70,G71=G70),"H/S",IF(AND(F71&lt;F70,G71=G70),"L/S","")))),"")</f>
        <v>80.251119580814901</v>
      </c>
      <c r="Q71" s="325" t="str">
        <f t="shared" ref="Q71:Q134" si="47">IF(ISNUMBER(P71),(IF(Y71&gt;0,"R","L")),"")</f>
        <v>L</v>
      </c>
      <c r="R71" s="323">
        <f t="shared" si="35"/>
        <v>1.9429334365952855</v>
      </c>
      <c r="S71" s="323">
        <f t="shared" si="27"/>
        <v>40.4</v>
      </c>
      <c r="T71" s="323">
        <f t="shared" si="36"/>
        <v>1723.7451862268019</v>
      </c>
      <c r="U71" s="323">
        <f t="shared" si="37"/>
        <v>2.0376354433471233</v>
      </c>
      <c r="V71" s="322">
        <f t="shared" si="29"/>
        <v>6.0000000000000241E-2</v>
      </c>
      <c r="W71" s="323">
        <f t="shared" si="38"/>
        <v>-0.53999999999999615</v>
      </c>
      <c r="X71" s="323">
        <f t="shared" ref="X71:X134" si="48">IF(V71="","",(F71-F70)*30/AI71)</f>
        <v>0.2168674698795176</v>
      </c>
      <c r="Y71" s="323">
        <f t="shared" si="39"/>
        <v>-1.9518072289156363</v>
      </c>
      <c r="Z71" s="323">
        <f t="shared" si="31"/>
        <v>10.630115090875872</v>
      </c>
      <c r="AA71" s="326">
        <f t="shared" si="40"/>
        <v>0.12048192771084262</v>
      </c>
      <c r="AB71" s="323">
        <f t="shared" ref="AB71" si="49">IF(L71="","",C72-L71)</f>
        <v>25.990000000000009</v>
      </c>
      <c r="AC71" s="327"/>
      <c r="AD71" s="328">
        <f t="shared" si="41"/>
        <v>0.70511301780570912</v>
      </c>
      <c r="AE71" s="328">
        <f t="shared" si="41"/>
        <v>3.8631117663642489</v>
      </c>
      <c r="AF71" s="328">
        <f t="shared" si="42"/>
        <v>1.0000416404043502</v>
      </c>
      <c r="AG71" s="328">
        <f t="shared" si="43"/>
        <v>0.70511301780570912</v>
      </c>
      <c r="AH71" s="328">
        <f t="shared" ref="AH71:AH134" si="50">IF(G71="","",IF(G71&gt;G70,IF((G71-G70)&gt;180,(G71-G70)-360,G71-G70),IF((G71-G70)&lt;-180,(G71-G70)+360,G71-G70)))</f>
        <v>-1.8899999999999864</v>
      </c>
      <c r="AI71" s="328">
        <f t="shared" ref="AI71:AI134" si="51">+IF(E71="","",E71-E70)</f>
        <v>29.050000000000182</v>
      </c>
      <c r="AJ71" s="329">
        <f t="shared" ref="AJ71:AJ134" si="52">IFERROR(IF(E71="","",IF(E71&lt;$AL$3,AN$4,INDEX(AN$4:AN$22,MATCH(E71,AL$3:AL$22,1)))),"")</f>
        <v>90.481622369169287</v>
      </c>
      <c r="AK71" s="329" t="str" cm="1">
        <f t="array" ref="AK71">IF(OR(E71="", H71=""), "",
  IFERROR(
     (
      INDEX($AM$3:$AM$22, MATCH(E71, $AL$3:$AL$22, 1)) +
      (E71 - INDEX($AL$3:$AL$22, MATCH(E71, $AL$3:$AL$22, 1))) *
      (INDEX($AM$3:$AM$22, MATCH(E71, $AL$3:$AL$22, 1)+1) - INDEX($AM$3:$AM$22, MATCH(E71, $AL$3:$AL$22, 1))) /
      (INDEX($AL$3:$AL$22, MATCH(E71, $AL$3:$AL$22, 1)+1) - INDEX($AL$3:$AL$22, MATCH(E71, $AL$3:$AL$22, 1)))
    ) - H71,
    ""
  )
)</f>
        <v/>
      </c>
      <c r="AL71" s="341"/>
      <c r="AM71" s="342"/>
      <c r="AN71" s="343"/>
    </row>
    <row r="72" spans="1:40" s="315" customFormat="1" ht="15" customHeight="1" x14ac:dyDescent="0.35">
      <c r="A72" s="297">
        <f t="shared" ref="A72:B79" si="53">+A71</f>
        <v>2</v>
      </c>
      <c r="B72" s="298">
        <f>+B71</f>
        <v>19</v>
      </c>
      <c r="C72" s="299">
        <f t="shared" si="22"/>
        <v>28.990000000000009</v>
      </c>
      <c r="D72" s="300">
        <v>1944.41</v>
      </c>
      <c r="E72" s="301">
        <f t="shared" si="23"/>
        <v>1925.41</v>
      </c>
      <c r="F72" s="302">
        <v>39.299999999999997</v>
      </c>
      <c r="G72" s="302">
        <v>221.5</v>
      </c>
      <c r="H72" s="303">
        <f t="shared" si="44"/>
        <v>1731.5322954082392</v>
      </c>
      <c r="I72" s="304">
        <f t="shared" si="45"/>
        <v>1.1432564013861826</v>
      </c>
      <c r="J72" s="302">
        <f>IF(L72="","",D72)</f>
        <v>1944.41</v>
      </c>
      <c r="K72" s="304">
        <f>IF(L72="","",J72+L72)</f>
        <v>1949.41</v>
      </c>
      <c r="L72" s="302">
        <v>5</v>
      </c>
      <c r="M72" s="305" t="s">
        <v>580</v>
      </c>
      <c r="N72" s="304">
        <f t="shared" si="25"/>
        <v>3</v>
      </c>
      <c r="O72" s="304">
        <f t="shared" si="26"/>
        <v>0</v>
      </c>
      <c r="P72" s="306">
        <f t="shared" si="46"/>
        <v>174.67560005229751</v>
      </c>
      <c r="Q72" s="307" t="str">
        <f t="shared" si="47"/>
        <v>R</v>
      </c>
      <c r="R72" s="304">
        <f t="shared" si="35"/>
        <v>2.1801753358898202</v>
      </c>
      <c r="S72" s="304">
        <f t="shared" si="27"/>
        <v>39.299999999999997</v>
      </c>
      <c r="T72" s="304">
        <f t="shared" si="36"/>
        <v>1746.2352593930427</v>
      </c>
      <c r="U72" s="304">
        <f t="shared" si="37"/>
        <v>2.297009005454036</v>
      </c>
      <c r="V72" s="303">
        <f t="shared" si="29"/>
        <v>-0.36666666666666714</v>
      </c>
      <c r="W72" s="304">
        <f t="shared" si="38"/>
        <v>5.3333333333332199E-2</v>
      </c>
      <c r="X72" s="304">
        <f t="shared" si="48"/>
        <v>-1.1383235598482246</v>
      </c>
      <c r="Y72" s="304">
        <f t="shared" si="39"/>
        <v>0.16557433597791985</v>
      </c>
      <c r="Z72" s="304">
        <f t="shared" si="31"/>
        <v>11.047667692061813</v>
      </c>
      <c r="AA72" s="308">
        <f t="shared" si="40"/>
        <v>0.10348395998620211</v>
      </c>
      <c r="AB72" s="304">
        <f>IF(L72="","",C73-L72)</f>
        <v>24.039999999999964</v>
      </c>
      <c r="AC72" s="309"/>
      <c r="AD72" s="310">
        <f t="shared" si="41"/>
        <v>0.68591439603377147</v>
      </c>
      <c r="AE72" s="310">
        <f t="shared" si="41"/>
        <v>3.8659042931674401</v>
      </c>
      <c r="AF72" s="310">
        <f t="shared" si="42"/>
        <v>1.000033180128552</v>
      </c>
      <c r="AG72" s="310">
        <f t="shared" si="43"/>
        <v>0.68591439603377147</v>
      </c>
      <c r="AH72" s="310">
        <f t="shared" si="50"/>
        <v>0.15999999999999659</v>
      </c>
      <c r="AI72" s="310">
        <f t="shared" si="51"/>
        <v>28.990000000000009</v>
      </c>
      <c r="AJ72" s="311">
        <f t="shared" si="52"/>
        <v>90.481622369169287</v>
      </c>
      <c r="AK72" s="311" t="str" cm="1">
        <f t="array" ref="AK72">IF(OR(E72="", H72=""), "",
  IFERROR(
     (
      INDEX($AM$3:$AM$22, MATCH(E72, $AL$3:$AL$22, 1)) +
      (E72 - INDEX($AL$3:$AL$22, MATCH(E72, $AL$3:$AL$22, 1))) *
      (INDEX($AM$3:$AM$22, MATCH(E72, $AL$3:$AL$22, 1)+1) - INDEX($AM$3:$AM$22, MATCH(E72, $AL$3:$AL$22, 1))) /
      (INDEX($AL$3:$AL$22, MATCH(E72, $AL$3:$AL$22, 1)+1) - INDEX($AL$3:$AL$22, MATCH(E72, $AL$3:$AL$22, 1)))
    ) - H72,
    ""
  )
)</f>
        <v/>
      </c>
      <c r="AL72" s="338"/>
      <c r="AM72" s="339"/>
      <c r="AN72" s="340"/>
    </row>
    <row r="73" spans="1:40" s="315" customFormat="1" ht="15" customHeight="1" x14ac:dyDescent="0.35">
      <c r="A73" s="316">
        <f t="shared" si="53"/>
        <v>2</v>
      </c>
      <c r="B73" s="317">
        <f>+B72</f>
        <v>19</v>
      </c>
      <c r="C73" s="318">
        <f>IF(D73&gt;0,D73-D72,"")</f>
        <v>29.039999999999964</v>
      </c>
      <c r="D73" s="319">
        <v>1973.45</v>
      </c>
      <c r="E73" s="320">
        <f>IF(D73&gt;0,D73-B73,"")</f>
        <v>1954.45</v>
      </c>
      <c r="F73" s="321">
        <v>39.81</v>
      </c>
      <c r="G73" s="321">
        <v>219.22</v>
      </c>
      <c r="H73" s="322">
        <f t="shared" si="44"/>
        <v>1753.9225314182841</v>
      </c>
      <c r="I73" s="323">
        <f t="shared" si="45"/>
        <v>1.5897038761802575</v>
      </c>
      <c r="J73" s="321">
        <f>IF(L73="","",D73)</f>
        <v>1973.45</v>
      </c>
      <c r="K73" s="323">
        <f>IF(L73="","",J73+L73)</f>
        <v>1981.45</v>
      </c>
      <c r="L73" s="321">
        <v>8</v>
      </c>
      <c r="M73" s="333" t="s">
        <v>579</v>
      </c>
      <c r="N73" s="323">
        <f>IF(SUM(IF(AND(E73&gt;K69,E72&lt;=J69),L69,0)+IF(AND(E73&gt;=K69,E72&lt;K69,E72&gt;J69),K69-E72,0)+IF(AND(E73&gt;J69,E72&lt;=J69,E73&lt;K69),E73-J69,0)+IF(AND(E73&lt;K69,E72&gt;J69,E73&gt;E72),E73-E72,0)+IF(AND(E73&gt;K70,E72&lt;=J70),L70,0)+IF(AND(E73&gt;=K70,E72&lt;K70,E72&gt;J70),K70-E72,0)+IF(AND(E73&gt;J70,E72&lt;=J70,E73&lt;K70),E73-J70,0)+IF(AND(E73&lt;K70,E72&gt;J70,E73&gt;E72),E73-E72,0)+IF(AND(E73&gt;K71,E72&lt;=J71),L71,0)+IF(AND(E73&gt;=K71,E72&lt;K71,E72&gt;J71),K71-E72,0)+IF(AND(E73&gt;J71,E72&lt;J71,E73&lt;=K71),E73-J71,0)+IF(AND(E73&lt;K71,E72&gt;J71,E73&gt;E72),E73-E72,0)+IF(AND(E73&gt;K72,E72&lt;=J72),L72,0)+IF(AND(E73&gt;=K72,E72&lt;K72,E72&gt;J72),K72-E72,0)+IF(AND(E73&gt;J72,E72&lt;J72,E73&lt;=K72),E73-J72,0)+IF(AND(E73&lt;K72,E72&gt;J72,E73&gt;E72),E73-E72,0))=0,"",SUM(IF(AND(E73&gt;K69,E72&lt;=J69),L69,0)+IF(AND(E73&gt;=K69,E72&lt;K69,E72&gt;J69),K69-E72,0)+IF(AND(E73&gt;J69,E72&lt;=J69,E73&lt;K69),E73-J69,0)+IF(AND(E73&lt;K69,E72&gt;J69,E73&gt;E72),E73-E72,0)+IF(AND(E73&gt;K70,E72&lt;=J70),L70,0)+IF(AND(E73&gt;=K70,E72&lt;K70,E72&gt;J70),K70-E72,0)+IF(AND(E73&gt;J70,E72&lt;=J70,E73&lt;K70),E73-J70,0)+IF(AND(E73&lt;K70,E72&gt;J70,E73&gt;E72),E73-E72,0)+IF(AND(E73&gt;K71,E72&lt;=J71),L71,0)+IF(AND(E73&gt;=K71,E72&lt;K71,E72&gt;J71),K71-E72,0)+IF(AND(E73&gt;J71,E72&lt;J71,E73&lt;=K71),E73-J71,0)+IF(AND(E73&lt;K71,E72&gt;J71,E73&gt;E72),E73-E72,0)+IF(AND(E73&gt;K72,E72&lt;=J72),L72,0)+IF(AND(E73&gt;=K72,E72&lt;K72,E72&gt;J72),K72-E72,0)+IF(AND(E73&gt;J72,E72&lt;J72,E73&lt;=K72),E73-J72,0)+IF(AND(E73&lt;K72,E72&gt;J72,E73&gt;E72),E73-E72,0)))</f>
        <v>5</v>
      </c>
      <c r="O73" s="323">
        <f>SUM(IF(AND(D73&gt;K70,E73&lt;=J70),L70,0)+IF(AND(D73&gt;=K70,E73&lt;K70,E73&gt;J70),K70-E73,0)+IF(AND(D73&gt;J70,E73&lt;=J70,D73&lt;K70),D73-J70,0)+IF(AND(D73&lt;K70,E73&gt;J70,D73&gt;E73),D73-E73,0)+IF(AND(D73&gt;K71,E73&lt;=J71),L71,0)+IF(AND(D73&gt;=K71,E73&lt;K71,E73&gt;J71),K71-E73,0)+IF(AND(D73&gt;J71,E73&lt;J71,D73&lt;=K71),D73-J71,0)+IF(AND(D73&lt;K71,E73&gt;J71,D73&gt;E73),D73-E73,0)+IF(AND(D73&gt;K72,E73&lt;=J72),L72,0)+IF(AND(D73&gt;=K72,E73&lt;K72,E73&gt;J72),K72-E73,0)+IF(AND(D73&gt;J72,E73&lt;J72,D73&lt;=K72),D73-J72,0)+IF(AND(D73&lt;K72,E73&gt;J72,D73&gt;E73),D73-E73,0))</f>
        <v>0</v>
      </c>
      <c r="P73" s="324">
        <f t="shared" si="46"/>
        <v>70.645019515822128</v>
      </c>
      <c r="Q73" s="325" t="str">
        <f t="shared" si="47"/>
        <v>L</v>
      </c>
      <c r="R73" s="323">
        <f t="shared" si="35"/>
        <v>2.3189845943860559</v>
      </c>
      <c r="S73" s="323">
        <f t="shared" si="27"/>
        <v>39.81</v>
      </c>
      <c r="T73" s="323">
        <f t="shared" si="36"/>
        <v>1768.5177954600931</v>
      </c>
      <c r="U73" s="323">
        <f t="shared" si="37"/>
        <v>2.4532510830726615</v>
      </c>
      <c r="V73" s="322">
        <f t="shared" si="29"/>
        <v>0.10200000000000102</v>
      </c>
      <c r="W73" s="323">
        <f t="shared" si="38"/>
        <v>-0.45600000000000024</v>
      </c>
      <c r="X73" s="323">
        <f t="shared" si="48"/>
        <v>0.52685950413223737</v>
      </c>
      <c r="Y73" s="323">
        <f t="shared" si="39"/>
        <v>-2.3553719008264502</v>
      </c>
      <c r="Z73" s="323">
        <f t="shared" si="31"/>
        <v>9.2330001128549242</v>
      </c>
      <c r="AA73" s="326">
        <f t="shared" si="40"/>
        <v>0.17217630853994512</v>
      </c>
      <c r="AB73" s="323">
        <f>IF(L73="","",C74-L73)</f>
        <v>6.5</v>
      </c>
      <c r="AC73" s="327"/>
      <c r="AD73" s="328">
        <f t="shared" si="41"/>
        <v>0.69481557521894266</v>
      </c>
      <c r="AE73" s="328">
        <f t="shared" si="41"/>
        <v>3.8261107862219692</v>
      </c>
      <c r="AF73" s="328">
        <f t="shared" si="42"/>
        <v>1.0000641563118171</v>
      </c>
      <c r="AG73" s="328">
        <f t="shared" si="43"/>
        <v>0.69481557521894266</v>
      </c>
      <c r="AH73" s="328">
        <f t="shared" si="50"/>
        <v>-2.2800000000000011</v>
      </c>
      <c r="AI73" s="328">
        <f t="shared" si="51"/>
        <v>29.039999999999964</v>
      </c>
      <c r="AJ73" s="329">
        <f t="shared" si="52"/>
        <v>90.481622369169287</v>
      </c>
      <c r="AK73" s="329" t="str" cm="1">
        <f t="array" ref="AK73">IF(OR(E73="", H73=""), "",
  IFERROR(
     (
      INDEX($AM$3:$AM$22, MATCH(E73, $AL$3:$AL$22, 1)) +
      (E73 - INDEX($AL$3:$AL$22, MATCH(E73, $AL$3:$AL$22, 1))) *
      (INDEX($AM$3:$AM$22, MATCH(E73, $AL$3:$AL$22, 1)+1) - INDEX($AM$3:$AM$22, MATCH(E73, $AL$3:$AL$22, 1))) /
      (INDEX($AL$3:$AL$22, MATCH(E73, $AL$3:$AL$22, 1)+1) - INDEX($AL$3:$AL$22, MATCH(E73, $AL$3:$AL$22, 1)))
    ) - H73,
    ""
  )
)</f>
        <v/>
      </c>
      <c r="AL73" s="341"/>
      <c r="AM73" s="342"/>
      <c r="AN73" s="343"/>
    </row>
    <row r="74" spans="1:40" s="315" customFormat="1" ht="15" customHeight="1" x14ac:dyDescent="0.35">
      <c r="A74" s="297">
        <f t="shared" si="53"/>
        <v>2</v>
      </c>
      <c r="B74" s="298">
        <f>+B73</f>
        <v>19</v>
      </c>
      <c r="C74" s="299">
        <f>IF(D74&gt;0,D74-D73,"")</f>
        <v>14.5</v>
      </c>
      <c r="D74" s="300">
        <v>1987.95</v>
      </c>
      <c r="E74" s="301">
        <f>IF(D74&gt;0,D74-B74,"")</f>
        <v>1968.95</v>
      </c>
      <c r="F74" s="302">
        <v>38.840000000000003</v>
      </c>
      <c r="G74" s="302">
        <v>218.6</v>
      </c>
      <c r="H74" s="303">
        <f t="shared" si="44"/>
        <v>1765.1392061054689</v>
      </c>
      <c r="I74" s="304">
        <f t="shared" si="45"/>
        <v>2.1652627323152385</v>
      </c>
      <c r="J74" s="302">
        <f>IF(L74="","",D74)</f>
        <v>1987.95</v>
      </c>
      <c r="K74" s="304">
        <f t="shared" ref="K74:K137" si="54">IF(L74="","",J74+L74)</f>
        <v>1994.95</v>
      </c>
      <c r="L74" s="302">
        <v>7</v>
      </c>
      <c r="M74" s="305" t="s">
        <v>592</v>
      </c>
      <c r="N74" s="304" t="str">
        <f>IF(SUM(IF(AND(E74&gt;K70,E73&lt;=J70),L70,0)+IF(AND(E74&gt;=K70,E73&lt;K70,E73&gt;J70),K70-E73,0)+IF(AND(E74&gt;J70,E73&lt;=J70,E74&lt;K70),E74-J70,0)+IF(AND(E74&lt;K70,E73&gt;J70,E74&gt;E73),E74-E73,0)+IF(AND(E74&gt;K71,E73&lt;=J71),L71,0)+IF(AND(E74&gt;=K71,E73&lt;K71,E73&gt;J71),K71-E73,0)+IF(AND(E74&gt;J71,E73&lt;=J71,E74&lt;K71),E74-J71,0)+IF(AND(E74&lt;K71,E73&gt;J71,E74&gt;E73),E74-E73,0)+IF(AND(E74&gt;K72,E73&lt;=J72),L72,0)+IF(AND(E74&gt;=K72,E73&lt;K72,E73&gt;J72),K72-E73,0)+IF(AND(E74&gt;J72,E73&lt;J72,E74&lt;=K72),E74-J72,0)+IF(AND(E74&lt;K72,E73&gt;J72,E74&gt;E73),E74-E73,0)+IF(AND(E74&gt;K73,E73&lt;=J73),L73,0)+IF(AND(E74&gt;=K73,E73&lt;K73,E73&gt;J73),K73-E73,0)+IF(AND(E74&gt;J73,E73&lt;J73,E74&lt;=K73),E74-J73,0)+IF(AND(E74&lt;K73,E73&gt;J73,E74&gt;E73),E74-E73,0))=0,"",SUM(IF(AND(E74&gt;K70,E73&lt;=J70),L70,0)+IF(AND(E74&gt;=K70,E73&lt;K70,E73&gt;J70),K70-E73,0)+IF(AND(E74&gt;J70,E73&lt;=J70,E74&lt;K70),E74-J70,0)+IF(AND(E74&lt;K70,E73&gt;J70,E74&gt;E73),E74-E73,0)+IF(AND(E74&gt;K71,E73&lt;=J71),L71,0)+IF(AND(E74&gt;=K71,E73&lt;K71,E73&gt;J71),K71-E73,0)+IF(AND(E74&gt;J71,E73&lt;=J71,E74&lt;K71),E74-J71,0)+IF(AND(E74&lt;K71,E73&gt;J71,E74&gt;E73),E74-E73,0)+IF(AND(E74&gt;K72,E73&lt;=J72),L72,0)+IF(AND(E74&gt;=K72,E73&lt;K72,E73&gt;J72),K72-E73,0)+IF(AND(E74&gt;J72,E73&lt;J72,E74&lt;=K72),E74-J72,0)+IF(AND(E74&lt;K72,E73&gt;J72,E74&gt;E73),E74-E73,0)+IF(AND(E74&gt;K73,E73&lt;=J73),L73,0)+IF(AND(E74&gt;=K73,E73&lt;K73,E73&gt;J73),K73-E73,0)+IF(AND(E74&gt;J73,E73&lt;J73,E74&lt;=K73),E74-J73,0)+IF(AND(E74&lt;K73,E73&gt;J73,E74&gt;E73),E74-E73,0)))</f>
        <v/>
      </c>
      <c r="O74" s="304">
        <f>SUM(IF(AND(D74&gt;K71,E74&lt;=J71),L71,0)+IF(AND(D74&gt;=K71,E74&lt;K71,E74&gt;J71),K71-E74,0)+IF(AND(D74&gt;J71,E74&lt;=J71,D74&lt;K71),D74-J71,0)+IF(AND(D74&lt;K71,E74&gt;J71,D74&gt;E74),D74-E74,0)+IF(AND(D74&gt;K72,E74&lt;=J72),L72,0)+IF(AND(D74&gt;=K72,E74&lt;K72,E74&gt;J72),K72-E74,0)+IF(AND(D74&gt;J72,E74&lt;J72,D74&lt;=K72),D74-J72,0)+IF(AND(D74&lt;K72,E74&gt;J72,D74&gt;E74),D74-E74,0)+IF(AND(D74&gt;K73,E74&lt;=J73),L73,0)+IF(AND(D74&gt;=K73,E74&lt;K73,E74&gt;J73),K73-E74,0)+IF(AND(D74&gt;J73,E74&lt;J73,D74&lt;=K73),D74-J73,0)+IF(AND(D74&lt;K73,E74&gt;J73,D74&gt;E74),D74-E74,0))</f>
        <v>8</v>
      </c>
      <c r="P74" s="306">
        <f t="shared" si="46"/>
        <v>157.95059962671883</v>
      </c>
      <c r="Q74" s="307" t="str">
        <f t="shared" si="47"/>
        <v>L</v>
      </c>
      <c r="R74" s="304">
        <f t="shared" si="35"/>
        <v>2.5089291652680479</v>
      </c>
      <c r="S74" s="304">
        <f t="shared" si="27"/>
        <v>38.294222222222231</v>
      </c>
      <c r="T74" s="304">
        <f t="shared" si="36"/>
        <v>1779.9948968955364</v>
      </c>
      <c r="U74" s="304">
        <f t="shared" si="37"/>
        <v>2.7170491367397367</v>
      </c>
      <c r="V74" s="303">
        <f t="shared" si="29"/>
        <v>-6.8222222222221948E-2</v>
      </c>
      <c r="W74" s="304">
        <f t="shared" si="38"/>
        <v>-2.0666666666666819E-2</v>
      </c>
      <c r="X74" s="304">
        <f t="shared" si="48"/>
        <v>-2.0068965517241355</v>
      </c>
      <c r="Y74" s="304">
        <f t="shared" si="39"/>
        <v>-1.2827586206896646</v>
      </c>
      <c r="Z74" s="304">
        <f t="shared" si="31"/>
        <v>2.1652627323152385</v>
      </c>
      <c r="AA74" s="308">
        <f t="shared" si="40"/>
        <v>0</v>
      </c>
      <c r="AB74" s="304">
        <f t="shared" ref="AB74:AB137" si="55">IF(L74="","",C75-L74)</f>
        <v>7.4600000000000364</v>
      </c>
      <c r="AC74" s="309"/>
      <c r="AD74" s="310">
        <f t="shared" si="41"/>
        <v>0.67788588147459761</v>
      </c>
      <c r="AE74" s="310">
        <f t="shared" si="41"/>
        <v>3.8152897448596041</v>
      </c>
      <c r="AF74" s="310">
        <f t="shared" si="42"/>
        <v>1.0001190300784493</v>
      </c>
      <c r="AG74" s="310">
        <f t="shared" si="43"/>
        <v>0.66836026226815759</v>
      </c>
      <c r="AH74" s="310">
        <f t="shared" si="50"/>
        <v>-0.62000000000000455</v>
      </c>
      <c r="AI74" s="310">
        <f t="shared" si="51"/>
        <v>14.5</v>
      </c>
      <c r="AJ74" s="311">
        <f t="shared" si="52"/>
        <v>90.481622369169287</v>
      </c>
      <c r="AK74" s="311" t="str" cm="1">
        <f t="array" ref="AK74">IF(OR(E74="", H74=""), "",
  IFERROR(
     (
      INDEX($AM$3:$AM$22, MATCH(E74, $AL$3:$AL$22, 1)) +
      (E74 - INDEX($AL$3:$AL$22, MATCH(E74, $AL$3:$AL$22, 1))) *
      (INDEX($AM$3:$AM$22, MATCH(E74, $AL$3:$AL$22, 1)+1) - INDEX($AM$3:$AM$22, MATCH(E74, $AL$3:$AL$22, 1))) /
      (INDEX($AL$3:$AL$22, MATCH(E74, $AL$3:$AL$22, 1)+1) - INDEX($AL$3:$AL$22, MATCH(E74, $AL$3:$AL$22, 1)))
    ) - H74,
    ""
  )
)</f>
        <v/>
      </c>
      <c r="AL74" s="338"/>
      <c r="AM74" s="339"/>
      <c r="AN74" s="340"/>
    </row>
    <row r="75" spans="1:40" s="315" customFormat="1" ht="15" customHeight="1" x14ac:dyDescent="0.35">
      <c r="A75" s="316">
        <f t="shared" si="53"/>
        <v>2</v>
      </c>
      <c r="B75" s="317">
        <f>+B74</f>
        <v>19</v>
      </c>
      <c r="C75" s="318">
        <f>IF(D75&gt;0,D75-D74,"")</f>
        <v>14.460000000000036</v>
      </c>
      <c r="D75" s="319">
        <v>2002.41</v>
      </c>
      <c r="E75" s="320">
        <f t="shared" ref="E75:E138" si="56">IF(D75&gt;0,D75-B75,"")</f>
        <v>1983.41</v>
      </c>
      <c r="F75" s="321">
        <v>38</v>
      </c>
      <c r="G75" s="321">
        <v>225.46</v>
      </c>
      <c r="H75" s="322">
        <f t="shared" si="44"/>
        <v>1776.4682775694928</v>
      </c>
      <c r="I75" s="323">
        <f t="shared" si="45"/>
        <v>9.0107289648951738</v>
      </c>
      <c r="J75" s="321">
        <f t="shared" ref="J75:J138" si="57">IF(L75="","",D75)</f>
        <v>2002.41</v>
      </c>
      <c r="K75" s="323">
        <f t="shared" si="54"/>
        <v>2010.41</v>
      </c>
      <c r="L75" s="321">
        <v>8</v>
      </c>
      <c r="M75" s="333" t="s">
        <v>582</v>
      </c>
      <c r="N75" s="323">
        <f>IF(SUM(IF(AND(E75&gt;K71,E74&lt;=J71),L71,0)+IF(AND(E75&gt;=K71,E74&lt;K71,E74&gt;J71),K71-E74,0)+IF(AND(E75&gt;J71,E74&lt;=J71,E75&lt;K71),E75-J71,0)+IF(AND(E75&lt;K71,E74&gt;J71,E75&gt;E74),E75-E74,0)+IF(AND(E75&gt;K72,E74&lt;=J72),L72,0)+IF(AND(E75&gt;=K72,E74&lt;K72,E74&gt;J72),K72-E74,0)+IF(AND(E75&gt;J72,E74&lt;=J72,E75&lt;K72),E75-J72,0)+IF(AND(E75&lt;K72,E74&gt;J72,E75&gt;E74),E75-E74,0)+IF(AND(E75&gt;K73,E74&lt;=J73),L73,0)+IF(AND(E75&gt;=K73,E74&lt;K73,E74&gt;J73),K73-E74,0)+IF(AND(E75&gt;J73,E74&lt;J73,E75&lt;=K73),E75-J73,0)+IF(AND(E75&lt;K73,E74&gt;J73,E75&gt;E74),E75-E74,0)+IF(AND(E75&gt;K74,E74&lt;=J74),L74,0)+IF(AND(E75&gt;=K74,E74&lt;K74,E74&gt;J74),K74-E74,0)+IF(AND(E75&gt;J74,E74&lt;J74,E75&lt;=K74),E75-J74,0)+IF(AND(E75&lt;K74,E74&gt;J74,E75&gt;E74),E75-E74,0))=0,"",SUM(IF(AND(E75&gt;K71,E74&lt;=J71),L71,0)+IF(AND(E75&gt;=K71,E74&lt;K71,E74&gt;J71),K71-E74,0)+IF(AND(E75&gt;J71,E74&lt;=J71,E75&lt;K71),E75-J71,0)+IF(AND(E75&lt;K71,E74&gt;J71,E75&gt;E74),E75-E74,0)+IF(AND(E75&gt;K72,E74&lt;=J72),L72,0)+IF(AND(E75&gt;=K72,E74&lt;K72,E74&gt;J72),K72-E74,0)+IF(AND(E75&gt;J72,E74&lt;=J72,E75&lt;K72),E75-J72,0)+IF(AND(E75&lt;K72,E74&gt;J72,E75&gt;E74),E75-E74,0)+IF(AND(E75&gt;K73,E74&lt;=J73),L73,0)+IF(AND(E75&gt;=K73,E74&lt;K73,E74&gt;J73),K73-E74,0)+IF(AND(E75&gt;J73,E74&lt;J73,E75&lt;=K73),E75-J73,0)+IF(AND(E75&lt;K73,E74&gt;J73,E75&gt;E74),E75-E74,0)+IF(AND(E75&gt;K74,E74&lt;=J74),L74,0)+IF(AND(E75&gt;=K74,E74&lt;K74,E74&gt;J74),K74-E74,0)+IF(AND(E75&gt;J74,E74&lt;J74,E75&lt;=K74),E75-J74,0)+IF(AND(E75&lt;K74,E74&gt;J74,E75&gt;E74),E75-E74,0)))</f>
        <v>8</v>
      </c>
      <c r="O75" s="323">
        <f>SUM(IF(AND(D75&gt;K72,E75&lt;=J72),L72,0)+IF(AND(D75&gt;=K72,E75&lt;K72,E75&gt;J72),K72-E75,0)+IF(AND(D75&gt;J72,E75&lt;=J72,D75&lt;K72),D75-J72,0)+IF(AND(D75&lt;K72,E75&gt;J72,D75&gt;E75),D75-E75,0)+IF(AND(D75&gt;K73,E75&lt;=J73),L73,0)+IF(AND(D75&gt;=K73,E75&lt;K73,E75&gt;J73),K73-E75,0)+IF(AND(D75&gt;J73,E75&lt;J73,D75&lt;=K73),D75-J73,0)+IF(AND(D75&lt;K73,E75&gt;J73,D75&gt;E75),D75-E75,0)+IF(AND(D75&gt;K74,E75&lt;=J74),L74,0)+IF(AND(D75&gt;=K74,E75&lt;K74,E75&gt;J74),K74-E75,0)+IF(AND(D75&gt;J74,E75&lt;J74,D75&lt;=K74),D75-J74,0)+IF(AND(D75&lt;K74,E75&gt;J74,D75&gt;E75),D75-E75,0))</f>
        <v>7</v>
      </c>
      <c r="P75" s="324">
        <f t="shared" si="46"/>
        <v>101.1516834212441</v>
      </c>
      <c r="Q75" s="325" t="str">
        <f t="shared" si="47"/>
        <v>R</v>
      </c>
      <c r="R75" s="323">
        <f t="shared" si="35"/>
        <v>2.7062354590287114</v>
      </c>
      <c r="S75" s="323">
        <f t="shared" ref="S75:S138" si="58">IF(V75="","",IF(AND(N75="",O75=""),F75,IF(O75="",O75*AVERAGE(V74,V73,V72)+F75,O75*V75+F75)))</f>
        <v>37.265000000000001</v>
      </c>
      <c r="T75" s="323">
        <f t="shared" si="36"/>
        <v>1791.5152025883951</v>
      </c>
      <c r="U75" s="323">
        <f t="shared" si="37"/>
        <v>2.9602201917859401</v>
      </c>
      <c r="V75" s="322">
        <f t="shared" si="29"/>
        <v>-0.10500000000000043</v>
      </c>
      <c r="W75" s="323">
        <f t="shared" si="38"/>
        <v>0.85750000000000171</v>
      </c>
      <c r="X75" s="323">
        <f t="shared" si="48"/>
        <v>-1.7427385892116209</v>
      </c>
      <c r="Y75" s="323">
        <f t="shared" si="39"/>
        <v>14.232365145228208</v>
      </c>
      <c r="Z75" s="323">
        <f t="shared" si="31"/>
        <v>16.286892604048067</v>
      </c>
      <c r="AA75" s="326">
        <f t="shared" si="40"/>
        <v>0.5532503457814647</v>
      </c>
      <c r="AB75" s="323">
        <f t="shared" si="55"/>
        <v>6.5</v>
      </c>
      <c r="AC75" s="327"/>
      <c r="AD75" s="328">
        <f t="shared" si="41"/>
        <v>0.66322511575784526</v>
      </c>
      <c r="AE75" s="328">
        <f t="shared" si="41"/>
        <v>3.9350193315464157</v>
      </c>
      <c r="AF75" s="328">
        <f t="shared" si="42"/>
        <v>1.002066183265611</v>
      </c>
      <c r="AG75" s="328">
        <f t="shared" si="43"/>
        <v>0.65039694575568696</v>
      </c>
      <c r="AH75" s="328">
        <f t="shared" si="50"/>
        <v>6.8600000000000136</v>
      </c>
      <c r="AI75" s="328">
        <f t="shared" si="51"/>
        <v>14.460000000000036</v>
      </c>
      <c r="AJ75" s="329">
        <f t="shared" si="52"/>
        <v>90.481622369169287</v>
      </c>
      <c r="AK75" s="329" t="str" cm="1">
        <f t="array" ref="AK75">IF(OR(E75="", H75=""), "",
  IFERROR(
     (
      INDEX($AM$3:$AM$22, MATCH(E75, $AL$3:$AL$22, 1)) +
      (E75 - INDEX($AL$3:$AL$22, MATCH(E75, $AL$3:$AL$22, 1))) *
      (INDEX($AM$3:$AM$22, MATCH(E75, $AL$3:$AL$22, 1)+1) - INDEX($AM$3:$AM$22, MATCH(E75, $AL$3:$AL$22, 1))) /
      (INDEX($AL$3:$AL$22, MATCH(E75, $AL$3:$AL$22, 1)+1) - INDEX($AL$3:$AL$22, MATCH(E75, $AL$3:$AL$22, 1)))
    ) - H75,
    ""
  )
)</f>
        <v/>
      </c>
      <c r="AL75" s="341"/>
      <c r="AM75" s="342"/>
      <c r="AN75" s="343"/>
    </row>
    <row r="76" spans="1:40" s="315" customFormat="1" ht="15" customHeight="1" x14ac:dyDescent="0.35">
      <c r="A76" s="297">
        <f t="shared" si="53"/>
        <v>2</v>
      </c>
      <c r="B76" s="298">
        <f>+B75</f>
        <v>19</v>
      </c>
      <c r="C76" s="299">
        <f t="shared" ref="C76:C139" si="59">IF(D76&gt;0,D76-D75,"")</f>
        <v>14.5</v>
      </c>
      <c r="D76" s="300">
        <v>2016.91</v>
      </c>
      <c r="E76" s="301">
        <f t="shared" si="56"/>
        <v>1997.91</v>
      </c>
      <c r="F76" s="302">
        <v>35.450000000000003</v>
      </c>
      <c r="G76" s="302">
        <v>233.13</v>
      </c>
      <c r="H76" s="303">
        <f t="shared" si="44"/>
        <v>1788.0902422385991</v>
      </c>
      <c r="I76" s="304">
        <f t="shared" si="45"/>
        <v>10.848922177832854</v>
      </c>
      <c r="J76" s="302">
        <f t="shared" si="57"/>
        <v>2016.91</v>
      </c>
      <c r="K76" s="304">
        <f t="shared" si="54"/>
        <v>2024.91</v>
      </c>
      <c r="L76" s="302">
        <v>8</v>
      </c>
      <c r="M76" s="305" t="s">
        <v>580</v>
      </c>
      <c r="N76" s="304">
        <f>IF(SUM(IF(AND(E76&gt;K72,E75&lt;=J72),L72,0)+IF(AND(E76&gt;=K72,E75&lt;K72,E75&gt;J72),K72-E75,0)+IF(AND(E76&gt;J72,E75&lt;=J72,E76&lt;K72),E76-J72,0)+IF(AND(E76&lt;K72,E75&gt;J72,E76&gt;E75),E76-E75,0)+IF(AND(E76&gt;K73,E75&lt;=J73),L73,0)+IF(AND(E76&gt;=K73,E75&lt;K73,E75&gt;J73),K73-E75,0)+IF(AND(E76&gt;J73,E75&lt;=J73,E76&lt;K73),E76-J73,0)+IF(AND(E76&lt;K73,E75&gt;J73,E76&gt;E75),E76-E75,0)+IF(AND(E76&gt;K74,E75&lt;=J74),L74,0)+IF(AND(E76&gt;=K74,E75&lt;K74,E75&gt;J74),K74-E75,0)+IF(AND(E76&gt;J74,E75&lt;J74,E76&lt;=K74),E76-J74,0)+IF(AND(E76&lt;K74,E75&gt;J74,E76&gt;E75),E76-E75,0)+IF(AND(E76&gt;K75,E75&lt;=J75),L75,0)+IF(AND(E76&gt;=K75,E75&lt;K75,E75&gt;J75),K75-E75,0)+IF(AND(E76&gt;J75,E75&lt;J75,E76&lt;=K75),E76-J75,0)+IF(AND(E76&lt;K75,E75&gt;J75,E76&gt;E75),E76-E75,0))=0,"",SUM(IF(AND(E76&gt;K72,E75&lt;=J72),L72,0)+IF(AND(E76&gt;=K72,E75&lt;K72,E75&gt;J72),K72-E75,0)+IF(AND(E76&gt;J72,E75&lt;=J72,E76&lt;K72),E76-J72,0)+IF(AND(E76&lt;K72,E75&gt;J72,E76&gt;E75),E76-E75,0)+IF(AND(E76&gt;K73,E75&lt;=J73),L73,0)+IF(AND(E76&gt;=K73,E75&lt;K73,E75&gt;J73),K73-E75,0)+IF(AND(E76&gt;J73,E75&lt;=J73,E76&lt;K73),E76-J73,0)+IF(AND(E76&lt;K73,E75&gt;J73,E76&gt;E75),E76-E75,0)+IF(AND(E76&gt;K74,E75&lt;=J74),L74,0)+IF(AND(E76&gt;=K74,E75&lt;K74,E75&gt;J74),K74-E75,0)+IF(AND(E76&gt;J74,E75&lt;J74,E76&lt;=K74),E76-J74,0)+IF(AND(E76&lt;K74,E75&gt;J74,E76&gt;E75),E76-E75,0)+IF(AND(E76&gt;K75,E75&lt;=J75),L75,0)+IF(AND(E76&gt;=K75,E75&lt;K75,E75&gt;J75),K75-E75,0)+IF(AND(E76&gt;J75,E75&lt;J75,E76&lt;=K75),E76-J75,0)+IF(AND(E76&lt;K75,E75&gt;J75,E76&gt;E75),E76-E75,0)))</f>
        <v>7</v>
      </c>
      <c r="O76" s="304">
        <f>SUM(IF(AND(D76&gt;K73,E76&lt;=J73),L73,0)+IF(AND(D76&gt;=K73,E76&lt;K73,E76&gt;J73),K73-E76,0)+IF(AND(D76&gt;J73,E76&lt;=J73,D76&lt;K73),D76-J73,0)+IF(AND(D76&lt;K73,E76&gt;J73,D76&gt;E76),D76-E76,0)+IF(AND(D76&gt;K74,E76&lt;=J74),L74,0)+IF(AND(D76&gt;=K74,E76&lt;K74,E76&gt;J74),K74-E76,0)+IF(AND(D76&gt;J74,E76&lt;J74,D76&lt;=K74),D76-J74,0)+IF(AND(D76&lt;K74,E76&gt;J74,D76&gt;E76),D76-E76,0)+IF(AND(D76&gt;K75,E76&lt;=J75),L75,0)+IF(AND(D76&gt;=K75,E76&lt;K75,E76&gt;J75),K75-E76,0)+IF(AND(D76&gt;J75,E76&lt;J75,D76&lt;=K75),D76-J75,0)+IF(AND(D76&lt;K75,E76&gt;J75,D76&gt;E76),D76-E76,0))</f>
        <v>8</v>
      </c>
      <c r="P76" s="306">
        <f t="shared" si="46"/>
        <v>119.09786868757685</v>
      </c>
      <c r="Q76" s="307" t="str">
        <f t="shared" si="47"/>
        <v>R</v>
      </c>
      <c r="R76" s="304">
        <f t="shared" si="35"/>
        <v>3.1052170423179239</v>
      </c>
      <c r="S76" s="304">
        <f t="shared" si="58"/>
        <v>32.535714285714292</v>
      </c>
      <c r="T76" s="304">
        <f t="shared" si="36"/>
        <v>1803.8432805332307</v>
      </c>
      <c r="U76" s="304">
        <f t="shared" si="37"/>
        <v>3.6653002243363173</v>
      </c>
      <c r="V76" s="303">
        <f t="shared" si="29"/>
        <v>-0.36428571428571388</v>
      </c>
      <c r="W76" s="304">
        <f t="shared" si="38"/>
        <v>1.0957142857142839</v>
      </c>
      <c r="X76" s="304">
        <f t="shared" si="48"/>
        <v>-5.2758620689655116</v>
      </c>
      <c r="Y76" s="304">
        <f t="shared" si="39"/>
        <v>15.868965517241353</v>
      </c>
      <c r="Z76" s="304">
        <f t="shared" si="31"/>
        <v>22.472767368368057</v>
      </c>
      <c r="AA76" s="308">
        <f t="shared" si="40"/>
        <v>0.48275862068965519</v>
      </c>
      <c r="AB76" s="304">
        <f t="shared" si="55"/>
        <v>6.3699999999998909</v>
      </c>
      <c r="AC76" s="309"/>
      <c r="AD76" s="310">
        <f t="shared" si="41"/>
        <v>0.61871921983198985</v>
      </c>
      <c r="AE76" s="310">
        <f t="shared" si="41"/>
        <v>4.0688860851743804</v>
      </c>
      <c r="AF76" s="310">
        <f t="shared" si="42"/>
        <v>1.002998517766142</v>
      </c>
      <c r="AG76" s="310">
        <f t="shared" si="43"/>
        <v>0.56785533877386951</v>
      </c>
      <c r="AH76" s="310">
        <f t="shared" si="50"/>
        <v>7.6699999999999875</v>
      </c>
      <c r="AI76" s="310">
        <f t="shared" si="51"/>
        <v>14.5</v>
      </c>
      <c r="AJ76" s="311">
        <f t="shared" si="52"/>
        <v>90.481622369169287</v>
      </c>
      <c r="AK76" s="311" t="str" cm="1">
        <f t="array" ref="AK76">IF(OR(E76="", H76=""), "",
  IFERROR(
     (
      INDEX($AM$3:$AM$22, MATCH(E76, $AL$3:$AL$22, 1)) +
      (E76 - INDEX($AL$3:$AL$22, MATCH(E76, $AL$3:$AL$22, 1))) *
      (INDEX($AM$3:$AM$22, MATCH(E76, $AL$3:$AL$22, 1)+1) - INDEX($AM$3:$AM$22, MATCH(E76, $AL$3:$AL$22, 1))) /
      (INDEX($AL$3:$AL$22, MATCH(E76, $AL$3:$AL$22, 1)+1) - INDEX($AL$3:$AL$22, MATCH(E76, $AL$3:$AL$22, 1)))
    ) - H76,
    ""
  )
)</f>
        <v/>
      </c>
      <c r="AL76" s="338"/>
      <c r="AM76" s="339"/>
      <c r="AN76" s="340"/>
    </row>
    <row r="77" spans="1:40" s="315" customFormat="1" ht="15" customHeight="1" x14ac:dyDescent="0.35">
      <c r="A77" s="316">
        <f t="shared" si="53"/>
        <v>2</v>
      </c>
      <c r="B77" s="317">
        <f t="shared" si="53"/>
        <v>19</v>
      </c>
      <c r="C77" s="318">
        <f t="shared" si="59"/>
        <v>14.369999999999891</v>
      </c>
      <c r="D77" s="319">
        <v>2031.28</v>
      </c>
      <c r="E77" s="320">
        <f t="shared" si="56"/>
        <v>2012.28</v>
      </c>
      <c r="F77" s="321">
        <v>36.47</v>
      </c>
      <c r="G77" s="321">
        <v>238.46</v>
      </c>
      <c r="H77" s="322">
        <f t="shared" si="44"/>
        <v>1799.7217103655182</v>
      </c>
      <c r="I77" s="323">
        <f t="shared" si="45"/>
        <v>6.8704153465577145</v>
      </c>
      <c r="J77" s="321">
        <f t="shared" si="57"/>
        <v>2031.28</v>
      </c>
      <c r="K77" s="323">
        <f t="shared" si="54"/>
        <v>2041.28</v>
      </c>
      <c r="L77" s="321">
        <v>10</v>
      </c>
      <c r="M77" s="333" t="s">
        <v>580</v>
      </c>
      <c r="N77" s="323">
        <f>IF(SUM(IF(AND(E77&gt;K73,E76&lt;=J73),L73,0)+IF(AND(E77&gt;=K73,E76&lt;K73,E76&gt;J73),K73-E76,0)+IF(AND(E77&gt;J73,E76&lt;=J73,E77&lt;K73),E77-J73,0)+IF(AND(E77&lt;K73,E76&gt;J73,E77&gt;E76),E77-E76,0)+IF(AND(E77&gt;K74,E76&lt;=J74),L74,0)+IF(AND(E77&gt;=K74,E76&lt;K74,E76&gt;J74),K74-E76,0)+IF(AND(E77&gt;J74,E76&lt;=J74,E77&lt;K74),E77-J74,0)+IF(AND(E77&lt;K74,E76&gt;J74,E77&gt;E76),E77-E76,0)+IF(AND(E77&gt;K75,E76&lt;=J75),L75,0)+IF(AND(E77&gt;=K75,E76&lt;K75,E76&gt;J75),K75-E76,0)+IF(AND(E77&gt;J75,E76&lt;J75,E77&lt;=K75),E77-J75,0)+IF(AND(E77&lt;K75,E76&gt;J75,E77&gt;E76),E77-E76,0)+IF(AND(E77&gt;K76,E76&lt;=J76),L76,0)+IF(AND(E77&gt;=K76,E76&lt;K76,E76&gt;J76),K76-E76,0)+IF(AND(E77&gt;J76,E76&lt;J76,E77&lt;=K76),E77-J76,0)+IF(AND(E77&lt;K76,E76&gt;J76,E77&gt;E76),E77-E76,0))=0,"",SUM(IF(AND(E77&gt;K73,E76&lt;=J73),L73,0)+IF(AND(E77&gt;=K73,E76&lt;K73,E76&gt;J73),K73-E76,0)+IF(AND(E77&gt;J73,E76&lt;=J73,E77&lt;K73),E77-J73,0)+IF(AND(E77&lt;K73,E76&gt;J73,E77&gt;E76),E77-E76,0)+IF(AND(E77&gt;K74,E76&lt;=J74),L74,0)+IF(AND(E77&gt;=K74,E76&lt;K74,E76&gt;J74),K74-E76,0)+IF(AND(E77&gt;J74,E76&lt;=J74,E77&lt;K74),E77-J74,0)+IF(AND(E77&lt;K74,E76&gt;J74,E77&gt;E76),E77-E76,0)+IF(AND(E77&gt;K75,E76&lt;=J75),L75,0)+IF(AND(E77&gt;=K75,E76&lt;K75,E76&gt;J75),K75-E76,0)+IF(AND(E77&gt;J75,E76&lt;J75,E77&lt;=K75),E77-J75,0)+IF(AND(E77&lt;K75,E76&gt;J75,E77&gt;E76),E77-E76,0)+IF(AND(E77&gt;K76,E76&lt;=J76),L76,0)+IF(AND(E77&gt;=K76,E76&lt;K76,E76&gt;J76),K76-E76,0)+IF(AND(E77&gt;J76,E76&lt;J76,E77&lt;=K76),E77-J76,0)+IF(AND(E77&lt;K76,E76&gt;J76,E77&gt;E76),E77-E76,0)))</f>
        <v>8</v>
      </c>
      <c r="O77" s="323">
        <f t="shared" ref="O77:O140" si="60">SUM(IF(AND(D77&gt;K74,E77&lt;=J74),L74,0)+IF(AND(D77&gt;=K74,E77&lt;K74,E77&gt;J74),K74-E77,0)+IF(AND(D77&gt;J74,E77&lt;=J74,D77&lt;K74),D77-J74,0)+IF(AND(D77&lt;K74,E77&gt;J74,D77&gt;E77),D77-E77,0)+IF(AND(D77&gt;K75,E77&lt;=J75),L75,0)+IF(AND(D77&gt;=K75,E77&lt;K75,E77&gt;J75),K75-E77,0)+IF(AND(D77&gt;J75,E77&lt;J75,D77&lt;=K75),D77-J75,0)+IF(AND(D77&lt;K75,E77&gt;J75,D77&gt;E77),D77-E77,0)+IF(AND(D77&gt;K76,E77&lt;=J76),L76,0)+IF(AND(D77&gt;=K76,E77&lt;K76,E77&gt;J76),K76-E77,0)+IF(AND(D77&gt;J76,E77&lt;J76,D77&lt;=K76),D77-J76,0)+IF(AND(D77&lt;K76,E77&gt;J76,D77&gt;E77),D77-E77,0))</f>
        <v>8</v>
      </c>
      <c r="P77" s="324">
        <f t="shared" si="46"/>
        <v>71.944211734853425</v>
      </c>
      <c r="Q77" s="325" t="str">
        <f t="shared" si="47"/>
        <v>R</v>
      </c>
      <c r="R77" s="323">
        <f t="shared" si="35"/>
        <v>3.1565949524680108</v>
      </c>
      <c r="S77" s="323">
        <f t="shared" si="58"/>
        <v>37.489999999999995</v>
      </c>
      <c r="T77" s="323">
        <f t="shared" si="36"/>
        <v>1814.8997755202622</v>
      </c>
      <c r="U77" s="323">
        <f t="shared" si="37"/>
        <v>3.2706680058656139</v>
      </c>
      <c r="V77" s="322">
        <f t="shared" ref="V77:V140" si="61">IF(F77="","",IF(N77="",IF(O77="",(F77-F76)/30,AVERAGE(V76,V75,V74)),(F77-F76)/N77))</f>
        <v>0.1274999999999995</v>
      </c>
      <c r="W77" s="323">
        <f t="shared" si="38"/>
        <v>0.66625000000000156</v>
      </c>
      <c r="X77" s="323">
        <f t="shared" si="48"/>
        <v>2.1294363256785047</v>
      </c>
      <c r="Y77" s="323">
        <f t="shared" si="39"/>
        <v>11.127348643006373</v>
      </c>
      <c r="Z77" s="323">
        <f t="shared" si="31"/>
        <v>12.3409835662542</v>
      </c>
      <c r="AA77" s="326">
        <f t="shared" si="40"/>
        <v>0.55671537926235637</v>
      </c>
      <c r="AB77" s="323">
        <f t="shared" si="55"/>
        <v>4.5</v>
      </c>
      <c r="AC77" s="327"/>
      <c r="AD77" s="328">
        <f t="shared" si="41"/>
        <v>0.63652157820233202</v>
      </c>
      <c r="AE77" s="328">
        <f t="shared" si="41"/>
        <v>4.1619121343056786</v>
      </c>
      <c r="AF77" s="328">
        <f t="shared" si="42"/>
        <v>1.0011999534411207</v>
      </c>
      <c r="AG77" s="328">
        <f t="shared" si="43"/>
        <v>0.65432393657267407</v>
      </c>
      <c r="AH77" s="328">
        <f t="shared" si="50"/>
        <v>5.3300000000000125</v>
      </c>
      <c r="AI77" s="328">
        <f t="shared" si="51"/>
        <v>14.369999999999891</v>
      </c>
      <c r="AJ77" s="329">
        <f t="shared" si="52"/>
        <v>90.481622369169287</v>
      </c>
      <c r="AK77" s="329" t="str" cm="1">
        <f t="array" ref="AK77">IF(OR(E77="", H77=""), "",
  IFERROR(
     (
      INDEX($AM$3:$AM$22, MATCH(E77, $AL$3:$AL$22, 1)) +
      (E77 - INDEX($AL$3:$AL$22, MATCH(E77, $AL$3:$AL$22, 1))) *
      (INDEX($AM$3:$AM$22, MATCH(E77, $AL$3:$AL$22, 1)+1) - INDEX($AM$3:$AM$22, MATCH(E77, $AL$3:$AL$22, 1))) /
      (INDEX($AL$3:$AL$22, MATCH(E77, $AL$3:$AL$22, 1)+1) - INDEX($AL$3:$AL$22, MATCH(E77, $AL$3:$AL$22, 1)))
    ) - H77,
    ""
  )
)</f>
        <v/>
      </c>
      <c r="AL77" s="341"/>
      <c r="AM77" s="342"/>
      <c r="AN77" s="343"/>
    </row>
    <row r="78" spans="1:40" s="315" customFormat="1" ht="15" customHeight="1" x14ac:dyDescent="0.35">
      <c r="A78" s="297">
        <f t="shared" si="53"/>
        <v>2</v>
      </c>
      <c r="B78" s="298">
        <f t="shared" si="53"/>
        <v>19</v>
      </c>
      <c r="C78" s="299">
        <f t="shared" si="59"/>
        <v>14.5</v>
      </c>
      <c r="D78" s="300">
        <v>2045.78</v>
      </c>
      <c r="E78" s="301">
        <f t="shared" si="56"/>
        <v>2026.78</v>
      </c>
      <c r="F78" s="302">
        <v>39.950000000000003</v>
      </c>
      <c r="G78" s="302">
        <v>239.53</v>
      </c>
      <c r="H78" s="303">
        <f t="shared" si="44"/>
        <v>1811.1150701199349</v>
      </c>
      <c r="I78" s="304">
        <f t="shared" si="45"/>
        <v>7.3288244768696469</v>
      </c>
      <c r="J78" s="302">
        <f t="shared" si="57"/>
        <v>2045.78</v>
      </c>
      <c r="K78" s="304">
        <f t="shared" si="54"/>
        <v>2051.7799999999997</v>
      </c>
      <c r="L78" s="302">
        <v>6</v>
      </c>
      <c r="M78" s="305" t="s">
        <v>582</v>
      </c>
      <c r="N78" s="304">
        <f t="shared" ref="N78:N141" si="62">IF(SUM(IF(AND(E78&gt;K74,E77&lt;=J74),L74,0)+IF(AND(E78&gt;=K74,E77&lt;K74,E77&gt;J74),K74-E77,0)+IF(AND(E78&gt;J74,E77&lt;=J74,E78&lt;K74),E78-J74,0)+IF(AND(E78&lt;K74,E77&gt;J74,E78&gt;E77),E78-E77,0)+IF(AND(E78&gt;K75,E77&lt;=J75),L75,0)+IF(AND(E78&gt;=K75,E77&lt;K75,E77&gt;J75),K75-E77,0)+IF(AND(E78&gt;J75,E77&lt;=J75,E78&lt;K75),E78-J75,0)+IF(AND(E78&lt;K75,E77&gt;J75,E78&gt;E77),E78-E77,0)+IF(AND(E78&gt;K76,E77&lt;=J76),L76,0)+IF(AND(E78&gt;=K76,E77&lt;K76,E77&gt;J76),K76-E77,0)+IF(AND(E78&gt;J76,E77&lt;J76,E78&lt;=K76),E78-J76,0)+IF(AND(E78&lt;K76,E77&gt;J76,E78&gt;E77),E78-E77,0)+IF(AND(E78&gt;K77,E77&lt;=J77),L77,0)+IF(AND(E78&gt;=K77,E77&lt;K77,E77&gt;J77),K77-E77,0)+IF(AND(E78&gt;J77,E77&lt;J77,E78&lt;=K77),E78-J77,0)+IF(AND(E78&lt;K77,E77&gt;J77,E78&gt;E77),E78-E77,0))=0,"",SUM(IF(AND(E78&gt;K74,E77&lt;=J74),L74,0)+IF(AND(E78&gt;=K74,E77&lt;K74,E77&gt;J74),K74-E77,0)+IF(AND(E78&gt;J74,E77&lt;=J74,E78&lt;K74),E78-J74,0)+IF(AND(E78&lt;K74,E77&gt;J74,E78&gt;E77),E78-E77,0)+IF(AND(E78&gt;K75,E77&lt;=J75),L75,0)+IF(AND(E78&gt;=K75,E77&lt;K75,E77&gt;J75),K75-E77,0)+IF(AND(E78&gt;J75,E77&lt;=J75,E78&lt;K75),E78-J75,0)+IF(AND(E78&lt;K75,E77&gt;J75,E78&gt;E77),E78-E77,0)+IF(AND(E78&gt;K76,E77&lt;=J76),L76,0)+IF(AND(E78&gt;=K76,E77&lt;K76,E77&gt;J76),K76-E77,0)+IF(AND(E78&gt;J76,E77&lt;J76,E78&lt;=K76),E78-J76,0)+IF(AND(E78&lt;K76,E77&gt;J76,E78&gt;E77),E78-E77,0)+IF(AND(E78&gt;K77,E77&lt;=J77),L77,0)+IF(AND(E78&gt;=K77,E77&lt;K77,E77&gt;J77),K77-E77,0)+IF(AND(E78&gt;J77,E77&lt;J77,E78&lt;=K77),E78-J77,0)+IF(AND(E78&lt;K77,E77&gt;J77,E78&gt;E77),E78-E77,0)))</f>
        <v>8</v>
      </c>
      <c r="O78" s="304">
        <f t="shared" si="60"/>
        <v>10</v>
      </c>
      <c r="P78" s="306">
        <f t="shared" si="46"/>
        <v>10.758652616980962</v>
      </c>
      <c r="Q78" s="307" t="str">
        <f t="shared" si="47"/>
        <v>R</v>
      </c>
      <c r="R78" s="304">
        <f t="shared" si="35"/>
        <v>2.9367156443959859</v>
      </c>
      <c r="S78" s="304">
        <f t="shared" si="58"/>
        <v>44.300000000000011</v>
      </c>
      <c r="T78" s="304">
        <f t="shared" si="36"/>
        <v>1825.2070517095119</v>
      </c>
      <c r="U78" s="304">
        <f t="shared" si="37"/>
        <v>2.6532386602476903</v>
      </c>
      <c r="V78" s="303">
        <f t="shared" si="61"/>
        <v>0.4350000000000005</v>
      </c>
      <c r="W78" s="304">
        <f t="shared" si="38"/>
        <v>0.13374999999999915</v>
      </c>
      <c r="X78" s="304">
        <f t="shared" si="48"/>
        <v>7.2000000000000082</v>
      </c>
      <c r="Y78" s="304">
        <f t="shared" si="39"/>
        <v>2.2137931034482619</v>
      </c>
      <c r="Z78" s="304">
        <f t="shared" si="31"/>
        <v>13.283494364326234</v>
      </c>
      <c r="AA78" s="308">
        <f t="shared" si="40"/>
        <v>0.55172413793103448</v>
      </c>
      <c r="AB78" s="304">
        <f t="shared" si="55"/>
        <v>3.2200000000000273</v>
      </c>
      <c r="AC78" s="309"/>
      <c r="AD78" s="310">
        <f t="shared" si="41"/>
        <v>0.69725903617173468</v>
      </c>
      <c r="AE78" s="310">
        <f t="shared" si="41"/>
        <v>4.1805871573020177</v>
      </c>
      <c r="AF78" s="310">
        <f t="shared" si="42"/>
        <v>1.0013656936731883</v>
      </c>
      <c r="AG78" s="310">
        <f t="shared" si="43"/>
        <v>0.77318085863348818</v>
      </c>
      <c r="AH78" s="310">
        <f t="shared" si="50"/>
        <v>1.0699999999999932</v>
      </c>
      <c r="AI78" s="310">
        <f t="shared" si="51"/>
        <v>14.5</v>
      </c>
      <c r="AJ78" s="311">
        <f t="shared" si="52"/>
        <v>90.481622369169287</v>
      </c>
      <c r="AK78" s="311" t="str" cm="1">
        <f t="array" ref="AK78">IF(OR(E78="", H78=""), "",
  IFERROR(
     (
      INDEX($AM$3:$AM$22, MATCH(E78, $AL$3:$AL$22, 1)) +
      (E78 - INDEX($AL$3:$AL$22, MATCH(E78, $AL$3:$AL$22, 1))) *
      (INDEX($AM$3:$AM$22, MATCH(E78, $AL$3:$AL$22, 1)+1) - INDEX($AM$3:$AM$22, MATCH(E78, $AL$3:$AL$22, 1))) /
      (INDEX($AL$3:$AL$22, MATCH(E78, $AL$3:$AL$22, 1)+1) - INDEX($AL$3:$AL$22, MATCH(E78, $AL$3:$AL$22, 1)))
    ) - H78,
    ""
  )
)</f>
        <v/>
      </c>
      <c r="AL78" s="338"/>
      <c r="AM78" s="339"/>
      <c r="AN78" s="340"/>
    </row>
    <row r="79" spans="1:40" s="315" customFormat="1" ht="15" customHeight="1" x14ac:dyDescent="0.35">
      <c r="A79" s="316">
        <f t="shared" si="53"/>
        <v>2</v>
      </c>
      <c r="B79" s="317">
        <v>19</v>
      </c>
      <c r="C79" s="318">
        <f t="shared" si="59"/>
        <v>9.2200000000000273</v>
      </c>
      <c r="D79" s="319">
        <v>2055</v>
      </c>
      <c r="E79" s="320">
        <f t="shared" si="56"/>
        <v>2036</v>
      </c>
      <c r="F79" s="321">
        <v>44.27</v>
      </c>
      <c r="G79" s="321">
        <v>241.41</v>
      </c>
      <c r="H79" s="322">
        <f t="shared" si="44"/>
        <v>1817.9550084233363</v>
      </c>
      <c r="I79" s="323">
        <f t="shared" si="45"/>
        <v>14.641370129768807</v>
      </c>
      <c r="J79" s="321">
        <f t="shared" si="57"/>
        <v>2055</v>
      </c>
      <c r="K79" s="323">
        <f t="shared" si="54"/>
        <v>2062</v>
      </c>
      <c r="L79" s="321">
        <v>7</v>
      </c>
      <c r="M79" s="333" t="s">
        <v>579</v>
      </c>
      <c r="N79" s="323">
        <f t="shared" si="62"/>
        <v>4.7200000000000273</v>
      </c>
      <c r="O79" s="323">
        <f t="shared" si="60"/>
        <v>11.279999999999973</v>
      </c>
      <c r="P79" s="324">
        <f t="shared" si="46"/>
        <v>16.25064507720467</v>
      </c>
      <c r="Q79" s="325" t="str">
        <f t="shared" si="47"/>
        <v>R</v>
      </c>
      <c r="R79" s="323">
        <f t="shared" si="35"/>
        <v>2.5614670057019535</v>
      </c>
      <c r="S79" s="323">
        <f t="shared" si="58"/>
        <v>54.594067796610091</v>
      </c>
      <c r="T79" s="323">
        <f t="shared" si="36"/>
        <v>1830.3116509994102</v>
      </c>
      <c r="U79" s="323">
        <f t="shared" si="37"/>
        <v>1.6706142458449935</v>
      </c>
      <c r="V79" s="322">
        <f t="shared" si="61"/>
        <v>0.91525423728813038</v>
      </c>
      <c r="W79" s="323">
        <f t="shared" si="38"/>
        <v>0.39830508474575943</v>
      </c>
      <c r="X79" s="323">
        <f t="shared" si="48"/>
        <v>14.056399132321003</v>
      </c>
      <c r="Y79" s="323">
        <f t="shared" si="39"/>
        <v>6.1171366594359755</v>
      </c>
      <c r="Z79" s="323">
        <f t="shared" si="31"/>
        <v>28.600303516200853</v>
      </c>
      <c r="AA79" s="326">
        <f t="shared" si="40"/>
        <v>0.51193058568329863</v>
      </c>
      <c r="AB79" s="323">
        <f t="shared" si="55"/>
        <v>12</v>
      </c>
      <c r="AC79" s="327"/>
      <c r="AD79" s="328">
        <f t="shared" si="41"/>
        <v>0.7726572598578898</v>
      </c>
      <c r="AE79" s="328">
        <f t="shared" si="41"/>
        <v>4.2133993472395108</v>
      </c>
      <c r="AF79" s="328">
        <f t="shared" si="42"/>
        <v>1.0054775005026841</v>
      </c>
      <c r="AG79" s="328">
        <f t="shared" si="43"/>
        <v>0.95284623510785205</v>
      </c>
      <c r="AH79" s="328">
        <f t="shared" si="50"/>
        <v>1.8799999999999955</v>
      </c>
      <c r="AI79" s="328">
        <f t="shared" si="51"/>
        <v>9.2200000000000273</v>
      </c>
      <c r="AJ79" s="329">
        <f t="shared" si="52"/>
        <v>90.481622369169287</v>
      </c>
      <c r="AK79" s="329" t="str" cm="1">
        <f t="array" ref="AK79">IF(OR(E79="", H79=""), "",
  IFERROR(
     (
      INDEX($AM$3:$AM$22, MATCH(E79, $AL$3:$AL$22, 1)) +
      (E79 - INDEX($AL$3:$AL$22, MATCH(E79, $AL$3:$AL$22, 1))) *
      (INDEX($AM$3:$AM$22, MATCH(E79, $AL$3:$AL$22, 1)+1) - INDEX($AM$3:$AM$22, MATCH(E79, $AL$3:$AL$22, 1))) /
      (INDEX($AL$3:$AL$22, MATCH(E79, $AL$3:$AL$22, 1)+1) - INDEX($AL$3:$AL$22, MATCH(E79, $AL$3:$AL$22, 1)))
    ) - H79,
    ""
  )
)</f>
        <v/>
      </c>
      <c r="AL79" s="341"/>
      <c r="AM79" s="342"/>
      <c r="AN79" s="343"/>
    </row>
    <row r="80" spans="1:40" s="315" customFormat="1" ht="15" customHeight="1" x14ac:dyDescent="0.35">
      <c r="A80" s="297">
        <v>3</v>
      </c>
      <c r="B80" s="298">
        <f t="shared" ref="B80:B86" si="63">+B79</f>
        <v>19</v>
      </c>
      <c r="C80" s="299">
        <f t="shared" si="59"/>
        <v>19</v>
      </c>
      <c r="D80" s="300">
        <v>2074</v>
      </c>
      <c r="E80" s="301">
        <f t="shared" si="56"/>
        <v>2055</v>
      </c>
      <c r="F80" s="302">
        <v>44.9</v>
      </c>
      <c r="G80" s="302">
        <v>245.31</v>
      </c>
      <c r="H80" s="303">
        <f t="shared" si="44"/>
        <v>1831.48699547506</v>
      </c>
      <c r="I80" s="304">
        <f t="shared" si="45"/>
        <v>4.4351165276000444</v>
      </c>
      <c r="J80" s="302">
        <f t="shared" si="57"/>
        <v>2074</v>
      </c>
      <c r="K80" s="304">
        <f t="shared" si="54"/>
        <v>2081</v>
      </c>
      <c r="L80" s="302">
        <v>7</v>
      </c>
      <c r="M80" s="305" t="s">
        <v>579</v>
      </c>
      <c r="N80" s="304">
        <f t="shared" si="62"/>
        <v>11.279999999999973</v>
      </c>
      <c r="O80" s="304">
        <f t="shared" si="60"/>
        <v>7</v>
      </c>
      <c r="P80" s="306">
        <f t="shared" si="46"/>
        <v>77.039073597721895</v>
      </c>
      <c r="Q80" s="307" t="str">
        <f t="shared" si="47"/>
        <v>R</v>
      </c>
      <c r="R80" s="304">
        <f t="shared" si="35"/>
        <v>2.6735695478661214</v>
      </c>
      <c r="S80" s="304">
        <f t="shared" si="58"/>
        <v>45.290957446808505</v>
      </c>
      <c r="T80" s="304">
        <f t="shared" si="36"/>
        <v>1844.8996172986845</v>
      </c>
      <c r="U80" s="304">
        <f t="shared" si="37"/>
        <v>2.8305376491416467</v>
      </c>
      <c r="V80" s="303">
        <f t="shared" si="61"/>
        <v>5.5851063829786968E-2</v>
      </c>
      <c r="W80" s="304">
        <f t="shared" si="38"/>
        <v>0.34574468085106519</v>
      </c>
      <c r="X80" s="304">
        <f t="shared" si="48"/>
        <v>0.99473684210525593</v>
      </c>
      <c r="Y80" s="304">
        <f t="shared" si="39"/>
        <v>6.1578947368421142</v>
      </c>
      <c r="Z80" s="304">
        <f t="shared" si="31"/>
        <v>7.4704976971986738</v>
      </c>
      <c r="AA80" s="308">
        <f t="shared" si="40"/>
        <v>0.59368421052631437</v>
      </c>
      <c r="AB80" s="304">
        <f t="shared" si="55"/>
        <v>5.6799999999998363</v>
      </c>
      <c r="AC80" s="309"/>
      <c r="AD80" s="310">
        <f t="shared" si="41"/>
        <v>0.78365283414545395</v>
      </c>
      <c r="AE80" s="310">
        <f t="shared" si="41"/>
        <v>4.2814671880672899</v>
      </c>
      <c r="AF80" s="310">
        <f t="shared" si="42"/>
        <v>1.0004996246578512</v>
      </c>
      <c r="AG80" s="310">
        <f t="shared" si="43"/>
        <v>0.790476328827453</v>
      </c>
      <c r="AH80" s="310">
        <f t="shared" si="50"/>
        <v>3.9000000000000057</v>
      </c>
      <c r="AI80" s="310">
        <f t="shared" si="51"/>
        <v>19</v>
      </c>
      <c r="AJ80" s="311">
        <f t="shared" si="52"/>
        <v>90.481622369169287</v>
      </c>
      <c r="AK80" s="311" t="str" cm="1">
        <f t="array" ref="AK80">IF(OR(E80="", H80=""), "",
  IFERROR(
     (
      INDEX($AM$3:$AM$22, MATCH(E80, $AL$3:$AL$22, 1)) +
      (E80 - INDEX($AL$3:$AL$22, MATCH(E80, $AL$3:$AL$22, 1))) *
      (INDEX($AM$3:$AM$22, MATCH(E80, $AL$3:$AL$22, 1)+1) - INDEX($AM$3:$AM$22, MATCH(E80, $AL$3:$AL$22, 1))) /
      (INDEX($AL$3:$AL$22, MATCH(E80, $AL$3:$AL$22, 1)+1) - INDEX($AL$3:$AL$22, MATCH(E80, $AL$3:$AL$22, 1)))
    ) - H80,
    ""
  )
)</f>
        <v/>
      </c>
      <c r="AL80" s="338"/>
      <c r="AM80" s="339"/>
      <c r="AN80" s="340"/>
    </row>
    <row r="81" spans="1:40" s="315" customFormat="1" ht="15" customHeight="1" x14ac:dyDescent="0.35">
      <c r="A81" s="316">
        <f t="shared" ref="A81:B96" si="64">+A80</f>
        <v>3</v>
      </c>
      <c r="B81" s="317">
        <f t="shared" si="63"/>
        <v>19</v>
      </c>
      <c r="C81" s="318">
        <f t="shared" si="59"/>
        <v>12.679999999999836</v>
      </c>
      <c r="D81" s="319">
        <v>2086.6799999999998</v>
      </c>
      <c r="E81" s="320">
        <f t="shared" si="56"/>
        <v>2067.6799999999998</v>
      </c>
      <c r="F81" s="321">
        <v>43.57</v>
      </c>
      <c r="G81" s="321">
        <v>250.74</v>
      </c>
      <c r="H81" s="322">
        <f t="shared" si="44"/>
        <v>1840.5720202029393</v>
      </c>
      <c r="I81" s="323">
        <f t="shared" si="45"/>
        <v>9.4960577307000218</v>
      </c>
      <c r="J81" s="321">
        <f t="shared" si="57"/>
        <v>2086.6799999999998</v>
      </c>
      <c r="K81" s="323">
        <f t="shared" si="54"/>
        <v>2091.6799999999998</v>
      </c>
      <c r="L81" s="321">
        <v>5</v>
      </c>
      <c r="M81" s="333" t="s">
        <v>579</v>
      </c>
      <c r="N81" s="323">
        <f t="shared" si="62"/>
        <v>7</v>
      </c>
      <c r="O81" s="323">
        <f t="shared" si="60"/>
        <v>7</v>
      </c>
      <c r="P81" s="324">
        <f t="shared" si="46"/>
        <v>109.35181602524426</v>
      </c>
      <c r="Q81" s="325" t="str">
        <f t="shared" si="47"/>
        <v>R</v>
      </c>
      <c r="R81" s="323">
        <f t="shared" si="35"/>
        <v>2.967294139916334</v>
      </c>
      <c r="S81" s="323">
        <f t="shared" si="58"/>
        <v>42.24</v>
      </c>
      <c r="T81" s="323">
        <f t="shared" si="36"/>
        <v>1854.4892065489612</v>
      </c>
      <c r="U81" s="323">
        <f t="shared" si="37"/>
        <v>3.3918539892139008</v>
      </c>
      <c r="V81" s="322">
        <f t="shared" si="61"/>
        <v>-0.18999999999999975</v>
      </c>
      <c r="W81" s="323">
        <f t="shared" si="38"/>
        <v>0.77571428571428669</v>
      </c>
      <c r="X81" s="323">
        <f t="shared" si="48"/>
        <v>-3.1466876971609197</v>
      </c>
      <c r="Y81" s="323">
        <f t="shared" si="39"/>
        <v>12.847003154574315</v>
      </c>
      <c r="Z81" s="323">
        <f t="shared" si="31"/>
        <v>17.201430289324961</v>
      </c>
      <c r="AA81" s="326">
        <f t="shared" si="40"/>
        <v>0.55205047318612699</v>
      </c>
      <c r="AB81" s="323">
        <f t="shared" si="55"/>
        <v>9</v>
      </c>
      <c r="AC81" s="327"/>
      <c r="AD81" s="328">
        <f t="shared" si="41"/>
        <v>0.76043995509392937</v>
      </c>
      <c r="AE81" s="328">
        <f t="shared" si="41"/>
        <v>4.3762385664505823</v>
      </c>
      <c r="AF81" s="328">
        <f t="shared" si="42"/>
        <v>1.0022953812078987</v>
      </c>
      <c r="AG81" s="328">
        <f t="shared" si="43"/>
        <v>0.73722707604240478</v>
      </c>
      <c r="AH81" s="328">
        <f t="shared" si="50"/>
        <v>5.4300000000000068</v>
      </c>
      <c r="AI81" s="328">
        <f t="shared" si="51"/>
        <v>12.679999999999836</v>
      </c>
      <c r="AJ81" s="329">
        <f t="shared" si="52"/>
        <v>90.481622369169287</v>
      </c>
      <c r="AK81" s="329" t="str" cm="1">
        <f t="array" ref="AK81">IF(OR(E81="", H81=""), "",
  IFERROR(
     (
      INDEX($AM$3:$AM$22, MATCH(E81, $AL$3:$AL$22, 1)) +
      (E81 - INDEX($AL$3:$AL$22, MATCH(E81, $AL$3:$AL$22, 1))) *
      (INDEX($AM$3:$AM$22, MATCH(E81, $AL$3:$AL$22, 1)+1) - INDEX($AM$3:$AM$22, MATCH(E81, $AL$3:$AL$22, 1))) /
      (INDEX($AL$3:$AL$22, MATCH(E81, $AL$3:$AL$22, 1)+1) - INDEX($AL$3:$AL$22, MATCH(E81, $AL$3:$AL$22, 1)))
    ) - H81,
    ""
  )
)</f>
        <v/>
      </c>
      <c r="AL81" s="341"/>
      <c r="AM81" s="342"/>
      <c r="AN81" s="343"/>
    </row>
    <row r="82" spans="1:40" s="315" customFormat="1" ht="15" customHeight="1" x14ac:dyDescent="0.35">
      <c r="A82" s="297">
        <f t="shared" si="64"/>
        <v>3</v>
      </c>
      <c r="B82" s="298">
        <f t="shared" si="63"/>
        <v>19</v>
      </c>
      <c r="C82" s="299">
        <f t="shared" si="59"/>
        <v>14</v>
      </c>
      <c r="D82" s="300">
        <v>2100.6799999999998</v>
      </c>
      <c r="E82" s="301">
        <f t="shared" si="56"/>
        <v>2081.6799999999998</v>
      </c>
      <c r="F82" s="302">
        <v>41.78</v>
      </c>
      <c r="G82" s="302">
        <v>256.19</v>
      </c>
      <c r="H82" s="303">
        <f t="shared" si="44"/>
        <v>1850.8649661971683</v>
      </c>
      <c r="I82" s="304">
        <f t="shared" si="45"/>
        <v>8.7937559881894565</v>
      </c>
      <c r="J82" s="302">
        <f t="shared" si="57"/>
        <v>2100.6799999999998</v>
      </c>
      <c r="K82" s="304">
        <f t="shared" si="54"/>
        <v>2105.6799999999998</v>
      </c>
      <c r="L82" s="302">
        <v>5</v>
      </c>
      <c r="M82" s="305" t="s">
        <v>593</v>
      </c>
      <c r="N82" s="304">
        <f t="shared" si="62"/>
        <v>7</v>
      </c>
      <c r="O82" s="304">
        <f t="shared" si="60"/>
        <v>5</v>
      </c>
      <c r="P82" s="306">
        <f t="shared" si="46"/>
        <v>115.86079243959581</v>
      </c>
      <c r="Q82" s="307" t="str">
        <f t="shared" si="47"/>
        <v>R</v>
      </c>
      <c r="R82" s="304">
        <f t="shared" si="35"/>
        <v>3.3798448035792874</v>
      </c>
      <c r="S82" s="304">
        <f t="shared" si="58"/>
        <v>40.501428571428576</v>
      </c>
      <c r="T82" s="304">
        <f t="shared" si="36"/>
        <v>1865.1737915713952</v>
      </c>
      <c r="U82" s="304">
        <f t="shared" si="37"/>
        <v>3.8768636263593046</v>
      </c>
      <c r="V82" s="303">
        <f t="shared" si="61"/>
        <v>-0.25571428571428562</v>
      </c>
      <c r="W82" s="304">
        <f t="shared" si="38"/>
        <v>0.77857142857142692</v>
      </c>
      <c r="X82" s="304">
        <f t="shared" si="48"/>
        <v>-3.8357142857142841</v>
      </c>
      <c r="Y82" s="304">
        <f t="shared" si="39"/>
        <v>11.678571428571404</v>
      </c>
      <c r="Z82" s="304">
        <f t="shared" si="31"/>
        <v>17.587511976378913</v>
      </c>
      <c r="AA82" s="308">
        <f t="shared" si="40"/>
        <v>0.5</v>
      </c>
      <c r="AB82" s="304">
        <f t="shared" si="55"/>
        <v>10.070000000000164</v>
      </c>
      <c r="AC82" s="309"/>
      <c r="AD82" s="310">
        <f t="shared" si="41"/>
        <v>0.72919856148323092</v>
      </c>
      <c r="AE82" s="310">
        <f t="shared" si="41"/>
        <v>4.4713590106842727</v>
      </c>
      <c r="AF82" s="310">
        <f t="shared" si="42"/>
        <v>1.0019676442219263</v>
      </c>
      <c r="AG82" s="310">
        <f t="shared" si="43"/>
        <v>0.70688328033273207</v>
      </c>
      <c r="AH82" s="310">
        <f t="shared" si="50"/>
        <v>5.4499999999999886</v>
      </c>
      <c r="AI82" s="310">
        <f t="shared" si="51"/>
        <v>14</v>
      </c>
      <c r="AJ82" s="311">
        <f t="shared" si="52"/>
        <v>90.481622369169287</v>
      </c>
      <c r="AK82" s="311" t="str" cm="1">
        <f t="array" ref="AK82">IF(OR(E82="", H82=""), "",
  IFERROR(
     (
      INDEX($AM$3:$AM$22, MATCH(E82, $AL$3:$AL$22, 1)) +
      (E82 - INDEX($AL$3:$AL$22, MATCH(E82, $AL$3:$AL$22, 1))) *
      (INDEX($AM$3:$AM$22, MATCH(E82, $AL$3:$AL$22, 1)+1) - INDEX($AM$3:$AM$22, MATCH(E82, $AL$3:$AL$22, 1))) /
      (INDEX($AL$3:$AL$22, MATCH(E82, $AL$3:$AL$22, 1)+1) - INDEX($AL$3:$AL$22, MATCH(E82, $AL$3:$AL$22, 1)))
    ) - H82,
    ""
  )
)</f>
        <v/>
      </c>
      <c r="AL82" s="338"/>
      <c r="AM82" s="339"/>
      <c r="AN82" s="340"/>
    </row>
    <row r="83" spans="1:40" s="315" customFormat="1" ht="15" customHeight="1" x14ac:dyDescent="0.35">
      <c r="A83" s="316">
        <f t="shared" si="64"/>
        <v>3</v>
      </c>
      <c r="B83" s="317">
        <f t="shared" si="63"/>
        <v>19</v>
      </c>
      <c r="C83" s="318">
        <f t="shared" si="59"/>
        <v>15.070000000000164</v>
      </c>
      <c r="D83" s="319">
        <v>2115.75</v>
      </c>
      <c r="E83" s="320">
        <f t="shared" si="56"/>
        <v>2096.75</v>
      </c>
      <c r="F83" s="321">
        <v>41.03</v>
      </c>
      <c r="G83" s="321">
        <v>260.32</v>
      </c>
      <c r="H83" s="322">
        <f t="shared" si="44"/>
        <v>1862.1682702785258</v>
      </c>
      <c r="I83" s="323">
        <f t="shared" si="45"/>
        <v>5.6380314583034021</v>
      </c>
      <c r="J83" s="321">
        <f t="shared" si="57"/>
        <v>2115.75</v>
      </c>
      <c r="K83" s="323">
        <f t="shared" si="54"/>
        <v>2121.25</v>
      </c>
      <c r="L83" s="321">
        <v>5.5</v>
      </c>
      <c r="M83" s="333" t="s">
        <v>582</v>
      </c>
      <c r="N83" s="323">
        <f t="shared" si="62"/>
        <v>5</v>
      </c>
      <c r="O83" s="323">
        <f t="shared" si="60"/>
        <v>5</v>
      </c>
      <c r="P83" s="324">
        <f t="shared" si="46"/>
        <v>105.35593100345621</v>
      </c>
      <c r="Q83" s="325" t="str">
        <f t="shared" si="47"/>
        <v>R</v>
      </c>
      <c r="R83" s="323">
        <f t="shared" si="35"/>
        <v>3.7275070856724866</v>
      </c>
      <c r="S83" s="323">
        <f t="shared" si="58"/>
        <v>40.28</v>
      </c>
      <c r="T83" s="323">
        <f t="shared" si="36"/>
        <v>1876.5825492034407</v>
      </c>
      <c r="U83" s="323">
        <f t="shared" si="37"/>
        <v>4.2191141982687004</v>
      </c>
      <c r="V83" s="322">
        <f t="shared" si="61"/>
        <v>-0.15</v>
      </c>
      <c r="W83" s="323">
        <f t="shared" si="38"/>
        <v>0.82599999999999907</v>
      </c>
      <c r="X83" s="323">
        <f t="shared" si="48"/>
        <v>-1.493032514930309</v>
      </c>
      <c r="Y83" s="323">
        <f t="shared" si="39"/>
        <v>8.2216323822162263</v>
      </c>
      <c r="Z83" s="323">
        <f t="shared" si="31"/>
        <v>16.993026815326637</v>
      </c>
      <c r="AA83" s="326">
        <f t="shared" si="40"/>
        <v>0.33178500331784644</v>
      </c>
      <c r="AB83" s="323">
        <f t="shared" si="55"/>
        <v>8.5</v>
      </c>
      <c r="AC83" s="327"/>
      <c r="AD83" s="328">
        <f t="shared" si="41"/>
        <v>0.71610859209327349</v>
      </c>
      <c r="AE83" s="328">
        <f t="shared" si="41"/>
        <v>4.5434411087916384</v>
      </c>
      <c r="AF83" s="328">
        <f t="shared" si="42"/>
        <v>1.0008076983847631</v>
      </c>
      <c r="AG83" s="328">
        <f t="shared" si="43"/>
        <v>0.70301862270331594</v>
      </c>
      <c r="AH83" s="328">
        <f t="shared" si="50"/>
        <v>4.1299999999999955</v>
      </c>
      <c r="AI83" s="328">
        <f t="shared" si="51"/>
        <v>15.070000000000164</v>
      </c>
      <c r="AJ83" s="329">
        <f t="shared" si="52"/>
        <v>90.481622369169287</v>
      </c>
      <c r="AK83" s="329" t="str" cm="1">
        <f t="array" ref="AK83">IF(OR(E83="", H83=""), "",
  IFERROR(
     (
      INDEX($AM$3:$AM$22, MATCH(E83, $AL$3:$AL$22, 1)) +
      (E83 - INDEX($AL$3:$AL$22, MATCH(E83, $AL$3:$AL$22, 1))) *
      (INDEX($AM$3:$AM$22, MATCH(E83, $AL$3:$AL$22, 1)+1) - INDEX($AM$3:$AM$22, MATCH(E83, $AL$3:$AL$22, 1))) /
      (INDEX($AL$3:$AL$22, MATCH(E83, $AL$3:$AL$22, 1)+1) - INDEX($AL$3:$AL$22, MATCH(E83, $AL$3:$AL$22, 1)))
    ) - H83,
    ""
  )
)</f>
        <v/>
      </c>
      <c r="AL83" s="341"/>
      <c r="AM83" s="342"/>
      <c r="AN83" s="343"/>
    </row>
    <row r="84" spans="1:40" s="315" customFormat="1" ht="15" customHeight="1" x14ac:dyDescent="0.35">
      <c r="A84" s="297">
        <f t="shared" si="64"/>
        <v>3</v>
      </c>
      <c r="B84" s="298">
        <f t="shared" si="63"/>
        <v>19</v>
      </c>
      <c r="C84" s="299">
        <f t="shared" si="59"/>
        <v>14</v>
      </c>
      <c r="D84" s="300">
        <v>2129.75</v>
      </c>
      <c r="E84" s="301">
        <f t="shared" si="56"/>
        <v>2110.75</v>
      </c>
      <c r="F84" s="302">
        <v>41.18</v>
      </c>
      <c r="G84" s="302">
        <v>263.88</v>
      </c>
      <c r="H84" s="303">
        <f t="shared" si="44"/>
        <v>1872.7173545952066</v>
      </c>
      <c r="I84" s="304">
        <f t="shared" si="45"/>
        <v>5.0251609035948057</v>
      </c>
      <c r="J84" s="302">
        <f t="shared" si="57"/>
        <v>2129.75</v>
      </c>
      <c r="K84" s="304">
        <f t="shared" si="54"/>
        <v>2136.25</v>
      </c>
      <c r="L84" s="302">
        <v>6.5</v>
      </c>
      <c r="M84" s="305" t="s">
        <v>582</v>
      </c>
      <c r="N84" s="304">
        <f t="shared" si="62"/>
        <v>5</v>
      </c>
      <c r="O84" s="304">
        <f t="shared" si="60"/>
        <v>5.5</v>
      </c>
      <c r="P84" s="306">
        <f t="shared" si="46"/>
        <v>86.332638453611111</v>
      </c>
      <c r="Q84" s="307" t="str">
        <f t="shared" si="47"/>
        <v>R</v>
      </c>
      <c r="R84" s="304">
        <f t="shared" si="35"/>
        <v>3.9704751536069214</v>
      </c>
      <c r="S84" s="304">
        <f t="shared" si="58"/>
        <v>41.344999999999999</v>
      </c>
      <c r="T84" s="304">
        <f t="shared" si="36"/>
        <v>1886.9995775054688</v>
      </c>
      <c r="U84" s="304">
        <f t="shared" si="37"/>
        <v>4.3670760213107274</v>
      </c>
      <c r="V84" s="303">
        <f t="shared" si="61"/>
        <v>2.9999999999999714E-2</v>
      </c>
      <c r="W84" s="304">
        <f t="shared" si="38"/>
        <v>0.71200000000000041</v>
      </c>
      <c r="X84" s="304">
        <f t="shared" si="48"/>
        <v>0.3214285714285684</v>
      </c>
      <c r="Y84" s="304">
        <f t="shared" si="39"/>
        <v>7.6285714285714334</v>
      </c>
      <c r="Z84" s="304">
        <f t="shared" si="31"/>
        <v>14.070450530065456</v>
      </c>
      <c r="AA84" s="308">
        <f t="shared" si="40"/>
        <v>0.35714285714285715</v>
      </c>
      <c r="AB84" s="304">
        <f t="shared" si="55"/>
        <v>8.5599999999999454</v>
      </c>
      <c r="AC84" s="309"/>
      <c r="AD84" s="310">
        <f t="shared" si="41"/>
        <v>0.71872658597126493</v>
      </c>
      <c r="AE84" s="310">
        <f t="shared" si="41"/>
        <v>4.6055748301626371</v>
      </c>
      <c r="AF84" s="310">
        <f t="shared" si="42"/>
        <v>1.0006415162124984</v>
      </c>
      <c r="AG84" s="310">
        <f t="shared" si="43"/>
        <v>0.72160637923705551</v>
      </c>
      <c r="AH84" s="310">
        <f t="shared" si="50"/>
        <v>3.5600000000000023</v>
      </c>
      <c r="AI84" s="310">
        <f t="shared" si="51"/>
        <v>14</v>
      </c>
      <c r="AJ84" s="311">
        <f t="shared" si="52"/>
        <v>90.481622369169287</v>
      </c>
      <c r="AK84" s="311" t="str" cm="1">
        <f t="array" ref="AK84">IF(OR(E84="", H84=""), "",
  IFERROR(
     (
      INDEX($AM$3:$AM$22, MATCH(E84, $AL$3:$AL$22, 1)) +
      (E84 - INDEX($AL$3:$AL$22, MATCH(E84, $AL$3:$AL$22, 1))) *
      (INDEX($AM$3:$AM$22, MATCH(E84, $AL$3:$AL$22, 1)+1) - INDEX($AM$3:$AM$22, MATCH(E84, $AL$3:$AL$22, 1))) /
      (INDEX($AL$3:$AL$22, MATCH(E84, $AL$3:$AL$22, 1)+1) - INDEX($AL$3:$AL$22, MATCH(E84, $AL$3:$AL$22, 1)))
    ) - H84,
    ""
  )
)</f>
        <v/>
      </c>
      <c r="AL84" s="338"/>
      <c r="AM84" s="339"/>
      <c r="AN84" s="340"/>
    </row>
    <row r="85" spans="1:40" s="315" customFormat="1" ht="15" customHeight="1" x14ac:dyDescent="0.35">
      <c r="A85" s="316">
        <f t="shared" si="64"/>
        <v>3</v>
      </c>
      <c r="B85" s="317">
        <f t="shared" si="63"/>
        <v>19</v>
      </c>
      <c r="C85" s="318">
        <f t="shared" si="59"/>
        <v>15.059999999999945</v>
      </c>
      <c r="D85" s="319">
        <v>2144.81</v>
      </c>
      <c r="E85" s="320">
        <f t="shared" si="56"/>
        <v>2125.81</v>
      </c>
      <c r="F85" s="321">
        <v>41.59</v>
      </c>
      <c r="G85" s="321">
        <v>267.68</v>
      </c>
      <c r="H85" s="322">
        <f t="shared" si="44"/>
        <v>1884.0166342701655</v>
      </c>
      <c r="I85" s="323">
        <f t="shared" si="45"/>
        <v>5.0701066589158224</v>
      </c>
      <c r="J85" s="321">
        <f t="shared" si="57"/>
        <v>2144.81</v>
      </c>
      <c r="K85" s="323">
        <f t="shared" si="54"/>
        <v>2150.81</v>
      </c>
      <c r="L85" s="321">
        <v>6</v>
      </c>
      <c r="M85" s="333" t="s">
        <v>594</v>
      </c>
      <c r="N85" s="323">
        <f t="shared" si="62"/>
        <v>5.5</v>
      </c>
      <c r="O85" s="323">
        <f t="shared" si="60"/>
        <v>6.5</v>
      </c>
      <c r="P85" s="324">
        <f t="shared" si="46"/>
        <v>80.729949871644919</v>
      </c>
      <c r="Q85" s="325" t="str">
        <f t="shared" si="47"/>
        <v>R</v>
      </c>
      <c r="R85" s="323">
        <f t="shared" si="35"/>
        <v>4.2313733498701538</v>
      </c>
      <c r="S85" s="323">
        <f t="shared" si="58"/>
        <v>42.074545454545465</v>
      </c>
      <c r="T85" s="323">
        <f t="shared" si="36"/>
        <v>1898.1735427593678</v>
      </c>
      <c r="U85" s="323">
        <f t="shared" si="37"/>
        <v>4.63219642203752</v>
      </c>
      <c r="V85" s="322">
        <f t="shared" si="61"/>
        <v>7.454545454545522E-2</v>
      </c>
      <c r="W85" s="323">
        <f t="shared" si="38"/>
        <v>0.69090909090909303</v>
      </c>
      <c r="X85" s="323">
        <f t="shared" si="48"/>
        <v>0.81673306772909393</v>
      </c>
      <c r="Y85" s="323">
        <f t="shared" si="39"/>
        <v>7.5697211155378987</v>
      </c>
      <c r="Z85" s="323">
        <f t="shared" si="31"/>
        <v>13.882873869685818</v>
      </c>
      <c r="AA85" s="326">
        <f t="shared" si="40"/>
        <v>0.36520584329349404</v>
      </c>
      <c r="AB85" s="323">
        <f t="shared" si="55"/>
        <v>7.9999999999995453</v>
      </c>
      <c r="AC85" s="327"/>
      <c r="AD85" s="328">
        <f t="shared" si="41"/>
        <v>0.72588243590444168</v>
      </c>
      <c r="AE85" s="328">
        <f t="shared" si="41"/>
        <v>4.6718973417384211</v>
      </c>
      <c r="AF85" s="328">
        <f t="shared" si="42"/>
        <v>1.0006530521905839</v>
      </c>
      <c r="AG85" s="328">
        <f t="shared" si="43"/>
        <v>0.73433934946183255</v>
      </c>
      <c r="AH85" s="328">
        <f t="shared" si="50"/>
        <v>3.8000000000000114</v>
      </c>
      <c r="AI85" s="328">
        <f t="shared" si="51"/>
        <v>15.059999999999945</v>
      </c>
      <c r="AJ85" s="329">
        <f t="shared" si="52"/>
        <v>90.481622369169287</v>
      </c>
      <c r="AK85" s="329" t="str" cm="1">
        <f t="array" ref="AK85">IF(OR(E85="", H85=""), "",
  IFERROR(
     (
      INDEX($AM$3:$AM$22, MATCH(E85, $AL$3:$AL$22, 1)) +
      (E85 - INDEX($AL$3:$AL$22, MATCH(E85, $AL$3:$AL$22, 1))) *
      (INDEX($AM$3:$AM$22, MATCH(E85, $AL$3:$AL$22, 1)+1) - INDEX($AM$3:$AM$22, MATCH(E85, $AL$3:$AL$22, 1))) /
      (INDEX($AL$3:$AL$22, MATCH(E85, $AL$3:$AL$22, 1)+1) - INDEX($AL$3:$AL$22, MATCH(E85, $AL$3:$AL$22, 1)))
    ) - H85,
    ""
  )
)</f>
        <v/>
      </c>
      <c r="AL85" s="341"/>
      <c r="AM85" s="342"/>
      <c r="AN85" s="343"/>
    </row>
    <row r="86" spans="1:40" s="315" customFormat="1" ht="15" customHeight="1" x14ac:dyDescent="0.35">
      <c r="A86" s="297">
        <f t="shared" si="64"/>
        <v>3</v>
      </c>
      <c r="B86" s="298">
        <f t="shared" si="63"/>
        <v>19</v>
      </c>
      <c r="C86" s="299">
        <f t="shared" si="59"/>
        <v>13.999999999999545</v>
      </c>
      <c r="D86" s="300">
        <v>2158.8099999999995</v>
      </c>
      <c r="E86" s="301">
        <f t="shared" si="56"/>
        <v>2139.8099999999995</v>
      </c>
      <c r="F86" s="302">
        <v>42.91</v>
      </c>
      <c r="G86" s="302">
        <v>271.85000000000002</v>
      </c>
      <c r="H86" s="303">
        <f t="shared" si="44"/>
        <v>1894.3796880549808</v>
      </c>
      <c r="I86" s="304">
        <f t="shared" si="45"/>
        <v>6.6394036323541741</v>
      </c>
      <c r="J86" s="302">
        <f t="shared" si="57"/>
        <v>2158.8099999999995</v>
      </c>
      <c r="K86" s="304">
        <f t="shared" si="54"/>
        <v>2165.3099999999995</v>
      </c>
      <c r="L86" s="302">
        <v>6.5</v>
      </c>
      <c r="M86" s="305" t="s">
        <v>594</v>
      </c>
      <c r="N86" s="304">
        <f t="shared" si="62"/>
        <v>6.5</v>
      </c>
      <c r="O86" s="304">
        <f t="shared" si="60"/>
        <v>6</v>
      </c>
      <c r="P86" s="306">
        <f t="shared" si="46"/>
        <v>64.784254203811471</v>
      </c>
      <c r="Q86" s="307" t="str">
        <f t="shared" si="47"/>
        <v>R</v>
      </c>
      <c r="R86" s="304">
        <f t="shared" si="35"/>
        <v>4.3465354868127761</v>
      </c>
      <c r="S86" s="304">
        <f t="shared" si="58"/>
        <v>44.128461538461529</v>
      </c>
      <c r="T86" s="304">
        <f t="shared" si="36"/>
        <v>1908.1574105775742</v>
      </c>
      <c r="U86" s="304">
        <f t="shared" si="37"/>
        <v>4.6433725727579889</v>
      </c>
      <c r="V86" s="303">
        <f t="shared" si="61"/>
        <v>0.20307692307692202</v>
      </c>
      <c r="W86" s="304">
        <f t="shared" si="38"/>
        <v>0.64153846153846394</v>
      </c>
      <c r="X86" s="304">
        <f t="shared" si="48"/>
        <v>2.828571428571506</v>
      </c>
      <c r="Y86" s="304">
        <f t="shared" si="39"/>
        <v>8.9357142857146101</v>
      </c>
      <c r="Z86" s="304">
        <f t="shared" si="31"/>
        <v>14.300253977377757</v>
      </c>
      <c r="AA86" s="308">
        <f t="shared" si="40"/>
        <v>0.46428571428572935</v>
      </c>
      <c r="AB86" s="304">
        <f t="shared" si="55"/>
        <v>8.5900000000001455</v>
      </c>
      <c r="AC86" s="309"/>
      <c r="AD86" s="310">
        <f t="shared" si="41"/>
        <v>0.74892078203076673</v>
      </c>
      <c r="AE86" s="310">
        <f t="shared" si="41"/>
        <v>4.7446775715465854</v>
      </c>
      <c r="AF86" s="310">
        <f t="shared" si="42"/>
        <v>1.0011205086319199</v>
      </c>
      <c r="AG86" s="310">
        <f t="shared" si="43"/>
        <v>0.77018694768583607</v>
      </c>
      <c r="AH86" s="310">
        <f t="shared" si="50"/>
        <v>4.1700000000000159</v>
      </c>
      <c r="AI86" s="310">
        <f t="shared" si="51"/>
        <v>13.999999999999545</v>
      </c>
      <c r="AJ86" s="311">
        <f t="shared" si="52"/>
        <v>90.481622369169287</v>
      </c>
      <c r="AK86" s="311" t="str" cm="1">
        <f t="array" ref="AK86">IF(OR(E86="", H86=""), "",
  IFERROR(
     (
      INDEX($AM$3:$AM$22, MATCH(E86, $AL$3:$AL$22, 1)) +
      (E86 - INDEX($AL$3:$AL$22, MATCH(E86, $AL$3:$AL$22, 1))) *
      (INDEX($AM$3:$AM$22, MATCH(E86, $AL$3:$AL$22, 1)+1) - INDEX($AM$3:$AM$22, MATCH(E86, $AL$3:$AL$22, 1))) /
      (INDEX($AL$3:$AL$22, MATCH(E86, $AL$3:$AL$22, 1)+1) - INDEX($AL$3:$AL$22, MATCH(E86, $AL$3:$AL$22, 1)))
    ) - H86,
    ""
  )
)</f>
        <v/>
      </c>
      <c r="AL86" s="338"/>
      <c r="AM86" s="339"/>
      <c r="AN86" s="340"/>
    </row>
    <row r="87" spans="1:40" s="315" customFormat="1" ht="15" customHeight="1" x14ac:dyDescent="0.35">
      <c r="A87" s="316">
        <f t="shared" si="64"/>
        <v>3</v>
      </c>
      <c r="B87" s="317">
        <f t="shared" si="64"/>
        <v>19</v>
      </c>
      <c r="C87" s="318">
        <f t="shared" si="59"/>
        <v>15.090000000000146</v>
      </c>
      <c r="D87" s="319">
        <v>2173.8999999999996</v>
      </c>
      <c r="E87" s="320">
        <f t="shared" si="56"/>
        <v>2154.8999999999996</v>
      </c>
      <c r="F87" s="321">
        <v>44.66</v>
      </c>
      <c r="G87" s="321">
        <v>271.89999999999998</v>
      </c>
      <c r="H87" s="322">
        <f t="shared" si="44"/>
        <v>1905.2737838718399</v>
      </c>
      <c r="I87" s="323">
        <f t="shared" si="45"/>
        <v>3.4798048779567661</v>
      </c>
      <c r="J87" s="321">
        <f t="shared" si="57"/>
        <v>2173.8999999999996</v>
      </c>
      <c r="K87" s="323">
        <f t="shared" si="54"/>
        <v>2182.3999999999996</v>
      </c>
      <c r="L87" s="321">
        <v>8.5</v>
      </c>
      <c r="M87" s="333" t="s">
        <v>595</v>
      </c>
      <c r="N87" s="323">
        <f t="shared" si="62"/>
        <v>6</v>
      </c>
      <c r="O87" s="323">
        <f t="shared" si="60"/>
        <v>6.5</v>
      </c>
      <c r="P87" s="324">
        <f t="shared" si="46"/>
        <v>1.1324090897049008</v>
      </c>
      <c r="Q87" s="325" t="str">
        <f t="shared" si="47"/>
        <v>R</v>
      </c>
      <c r="R87" s="323">
        <f t="shared" si="35"/>
        <v>4.4284624936423667</v>
      </c>
      <c r="S87" s="323">
        <f t="shared" si="58"/>
        <v>46.555833333333332</v>
      </c>
      <c r="T87" s="323">
        <f t="shared" si="36"/>
        <v>1918.5655115338093</v>
      </c>
      <c r="U87" s="323">
        <f t="shared" si="37"/>
        <v>4.61539011646465</v>
      </c>
      <c r="V87" s="322">
        <f t="shared" si="61"/>
        <v>0.29166666666666669</v>
      </c>
      <c r="W87" s="323">
        <f t="shared" si="38"/>
        <v>8.3333333333257542E-3</v>
      </c>
      <c r="X87" s="323">
        <f t="shared" si="48"/>
        <v>3.4791252485089128</v>
      </c>
      <c r="Y87" s="323">
        <f t="shared" si="39"/>
        <v>9.9403578528735673E-2</v>
      </c>
      <c r="Z87" s="323">
        <f t="shared" si="31"/>
        <v>8.7517092680613509</v>
      </c>
      <c r="AA87" s="326">
        <f t="shared" si="40"/>
        <v>0.39761431411530429</v>
      </c>
      <c r="AB87" s="323">
        <f t="shared" si="55"/>
        <v>5.5</v>
      </c>
      <c r="AC87" s="327"/>
      <c r="AD87" s="328">
        <f t="shared" si="41"/>
        <v>0.77946404394066748</v>
      </c>
      <c r="AE87" s="328">
        <f t="shared" si="41"/>
        <v>4.7455502361725816</v>
      </c>
      <c r="AF87" s="328">
        <f t="shared" si="42"/>
        <v>1.00030749885252</v>
      </c>
      <c r="AG87" s="328">
        <f t="shared" si="43"/>
        <v>0.81255257767639344</v>
      </c>
      <c r="AH87" s="328">
        <f t="shared" si="50"/>
        <v>4.9999999999954525E-2</v>
      </c>
      <c r="AI87" s="328">
        <f t="shared" si="51"/>
        <v>15.090000000000146</v>
      </c>
      <c r="AJ87" s="329">
        <f t="shared" si="52"/>
        <v>90.481622369169287</v>
      </c>
      <c r="AK87" s="329" t="str" cm="1">
        <f t="array" ref="AK87">IF(OR(E87="", H87=""), "",
  IFERROR(
     (
      INDEX($AM$3:$AM$22, MATCH(E87, $AL$3:$AL$22, 1)) +
      (E87 - INDEX($AL$3:$AL$22, MATCH(E87, $AL$3:$AL$22, 1))) *
      (INDEX($AM$3:$AM$22, MATCH(E87, $AL$3:$AL$22, 1)+1) - INDEX($AM$3:$AM$22, MATCH(E87, $AL$3:$AL$22, 1))) /
      (INDEX($AL$3:$AL$22, MATCH(E87, $AL$3:$AL$22, 1)+1) - INDEX($AL$3:$AL$22, MATCH(E87, $AL$3:$AL$22, 1)))
    ) - H87,
    ""
  )
)</f>
        <v/>
      </c>
      <c r="AL87" s="341"/>
      <c r="AM87" s="342"/>
      <c r="AN87" s="343"/>
    </row>
    <row r="88" spans="1:40" s="315" customFormat="1" ht="15" customHeight="1" x14ac:dyDescent="0.35">
      <c r="A88" s="297">
        <f t="shared" si="64"/>
        <v>3</v>
      </c>
      <c r="B88" s="298">
        <f t="shared" si="64"/>
        <v>19</v>
      </c>
      <c r="C88" s="299">
        <f t="shared" si="59"/>
        <v>14</v>
      </c>
      <c r="D88" s="300">
        <v>2187.8999999999996</v>
      </c>
      <c r="E88" s="301">
        <f t="shared" si="56"/>
        <v>2168.8999999999996</v>
      </c>
      <c r="F88" s="302">
        <v>46.35</v>
      </c>
      <c r="G88" s="302">
        <v>273.24</v>
      </c>
      <c r="H88" s="303">
        <f t="shared" si="44"/>
        <v>1915.0856421348637</v>
      </c>
      <c r="I88" s="304">
        <f t="shared" si="45"/>
        <v>4.160370746258331</v>
      </c>
      <c r="J88" s="302">
        <f t="shared" si="57"/>
        <v>2187.8999999999996</v>
      </c>
      <c r="K88" s="304">
        <f t="shared" si="54"/>
        <v>2198.8999999999996</v>
      </c>
      <c r="L88" s="302">
        <v>11</v>
      </c>
      <c r="M88" s="305" t="s">
        <v>595</v>
      </c>
      <c r="N88" s="304">
        <f t="shared" si="62"/>
        <v>6.5</v>
      </c>
      <c r="O88" s="304">
        <f t="shared" si="60"/>
        <v>8.5</v>
      </c>
      <c r="P88" s="306">
        <f t="shared" si="46"/>
        <v>29.488078244782265</v>
      </c>
      <c r="Q88" s="307" t="str">
        <f t="shared" si="47"/>
        <v>R</v>
      </c>
      <c r="R88" s="304">
        <f t="shared" si="35"/>
        <v>4.503496577995711</v>
      </c>
      <c r="S88" s="304">
        <f t="shared" si="58"/>
        <v>48.560000000000009</v>
      </c>
      <c r="T88" s="304">
        <f t="shared" si="36"/>
        <v>1927.9328541884779</v>
      </c>
      <c r="U88" s="304">
        <f t="shared" si="37"/>
        <v>4.644073305539937</v>
      </c>
      <c r="V88" s="303">
        <f t="shared" si="61"/>
        <v>0.26000000000000073</v>
      </c>
      <c r="W88" s="304">
        <f t="shared" si="38"/>
        <v>0.20615384615385104</v>
      </c>
      <c r="X88" s="304">
        <f t="shared" si="48"/>
        <v>3.6214285714285817</v>
      </c>
      <c r="Y88" s="304">
        <f t="shared" si="39"/>
        <v>2.8714285714286398</v>
      </c>
      <c r="Z88" s="304">
        <f t="shared" si="31"/>
        <v>8.9607985304025579</v>
      </c>
      <c r="AA88" s="308">
        <f t="shared" si="40"/>
        <v>0.4642857142857143</v>
      </c>
      <c r="AB88" s="304">
        <f t="shared" si="55"/>
        <v>4.0100000000002183</v>
      </c>
      <c r="AC88" s="309"/>
      <c r="AD88" s="310">
        <f t="shared" si="41"/>
        <v>0.80896010829937182</v>
      </c>
      <c r="AE88" s="310">
        <f t="shared" si="41"/>
        <v>4.768937648149306</v>
      </c>
      <c r="AF88" s="310">
        <f t="shared" si="42"/>
        <v>1.0004396090271068</v>
      </c>
      <c r="AG88" s="310">
        <f t="shared" si="43"/>
        <v>0.84753188476844654</v>
      </c>
      <c r="AH88" s="310">
        <f t="shared" si="50"/>
        <v>1.3400000000000318</v>
      </c>
      <c r="AI88" s="310">
        <f t="shared" si="51"/>
        <v>14</v>
      </c>
      <c r="AJ88" s="311">
        <f t="shared" si="52"/>
        <v>90.481622369169287</v>
      </c>
      <c r="AK88" s="311" t="str" cm="1">
        <f t="array" ref="AK88">IF(OR(E88="", H88=""), "",
  IFERROR(
     (
      INDEX($AM$3:$AM$22, MATCH(E88, $AL$3:$AL$22, 1)) +
      (E88 - INDEX($AL$3:$AL$22, MATCH(E88, $AL$3:$AL$22, 1))) *
      (INDEX($AM$3:$AM$22, MATCH(E88, $AL$3:$AL$22, 1)+1) - INDEX($AM$3:$AM$22, MATCH(E88, $AL$3:$AL$22, 1))) /
      (INDEX($AL$3:$AL$22, MATCH(E88, $AL$3:$AL$22, 1)+1) - INDEX($AL$3:$AL$22, MATCH(E88, $AL$3:$AL$22, 1)))
    ) - H88,
    ""
  )
)</f>
        <v/>
      </c>
      <c r="AL88" s="338"/>
      <c r="AM88" s="339"/>
      <c r="AN88" s="340"/>
    </row>
    <row r="89" spans="1:40" s="315" customFormat="1" ht="15" customHeight="1" x14ac:dyDescent="0.35">
      <c r="A89" s="316">
        <f t="shared" si="64"/>
        <v>3</v>
      </c>
      <c r="B89" s="317">
        <f t="shared" si="64"/>
        <v>19</v>
      </c>
      <c r="C89" s="318">
        <f t="shared" si="59"/>
        <v>15.010000000000218</v>
      </c>
      <c r="D89" s="319">
        <v>2202.91</v>
      </c>
      <c r="E89" s="320">
        <f t="shared" si="56"/>
        <v>2183.91</v>
      </c>
      <c r="F89" s="321">
        <v>47.98</v>
      </c>
      <c r="G89" s="321">
        <v>277.24</v>
      </c>
      <c r="H89" s="322">
        <f t="shared" si="44"/>
        <v>1925.290781841737</v>
      </c>
      <c r="I89" s="323">
        <f t="shared" si="45"/>
        <v>6.7058838672201704</v>
      </c>
      <c r="J89" s="321">
        <f t="shared" si="57"/>
        <v>2202.91</v>
      </c>
      <c r="K89" s="323">
        <f t="shared" si="54"/>
        <v>2213.91</v>
      </c>
      <c r="L89" s="321">
        <v>11</v>
      </c>
      <c r="M89" s="333" t="s">
        <v>594</v>
      </c>
      <c r="N89" s="323">
        <f t="shared" si="62"/>
        <v>8.5</v>
      </c>
      <c r="O89" s="323">
        <f t="shared" si="60"/>
        <v>11</v>
      </c>
      <c r="P89" s="324">
        <f t="shared" si="46"/>
        <v>60.934027821655867</v>
      </c>
      <c r="Q89" s="325" t="str">
        <f t="shared" si="47"/>
        <v>R</v>
      </c>
      <c r="R89" s="323">
        <f t="shared" si="35"/>
        <v>4.6368613582298952</v>
      </c>
      <c r="S89" s="323">
        <f t="shared" si="58"/>
        <v>50.089411764705872</v>
      </c>
      <c r="T89" s="323">
        <f t="shared" si="36"/>
        <v>1937.7472152243583</v>
      </c>
      <c r="U89" s="323">
        <f t="shared" si="37"/>
        <v>4.8332339972490956</v>
      </c>
      <c r="V89" s="322">
        <f t="shared" si="61"/>
        <v>0.19176470588235239</v>
      </c>
      <c r="W89" s="323">
        <f t="shared" si="38"/>
        <v>0.47058823529411764</v>
      </c>
      <c r="X89" s="323">
        <f t="shared" si="48"/>
        <v>3.2578281145902168</v>
      </c>
      <c r="Y89" s="323">
        <f t="shared" si="39"/>
        <v>7.9946702198533144</v>
      </c>
      <c r="Z89" s="323">
        <f t="shared" si="31"/>
        <v>11.841801981997204</v>
      </c>
      <c r="AA89" s="326">
        <f t="shared" si="40"/>
        <v>0.56628914057294311</v>
      </c>
      <c r="AB89" s="323">
        <f t="shared" si="55"/>
        <v>3</v>
      </c>
      <c r="AC89" s="327"/>
      <c r="AD89" s="328">
        <f t="shared" si="41"/>
        <v>0.83740897510687928</v>
      </c>
      <c r="AE89" s="328">
        <f t="shared" si="41"/>
        <v>4.8387508182290793</v>
      </c>
      <c r="AF89" s="328">
        <f t="shared" si="42"/>
        <v>1.0011430911766583</v>
      </c>
      <c r="AG89" s="328">
        <f t="shared" si="43"/>
        <v>0.87422515568130066</v>
      </c>
      <c r="AH89" s="328">
        <f t="shared" si="50"/>
        <v>4</v>
      </c>
      <c r="AI89" s="328">
        <f t="shared" si="51"/>
        <v>15.010000000000218</v>
      </c>
      <c r="AJ89" s="329">
        <f t="shared" si="52"/>
        <v>90.481622369169287</v>
      </c>
      <c r="AK89" s="329" t="str" cm="1">
        <f t="array" ref="AK89">IF(OR(E89="", H89=""), "",
  IFERROR(
     (
      INDEX($AM$3:$AM$22, MATCH(E89, $AL$3:$AL$22, 1)) +
      (E89 - INDEX($AL$3:$AL$22, MATCH(E89, $AL$3:$AL$22, 1))) *
      (INDEX($AM$3:$AM$22, MATCH(E89, $AL$3:$AL$22, 1)+1) - INDEX($AM$3:$AM$22, MATCH(E89, $AL$3:$AL$22, 1))) /
      (INDEX($AL$3:$AL$22, MATCH(E89, $AL$3:$AL$22, 1)+1) - INDEX($AL$3:$AL$22, MATCH(E89, $AL$3:$AL$22, 1)))
    ) - H89,
    ""
  )
)</f>
        <v/>
      </c>
      <c r="AL89" s="341"/>
      <c r="AM89" s="342"/>
      <c r="AN89" s="343"/>
    </row>
    <row r="90" spans="1:40" s="315" customFormat="1" ht="15" customHeight="1" x14ac:dyDescent="0.35">
      <c r="A90" s="297">
        <f t="shared" si="64"/>
        <v>3</v>
      </c>
      <c r="B90" s="298">
        <f t="shared" si="64"/>
        <v>19</v>
      </c>
      <c r="C90" s="299">
        <f t="shared" si="59"/>
        <v>14</v>
      </c>
      <c r="D90" s="300">
        <v>2216.91</v>
      </c>
      <c r="E90" s="301">
        <f t="shared" si="56"/>
        <v>2197.91</v>
      </c>
      <c r="F90" s="302">
        <v>51.01</v>
      </c>
      <c r="G90" s="302">
        <v>281.8</v>
      </c>
      <c r="H90" s="303">
        <f t="shared" si="44"/>
        <v>1934.3839834948803</v>
      </c>
      <c r="I90" s="304">
        <f t="shared" si="45"/>
        <v>9.8642935489662307</v>
      </c>
      <c r="J90" s="302">
        <f t="shared" si="57"/>
        <v>2216.91</v>
      </c>
      <c r="K90" s="304">
        <f t="shared" si="54"/>
        <v>2223.91</v>
      </c>
      <c r="L90" s="302">
        <v>7</v>
      </c>
      <c r="M90" s="305" t="s">
        <v>590</v>
      </c>
      <c r="N90" s="304">
        <f t="shared" si="62"/>
        <v>10.010000000000218</v>
      </c>
      <c r="O90" s="304">
        <f t="shared" si="60"/>
        <v>11.989999999999782</v>
      </c>
      <c r="P90" s="306">
        <f t="shared" si="46"/>
        <v>48.835879337276552</v>
      </c>
      <c r="Q90" s="307" t="str">
        <f t="shared" si="47"/>
        <v>R</v>
      </c>
      <c r="R90" s="304">
        <f t="shared" si="35"/>
        <v>4.4411388753564287</v>
      </c>
      <c r="S90" s="304">
        <f t="shared" si="58"/>
        <v>54.639340659340512</v>
      </c>
      <c r="T90" s="304">
        <f t="shared" si="36"/>
        <v>1945.8648492084083</v>
      </c>
      <c r="U90" s="304">
        <f t="shared" si="37"/>
        <v>4.2431428408132135</v>
      </c>
      <c r="V90" s="303">
        <f t="shared" si="61"/>
        <v>0.30269730269729622</v>
      </c>
      <c r="W90" s="304">
        <f t="shared" si="38"/>
        <v>0.45554445554444584</v>
      </c>
      <c r="X90" s="304">
        <f t="shared" si="48"/>
        <v>6.4928571428571455</v>
      </c>
      <c r="Y90" s="304">
        <f t="shared" si="39"/>
        <v>9.7714285714285758</v>
      </c>
      <c r="Z90" s="304">
        <f t="shared" si="31"/>
        <v>13.796214753798623</v>
      </c>
      <c r="AA90" s="308">
        <f t="shared" si="40"/>
        <v>0.71500000000001562</v>
      </c>
      <c r="AB90" s="304">
        <f t="shared" si="55"/>
        <v>8.1100000000001273</v>
      </c>
      <c r="AC90" s="309"/>
      <c r="AD90" s="310">
        <f t="shared" si="41"/>
        <v>0.89029245144230751</v>
      </c>
      <c r="AE90" s="310">
        <f t="shared" si="41"/>
        <v>4.9183378321200211</v>
      </c>
      <c r="AF90" s="310">
        <f t="shared" si="42"/>
        <v>1.0024773918013437</v>
      </c>
      <c r="AG90" s="310">
        <f t="shared" si="43"/>
        <v>0.95363639562430136</v>
      </c>
      <c r="AH90" s="310">
        <f t="shared" si="50"/>
        <v>4.5600000000000023</v>
      </c>
      <c r="AI90" s="310">
        <f t="shared" si="51"/>
        <v>14</v>
      </c>
      <c r="AJ90" s="311">
        <f t="shared" si="52"/>
        <v>90.481622369169287</v>
      </c>
      <c r="AK90" s="311" t="str" cm="1">
        <f t="array" ref="AK90">IF(OR(E90="", H90=""), "",
  IFERROR(
     (
      INDEX($AM$3:$AM$22, MATCH(E90, $AL$3:$AL$22, 1)) +
      (E90 - INDEX($AL$3:$AL$22, MATCH(E90, $AL$3:$AL$22, 1))) *
      (INDEX($AM$3:$AM$22, MATCH(E90, $AL$3:$AL$22, 1)+1) - INDEX($AM$3:$AM$22, MATCH(E90, $AL$3:$AL$22, 1))) /
      (INDEX($AL$3:$AL$22, MATCH(E90, $AL$3:$AL$22, 1)+1) - INDEX($AL$3:$AL$22, MATCH(E90, $AL$3:$AL$22, 1)))
    ) - H90,
    ""
  )
)</f>
        <v/>
      </c>
      <c r="AL90" s="338"/>
      <c r="AM90" s="339"/>
      <c r="AN90" s="340"/>
    </row>
    <row r="91" spans="1:40" s="315" customFormat="1" ht="15" customHeight="1" x14ac:dyDescent="0.35">
      <c r="A91" s="316">
        <f t="shared" si="64"/>
        <v>3</v>
      </c>
      <c r="B91" s="317">
        <f t="shared" si="64"/>
        <v>19</v>
      </c>
      <c r="C91" s="318">
        <f t="shared" si="59"/>
        <v>15.110000000000127</v>
      </c>
      <c r="D91" s="319">
        <v>2232.02</v>
      </c>
      <c r="E91" s="320">
        <f t="shared" si="56"/>
        <v>2213.02</v>
      </c>
      <c r="F91" s="321">
        <v>54.99</v>
      </c>
      <c r="G91" s="321">
        <v>285.24</v>
      </c>
      <c r="H91" s="322">
        <f t="shared" si="44"/>
        <v>1943.4774084947078</v>
      </c>
      <c r="I91" s="323">
        <f t="shared" si="45"/>
        <v>9.59998010281506</v>
      </c>
      <c r="J91" s="321">
        <f t="shared" si="57"/>
        <v>2232.02</v>
      </c>
      <c r="K91" s="323">
        <f t="shared" si="54"/>
        <v>2238.52</v>
      </c>
      <c r="L91" s="321">
        <v>6.5</v>
      </c>
      <c r="M91" s="333" t="s">
        <v>590</v>
      </c>
      <c r="N91" s="323">
        <f t="shared" si="62"/>
        <v>11.099999999999909</v>
      </c>
      <c r="O91" s="323">
        <f t="shared" si="60"/>
        <v>7.8899999999998727</v>
      </c>
      <c r="P91" s="324">
        <f t="shared" si="46"/>
        <v>34.600432382774073</v>
      </c>
      <c r="Q91" s="325" t="str">
        <f t="shared" si="47"/>
        <v>R</v>
      </c>
      <c r="R91" s="323">
        <f t="shared" si="35"/>
        <v>4.0331858259453375</v>
      </c>
      <c r="S91" s="323">
        <f t="shared" si="58"/>
        <v>57.819027027027012</v>
      </c>
      <c r="T91" s="323">
        <f t="shared" si="36"/>
        <v>1953.9906012330352</v>
      </c>
      <c r="U91" s="323">
        <f t="shared" si="37"/>
        <v>3.9647533018317764</v>
      </c>
      <c r="V91" s="322">
        <f t="shared" si="61"/>
        <v>0.35855855855856184</v>
      </c>
      <c r="W91" s="323">
        <f t="shared" si="38"/>
        <v>0.30990990990991224</v>
      </c>
      <c r="X91" s="323">
        <f t="shared" si="48"/>
        <v>7.9020516214426948</v>
      </c>
      <c r="Y91" s="323">
        <f t="shared" si="39"/>
        <v>6.8299139642620164</v>
      </c>
      <c r="Z91" s="323">
        <f t="shared" si="31"/>
        <v>13.068081022841259</v>
      </c>
      <c r="AA91" s="326">
        <f t="shared" si="40"/>
        <v>0.73461283917933917</v>
      </c>
      <c r="AB91" s="323">
        <f t="shared" si="55"/>
        <v>7.4999999999995453</v>
      </c>
      <c r="AC91" s="327"/>
      <c r="AD91" s="328">
        <f t="shared" si="41"/>
        <v>0.95975655567168183</v>
      </c>
      <c r="AE91" s="328">
        <f t="shared" si="41"/>
        <v>4.9783771583886258</v>
      </c>
      <c r="AF91" s="328">
        <f t="shared" si="42"/>
        <v>1.002346038439935</v>
      </c>
      <c r="AG91" s="328">
        <f t="shared" si="43"/>
        <v>1.0091323919212098</v>
      </c>
      <c r="AH91" s="328">
        <f t="shared" si="50"/>
        <v>3.4399999999999977</v>
      </c>
      <c r="AI91" s="328">
        <f t="shared" si="51"/>
        <v>15.110000000000127</v>
      </c>
      <c r="AJ91" s="329">
        <f t="shared" si="52"/>
        <v>90.481622369169287</v>
      </c>
      <c r="AK91" s="329" t="str" cm="1">
        <f t="array" ref="AK91">IF(OR(E91="", H91=""), "",
  IFERROR(
     (
      INDEX($AM$3:$AM$22, MATCH(E91, $AL$3:$AL$22, 1)) +
      (E91 - INDEX($AL$3:$AL$22, MATCH(E91, $AL$3:$AL$22, 1))) *
      (INDEX($AM$3:$AM$22, MATCH(E91, $AL$3:$AL$22, 1)+1) - INDEX($AM$3:$AM$22, MATCH(E91, $AL$3:$AL$22, 1))) /
      (INDEX($AL$3:$AL$22, MATCH(E91, $AL$3:$AL$22, 1)+1) - INDEX($AL$3:$AL$22, MATCH(E91, $AL$3:$AL$22, 1)))
    ) - H91,
    ""
  )
)</f>
        <v/>
      </c>
      <c r="AL91" s="341"/>
      <c r="AM91" s="342"/>
      <c r="AN91" s="343"/>
    </row>
    <row r="92" spans="1:40" s="315" customFormat="1" ht="15" customHeight="1" x14ac:dyDescent="0.35">
      <c r="A92" s="297">
        <f t="shared" si="64"/>
        <v>3</v>
      </c>
      <c r="B92" s="298">
        <f t="shared" si="64"/>
        <v>19</v>
      </c>
      <c r="C92" s="299">
        <f t="shared" si="59"/>
        <v>13.999999999999545</v>
      </c>
      <c r="D92" s="300">
        <v>2246.0199999999995</v>
      </c>
      <c r="E92" s="301">
        <f t="shared" si="56"/>
        <v>2227.0199999999995</v>
      </c>
      <c r="F92" s="302">
        <v>56.66</v>
      </c>
      <c r="G92" s="302">
        <v>287.83999999999997</v>
      </c>
      <c r="H92" s="303">
        <f t="shared" si="44"/>
        <v>1951.3415226879883</v>
      </c>
      <c r="I92" s="304">
        <f t="shared" si="45"/>
        <v>5.8350561795279878</v>
      </c>
      <c r="J92" s="302">
        <f t="shared" si="57"/>
        <v>2246.0199999999995</v>
      </c>
      <c r="K92" s="304">
        <f t="shared" si="54"/>
        <v>2253.5199999999995</v>
      </c>
      <c r="L92" s="302">
        <v>7.5</v>
      </c>
      <c r="M92" s="305" t="s">
        <v>590</v>
      </c>
      <c r="N92" s="304">
        <f t="shared" si="62"/>
        <v>7.8899999999998727</v>
      </c>
      <c r="O92" s="304">
        <f t="shared" si="60"/>
        <v>6.5</v>
      </c>
      <c r="P92" s="306">
        <f t="shared" si="46"/>
        <v>52.172353044734223</v>
      </c>
      <c r="Q92" s="307" t="str">
        <f t="shared" si="47"/>
        <v>R</v>
      </c>
      <c r="R92" s="304">
        <f t="shared" si="35"/>
        <v>4.0847905234705664</v>
      </c>
      <c r="S92" s="304">
        <f t="shared" si="58"/>
        <v>58.035792141951852</v>
      </c>
      <c r="T92" s="304">
        <f t="shared" si="36"/>
        <v>1961.5927195280797</v>
      </c>
      <c r="U92" s="304">
        <f t="shared" si="37"/>
        <v>4.4170237100172089</v>
      </c>
      <c r="V92" s="303">
        <f t="shared" si="61"/>
        <v>0.21166032953105471</v>
      </c>
      <c r="W92" s="304">
        <f t="shared" si="38"/>
        <v>0.32953105196451304</v>
      </c>
      <c r="X92" s="304">
        <f t="shared" si="48"/>
        <v>3.5785714285715331</v>
      </c>
      <c r="Y92" s="304">
        <f t="shared" si="39"/>
        <v>5.5714285714286795</v>
      </c>
      <c r="Z92" s="304">
        <f t="shared" si="31"/>
        <v>10.353711852140748</v>
      </c>
      <c r="AA92" s="308">
        <f t="shared" si="40"/>
        <v>0.56357142857143783</v>
      </c>
      <c r="AB92" s="304">
        <f t="shared" si="55"/>
        <v>7.3000000000001819</v>
      </c>
      <c r="AC92" s="309"/>
      <c r="AD92" s="310">
        <f t="shared" si="41"/>
        <v>0.9889035541799871</v>
      </c>
      <c r="AE92" s="310">
        <f t="shared" si="41"/>
        <v>5.0237557189404773</v>
      </c>
      <c r="AF92" s="310">
        <f t="shared" si="42"/>
        <v>1.0008651954838808</v>
      </c>
      <c r="AG92" s="310">
        <f t="shared" si="43"/>
        <v>1.0129156568801121</v>
      </c>
      <c r="AH92" s="310">
        <f t="shared" si="50"/>
        <v>2.5999999999999659</v>
      </c>
      <c r="AI92" s="310">
        <f t="shared" si="51"/>
        <v>13.999999999999545</v>
      </c>
      <c r="AJ92" s="311">
        <f t="shared" si="52"/>
        <v>90.481622369169287</v>
      </c>
      <c r="AK92" s="311" t="str" cm="1">
        <f t="array" ref="AK92">IF(OR(E92="", H92=""), "",
  IFERROR(
     (
      INDEX($AM$3:$AM$22, MATCH(E92, $AL$3:$AL$22, 1)) +
      (E92 - INDEX($AL$3:$AL$22, MATCH(E92, $AL$3:$AL$22, 1))) *
      (INDEX($AM$3:$AM$22, MATCH(E92, $AL$3:$AL$22, 1)+1) - INDEX($AM$3:$AM$22, MATCH(E92, $AL$3:$AL$22, 1))) /
      (INDEX($AL$3:$AL$22, MATCH(E92, $AL$3:$AL$22, 1)+1) - INDEX($AL$3:$AL$22, MATCH(E92, $AL$3:$AL$22, 1)))
    ) - H92,
    ""
  )
)</f>
        <v/>
      </c>
      <c r="AL92" s="338"/>
      <c r="AM92" s="339"/>
      <c r="AN92" s="340"/>
    </row>
    <row r="93" spans="1:40" s="315" customFormat="1" ht="15" customHeight="1" x14ac:dyDescent="0.35">
      <c r="A93" s="316">
        <f t="shared" si="64"/>
        <v>3</v>
      </c>
      <c r="B93" s="317">
        <f t="shared" si="64"/>
        <v>19</v>
      </c>
      <c r="C93" s="318">
        <f t="shared" si="59"/>
        <v>14.800000000000182</v>
      </c>
      <c r="D93" s="319">
        <v>2260.8199999999997</v>
      </c>
      <c r="E93" s="320">
        <f t="shared" si="56"/>
        <v>2241.8199999999997</v>
      </c>
      <c r="F93" s="321">
        <v>57.94</v>
      </c>
      <c r="G93" s="321">
        <v>290.52</v>
      </c>
      <c r="H93" s="322">
        <f t="shared" si="44"/>
        <v>1959.3370794310576</v>
      </c>
      <c r="I93" s="323">
        <f t="shared" si="45"/>
        <v>5.2561415797688866</v>
      </c>
      <c r="J93" s="321">
        <f t="shared" si="57"/>
        <v>2260.8199999999997</v>
      </c>
      <c r="K93" s="323">
        <f t="shared" si="54"/>
        <v>2268.3199999999997</v>
      </c>
      <c r="L93" s="321">
        <v>7.5</v>
      </c>
      <c r="M93" s="333" t="s">
        <v>594</v>
      </c>
      <c r="N93" s="323">
        <f t="shared" si="62"/>
        <v>6.5</v>
      </c>
      <c r="O93" s="323">
        <f t="shared" si="60"/>
        <v>7.5</v>
      </c>
      <c r="P93" s="324">
        <f t="shared" si="46"/>
        <v>60.420480484924717</v>
      </c>
      <c r="Q93" s="325" t="str">
        <f t="shared" si="47"/>
        <v>R</v>
      </c>
      <c r="R93" s="323">
        <f t="shared" si="35"/>
        <v>4.2792613274275588</v>
      </c>
      <c r="S93" s="323">
        <f t="shared" si="58"/>
        <v>59.416923076923077</v>
      </c>
      <c r="T93" s="323">
        <f t="shared" si="36"/>
        <v>1969.2140447667125</v>
      </c>
      <c r="U93" s="323">
        <f t="shared" si="37"/>
        <v>4.6535296189591628</v>
      </c>
      <c r="V93" s="322">
        <f t="shared" si="61"/>
        <v>0.19692307692307709</v>
      </c>
      <c r="W93" s="323">
        <f t="shared" si="38"/>
        <v>0.41230769230769337</v>
      </c>
      <c r="X93" s="323">
        <f t="shared" si="48"/>
        <v>2.594594594594565</v>
      </c>
      <c r="Y93" s="323">
        <f t="shared" si="39"/>
        <v>5.4324324324323792</v>
      </c>
      <c r="Z93" s="323">
        <f t="shared" ref="Z93:Z156" si="65">IF(V93="","",IF(N93="",I93,AI93/N93*I93))</f>
        <v>11.967830058550842</v>
      </c>
      <c r="AA93" s="326">
        <f t="shared" si="40"/>
        <v>0.43918918918918382</v>
      </c>
      <c r="AB93" s="323">
        <f t="shared" si="55"/>
        <v>6.5</v>
      </c>
      <c r="AC93" s="327"/>
      <c r="AD93" s="328">
        <f t="shared" si="41"/>
        <v>1.0112437686055145</v>
      </c>
      <c r="AE93" s="328">
        <f t="shared" si="41"/>
        <v>5.070530542893926</v>
      </c>
      <c r="AF93" s="328">
        <f t="shared" si="42"/>
        <v>1.0007018967710002</v>
      </c>
      <c r="AG93" s="328">
        <f t="shared" si="43"/>
        <v>1.0370209390965077</v>
      </c>
      <c r="AH93" s="328">
        <f t="shared" si="50"/>
        <v>2.6800000000000068</v>
      </c>
      <c r="AI93" s="328">
        <f t="shared" si="51"/>
        <v>14.800000000000182</v>
      </c>
      <c r="AJ93" s="329">
        <f t="shared" si="52"/>
        <v>90.481622369169287</v>
      </c>
      <c r="AK93" s="329" t="str" cm="1">
        <f t="array" ref="AK93">IF(OR(E93="", H93=""), "",
  IFERROR(
     (
      INDEX($AM$3:$AM$22, MATCH(E93, $AL$3:$AL$22, 1)) +
      (E93 - INDEX($AL$3:$AL$22, MATCH(E93, $AL$3:$AL$22, 1))) *
      (INDEX($AM$3:$AM$22, MATCH(E93, $AL$3:$AL$22, 1)+1) - INDEX($AM$3:$AM$22, MATCH(E93, $AL$3:$AL$22, 1))) /
      (INDEX($AL$3:$AL$22, MATCH(E93, $AL$3:$AL$22, 1)+1) - INDEX($AL$3:$AL$22, MATCH(E93, $AL$3:$AL$22, 1)))
    ) - H93,
    ""
  )
)</f>
        <v/>
      </c>
      <c r="AL93" s="341"/>
      <c r="AM93" s="342"/>
      <c r="AN93" s="343"/>
    </row>
    <row r="94" spans="1:40" s="315" customFormat="1" ht="15" customHeight="1" x14ac:dyDescent="0.35">
      <c r="A94" s="297">
        <f t="shared" si="64"/>
        <v>3</v>
      </c>
      <c r="B94" s="298">
        <f t="shared" si="64"/>
        <v>19</v>
      </c>
      <c r="C94" s="299">
        <f t="shared" si="59"/>
        <v>14</v>
      </c>
      <c r="D94" s="300">
        <v>2274.8199999999997</v>
      </c>
      <c r="E94" s="301">
        <f t="shared" si="56"/>
        <v>2255.8199999999997</v>
      </c>
      <c r="F94" s="302">
        <v>59.28</v>
      </c>
      <c r="G94" s="302">
        <v>293.60000000000002</v>
      </c>
      <c r="H94" s="303">
        <f t="shared" si="44"/>
        <v>1966.6291285476959</v>
      </c>
      <c r="I94" s="304">
        <f t="shared" si="45"/>
        <v>6.3231573624418003</v>
      </c>
      <c r="J94" s="302">
        <f t="shared" si="57"/>
        <v>2274.8199999999997</v>
      </c>
      <c r="K94" s="304">
        <f t="shared" si="54"/>
        <v>2282.8199999999997</v>
      </c>
      <c r="L94" s="302">
        <v>8</v>
      </c>
      <c r="M94" s="305" t="s">
        <v>589</v>
      </c>
      <c r="N94" s="304">
        <f t="shared" si="62"/>
        <v>7.5</v>
      </c>
      <c r="O94" s="304">
        <f t="shared" si="60"/>
        <v>7.5</v>
      </c>
      <c r="P94" s="306">
        <f t="shared" si="46"/>
        <v>62.992116173821039</v>
      </c>
      <c r="Q94" s="307" t="str">
        <f t="shared" si="47"/>
        <v>R</v>
      </c>
      <c r="R94" s="304">
        <f t="shared" si="35"/>
        <v>4.4694550410809653</v>
      </c>
      <c r="S94" s="304">
        <f t="shared" si="58"/>
        <v>60.620000000000005</v>
      </c>
      <c r="T94" s="304">
        <f t="shared" si="36"/>
        <v>1976.1434841735086</v>
      </c>
      <c r="U94" s="304">
        <f t="shared" si="37"/>
        <v>4.9731514463417676</v>
      </c>
      <c r="V94" s="303">
        <f t="shared" si="61"/>
        <v>0.17866666666666711</v>
      </c>
      <c r="W94" s="304">
        <f t="shared" si="38"/>
        <v>0.41066666666667212</v>
      </c>
      <c r="X94" s="304">
        <f t="shared" si="48"/>
        <v>2.8714285714285785</v>
      </c>
      <c r="Y94" s="304">
        <f t="shared" si="39"/>
        <v>6.6000000000000876</v>
      </c>
      <c r="Z94" s="304">
        <f t="shared" si="65"/>
        <v>11.803227076558027</v>
      </c>
      <c r="AA94" s="308">
        <f t="shared" si="40"/>
        <v>0.5357142857142857</v>
      </c>
      <c r="AB94" s="304">
        <f t="shared" si="55"/>
        <v>6.7899999999999636</v>
      </c>
      <c r="AC94" s="309"/>
      <c r="AD94" s="310">
        <f t="shared" si="41"/>
        <v>1.0346311805822386</v>
      </c>
      <c r="AE94" s="310">
        <f t="shared" si="41"/>
        <v>5.1242866838553516</v>
      </c>
      <c r="AF94" s="310">
        <f t="shared" si="42"/>
        <v>1.0010161802271071</v>
      </c>
      <c r="AG94" s="310">
        <f t="shared" si="43"/>
        <v>1.0580185925589627</v>
      </c>
      <c r="AH94" s="310">
        <f t="shared" si="50"/>
        <v>3.0800000000000409</v>
      </c>
      <c r="AI94" s="310">
        <f t="shared" si="51"/>
        <v>14</v>
      </c>
      <c r="AJ94" s="311">
        <f t="shared" si="52"/>
        <v>90.481622369169287</v>
      </c>
      <c r="AK94" s="311" t="str" cm="1">
        <f t="array" ref="AK94">IF(OR(E94="", H94=""), "",
  IFERROR(
     (
      INDEX($AM$3:$AM$22, MATCH(E94, $AL$3:$AL$22, 1)) +
      (E94 - INDEX($AL$3:$AL$22, MATCH(E94, $AL$3:$AL$22, 1))) *
      (INDEX($AM$3:$AM$22, MATCH(E94, $AL$3:$AL$22, 1)+1) - INDEX($AM$3:$AM$22, MATCH(E94, $AL$3:$AL$22, 1))) /
      (INDEX($AL$3:$AL$22, MATCH(E94, $AL$3:$AL$22, 1)+1) - INDEX($AL$3:$AL$22, MATCH(E94, $AL$3:$AL$22, 1)))
    ) - H94,
    ""
  )
)</f>
        <v/>
      </c>
      <c r="AL94" s="338"/>
      <c r="AM94" s="339"/>
      <c r="AN94" s="340"/>
    </row>
    <row r="95" spans="1:40" s="315" customFormat="1" ht="15" customHeight="1" x14ac:dyDescent="0.35">
      <c r="A95" s="316">
        <f t="shared" si="64"/>
        <v>3</v>
      </c>
      <c r="B95" s="317">
        <f t="shared" si="64"/>
        <v>19</v>
      </c>
      <c r="C95" s="318">
        <f t="shared" si="59"/>
        <v>14.789999999999964</v>
      </c>
      <c r="D95" s="319">
        <v>2289.6099999999997</v>
      </c>
      <c r="E95" s="320">
        <f t="shared" si="56"/>
        <v>2270.6099999999997</v>
      </c>
      <c r="F95" s="321">
        <v>62.22</v>
      </c>
      <c r="G95" s="321">
        <v>295.32</v>
      </c>
      <c r="H95" s="322">
        <f t="shared" si="44"/>
        <v>1973.8558367094358</v>
      </c>
      <c r="I95" s="323">
        <f t="shared" si="45"/>
        <v>6.6951502175221203</v>
      </c>
      <c r="J95" s="321">
        <f t="shared" si="57"/>
        <v>2289.6099999999997</v>
      </c>
      <c r="K95" s="323">
        <f t="shared" si="54"/>
        <v>2295.6099999999997</v>
      </c>
      <c r="L95" s="321">
        <v>6</v>
      </c>
      <c r="M95" s="333" t="s">
        <v>589</v>
      </c>
      <c r="N95" s="323">
        <f t="shared" si="62"/>
        <v>7.5</v>
      </c>
      <c r="O95" s="323">
        <f t="shared" si="60"/>
        <v>8</v>
      </c>
      <c r="P95" s="324">
        <f t="shared" si="46"/>
        <v>27.036427502911803</v>
      </c>
      <c r="Q95" s="325" t="str">
        <f t="shared" si="47"/>
        <v>R</v>
      </c>
      <c r="R95" s="323">
        <f t="shared" si="35"/>
        <v>4.2385087186672594</v>
      </c>
      <c r="S95" s="323">
        <f t="shared" si="58"/>
        <v>65.355999999999995</v>
      </c>
      <c r="T95" s="323">
        <f t="shared" si="36"/>
        <v>1982.2480182341867</v>
      </c>
      <c r="U95" s="323">
        <f t="shared" si="37"/>
        <v>4.0825301140008978</v>
      </c>
      <c r="V95" s="322">
        <f t="shared" si="61"/>
        <v>0.39199999999999968</v>
      </c>
      <c r="W95" s="323">
        <f t="shared" si="38"/>
        <v>0.22933333333332939</v>
      </c>
      <c r="X95" s="323">
        <f t="shared" si="48"/>
        <v>5.9634888438133977</v>
      </c>
      <c r="Y95" s="323">
        <f t="shared" si="39"/>
        <v>3.4888438133873727</v>
      </c>
      <c r="Z95" s="323">
        <f t="shared" si="65"/>
        <v>13.202836228953588</v>
      </c>
      <c r="AA95" s="326">
        <f t="shared" si="40"/>
        <v>0.50709939148073147</v>
      </c>
      <c r="AB95" s="323">
        <f t="shared" si="55"/>
        <v>8</v>
      </c>
      <c r="AC95" s="327"/>
      <c r="AD95" s="328">
        <f t="shared" si="41"/>
        <v>1.0859438605908718</v>
      </c>
      <c r="AE95" s="328">
        <f t="shared" si="41"/>
        <v>5.154306346989654</v>
      </c>
      <c r="AF95" s="328">
        <f t="shared" si="42"/>
        <v>1.0011394297699134</v>
      </c>
      <c r="AG95" s="328">
        <f t="shared" si="43"/>
        <v>1.1406773859334138</v>
      </c>
      <c r="AH95" s="328">
        <f t="shared" si="50"/>
        <v>1.7199999999999704</v>
      </c>
      <c r="AI95" s="328">
        <f t="shared" si="51"/>
        <v>14.789999999999964</v>
      </c>
      <c r="AJ95" s="329">
        <f t="shared" si="52"/>
        <v>90.481622369169287</v>
      </c>
      <c r="AK95" s="329" t="str" cm="1">
        <f t="array" ref="AK95">IF(OR(E95="", H95=""), "",
  IFERROR(
     (
      INDEX($AM$3:$AM$22, MATCH(E95, $AL$3:$AL$22, 1)) +
      (E95 - INDEX($AL$3:$AL$22, MATCH(E95, $AL$3:$AL$22, 1))) *
      (INDEX($AM$3:$AM$22, MATCH(E95, $AL$3:$AL$22, 1)+1) - INDEX($AM$3:$AM$22, MATCH(E95, $AL$3:$AL$22, 1))) /
      (INDEX($AL$3:$AL$22, MATCH(E95, $AL$3:$AL$22, 1)+1) - INDEX($AL$3:$AL$22, MATCH(E95, $AL$3:$AL$22, 1)))
    ) - H95,
    ""
  )
)</f>
        <v/>
      </c>
      <c r="AL95" s="341"/>
      <c r="AM95" s="342"/>
      <c r="AN95" s="343"/>
    </row>
    <row r="96" spans="1:40" s="315" customFormat="1" ht="15" customHeight="1" x14ac:dyDescent="0.35">
      <c r="A96" s="297">
        <f t="shared" si="64"/>
        <v>3</v>
      </c>
      <c r="B96" s="298">
        <f t="shared" si="64"/>
        <v>19</v>
      </c>
      <c r="C96" s="299">
        <f t="shared" si="59"/>
        <v>14</v>
      </c>
      <c r="D96" s="300">
        <v>2303.6099999999997</v>
      </c>
      <c r="E96" s="301">
        <f t="shared" si="56"/>
        <v>2284.6099999999997</v>
      </c>
      <c r="F96" s="302">
        <v>65.569999999999993</v>
      </c>
      <c r="G96" s="302">
        <v>296.81</v>
      </c>
      <c r="H96" s="303">
        <f t="shared" si="44"/>
        <v>1980.0160822116229</v>
      </c>
      <c r="I96" s="304">
        <f t="shared" si="45"/>
        <v>7.7297040340515606</v>
      </c>
      <c r="J96" s="302">
        <f t="shared" si="57"/>
        <v>2303.6099999999997</v>
      </c>
      <c r="K96" s="304">
        <f t="shared" si="54"/>
        <v>2309.1099999999997</v>
      </c>
      <c r="L96" s="302">
        <v>5.5</v>
      </c>
      <c r="M96" s="305" t="s">
        <v>590</v>
      </c>
      <c r="N96" s="304">
        <f t="shared" si="62"/>
        <v>8</v>
      </c>
      <c r="O96" s="304">
        <f t="shared" si="60"/>
        <v>6</v>
      </c>
      <c r="P96" s="306">
        <f t="shared" si="46"/>
        <v>21.767026952680069</v>
      </c>
      <c r="Q96" s="307" t="str">
        <f t="shared" si="47"/>
        <v>R</v>
      </c>
      <c r="R96" s="304">
        <f t="shared" si="35"/>
        <v>3.7923106345725586</v>
      </c>
      <c r="S96" s="304">
        <f t="shared" si="58"/>
        <v>68.082499999999982</v>
      </c>
      <c r="T96" s="304">
        <f t="shared" si="36"/>
        <v>1987.4929767920412</v>
      </c>
      <c r="U96" s="304">
        <f t="shared" si="37"/>
        <v>3.7528407845711342</v>
      </c>
      <c r="V96" s="303">
        <f t="shared" si="61"/>
        <v>0.41874999999999929</v>
      </c>
      <c r="W96" s="304">
        <f t="shared" si="38"/>
        <v>0.18625000000000114</v>
      </c>
      <c r="X96" s="304">
        <f t="shared" si="48"/>
        <v>7.1785714285714164</v>
      </c>
      <c r="Y96" s="304">
        <f t="shared" si="39"/>
        <v>3.1928571428571622</v>
      </c>
      <c r="Z96" s="304">
        <f t="shared" si="65"/>
        <v>13.526982059590232</v>
      </c>
      <c r="AA96" s="308">
        <f t="shared" si="40"/>
        <v>0.5714285714285714</v>
      </c>
      <c r="AB96" s="304">
        <f t="shared" si="55"/>
        <v>9.2699999999999818</v>
      </c>
      <c r="AC96" s="309"/>
      <c r="AD96" s="310">
        <f t="shared" si="41"/>
        <v>1.1444123905326817</v>
      </c>
      <c r="AE96" s="310">
        <f t="shared" si="41"/>
        <v>5.1803117528443696</v>
      </c>
      <c r="AF96" s="310">
        <f t="shared" si="42"/>
        <v>1.00151946391137</v>
      </c>
      <c r="AG96" s="310">
        <f t="shared" si="43"/>
        <v>1.1882637879890392</v>
      </c>
      <c r="AH96" s="310">
        <f t="shared" si="50"/>
        <v>1.4900000000000091</v>
      </c>
      <c r="AI96" s="310">
        <f t="shared" si="51"/>
        <v>14</v>
      </c>
      <c r="AJ96" s="311">
        <f t="shared" si="52"/>
        <v>90.481622369169287</v>
      </c>
      <c r="AK96" s="311" t="str" cm="1">
        <f t="array" ref="AK96">IF(OR(E96="", H96=""), "",
  IFERROR(
     (
      INDEX($AM$3:$AM$22, MATCH(E96, $AL$3:$AL$22, 1)) +
      (E96 - INDEX($AL$3:$AL$22, MATCH(E96, $AL$3:$AL$22, 1))) *
      (INDEX($AM$3:$AM$22, MATCH(E96, $AL$3:$AL$22, 1)+1) - INDEX($AM$3:$AM$22, MATCH(E96, $AL$3:$AL$22, 1))) /
      (INDEX($AL$3:$AL$22, MATCH(E96, $AL$3:$AL$22, 1)+1) - INDEX($AL$3:$AL$22, MATCH(E96, $AL$3:$AL$22, 1)))
    ) - H96,
    ""
  )
)</f>
        <v/>
      </c>
      <c r="AL96" s="338"/>
      <c r="AM96" s="339"/>
      <c r="AN96" s="340"/>
    </row>
    <row r="97" spans="1:40" s="315" customFormat="1" ht="15" customHeight="1" x14ac:dyDescent="0.35">
      <c r="A97" s="316">
        <f t="shared" ref="A97:B112" si="66">+A96</f>
        <v>3</v>
      </c>
      <c r="B97" s="317">
        <f t="shared" si="66"/>
        <v>19</v>
      </c>
      <c r="C97" s="318">
        <f t="shared" si="59"/>
        <v>14.769999999999982</v>
      </c>
      <c r="D97" s="319">
        <v>2318.3799999999997</v>
      </c>
      <c r="E97" s="320">
        <f t="shared" si="56"/>
        <v>2299.3799999999997</v>
      </c>
      <c r="F97" s="321">
        <v>67.83</v>
      </c>
      <c r="G97" s="321">
        <v>297.27999999999997</v>
      </c>
      <c r="H97" s="322">
        <f t="shared" si="44"/>
        <v>1985.8582892844779</v>
      </c>
      <c r="I97" s="323">
        <f t="shared" si="45"/>
        <v>4.6733538876346392</v>
      </c>
      <c r="J97" s="321">
        <f t="shared" si="57"/>
        <v>2318.3799999999997</v>
      </c>
      <c r="K97" s="323">
        <f t="shared" si="54"/>
        <v>2324.8799999999997</v>
      </c>
      <c r="L97" s="321">
        <v>6.5</v>
      </c>
      <c r="M97" s="333" t="s">
        <v>595</v>
      </c>
      <c r="N97" s="323">
        <f t="shared" si="62"/>
        <v>6</v>
      </c>
      <c r="O97" s="323">
        <f t="shared" si="60"/>
        <v>5.5</v>
      </c>
      <c r="P97" s="324">
        <f t="shared" si="46"/>
        <v>10.812425979502333</v>
      </c>
      <c r="Q97" s="325" t="str">
        <f t="shared" si="47"/>
        <v>R</v>
      </c>
      <c r="R97" s="323">
        <f t="shared" si="35"/>
        <v>3.6580985369373691</v>
      </c>
      <c r="S97" s="323">
        <f t="shared" si="58"/>
        <v>69.901666666666671</v>
      </c>
      <c r="T97" s="323">
        <f t="shared" si="36"/>
        <v>1992.7087978748552</v>
      </c>
      <c r="U97" s="323">
        <f t="shared" si="37"/>
        <v>3.7531475557072769</v>
      </c>
      <c r="V97" s="322">
        <f t="shared" si="61"/>
        <v>0.37666666666666754</v>
      </c>
      <c r="W97" s="323">
        <f t="shared" si="38"/>
        <v>7.8333333333328412E-2</v>
      </c>
      <c r="X97" s="323">
        <f t="shared" si="48"/>
        <v>4.5903859174001518</v>
      </c>
      <c r="Y97" s="323">
        <f t="shared" si="39"/>
        <v>0.95463777928227023</v>
      </c>
      <c r="Z97" s="323">
        <f t="shared" si="65"/>
        <v>11.504239486727256</v>
      </c>
      <c r="AA97" s="326">
        <f t="shared" si="40"/>
        <v>0.40622884224780009</v>
      </c>
      <c r="AB97" s="323">
        <f t="shared" si="55"/>
        <v>7.5</v>
      </c>
      <c r="AC97" s="327"/>
      <c r="AD97" s="328">
        <f t="shared" si="41"/>
        <v>1.1838568316277538</v>
      </c>
      <c r="AE97" s="328">
        <f t="shared" si="41"/>
        <v>5.1885148003287425</v>
      </c>
      <c r="AF97" s="328">
        <f t="shared" si="42"/>
        <v>1.0005547788016411</v>
      </c>
      <c r="AG97" s="328">
        <f t="shared" si="43"/>
        <v>1.2200142359649031</v>
      </c>
      <c r="AH97" s="328">
        <f t="shared" si="50"/>
        <v>0.46999999999997044</v>
      </c>
      <c r="AI97" s="328">
        <f t="shared" si="51"/>
        <v>14.769999999999982</v>
      </c>
      <c r="AJ97" s="329">
        <f t="shared" si="52"/>
        <v>90.481622369169287</v>
      </c>
      <c r="AK97" s="329" t="str" cm="1">
        <f t="array" ref="AK97">IF(OR(E97="", H97=""), "",
  IFERROR(
     (
      INDEX($AM$3:$AM$22, MATCH(E97, $AL$3:$AL$22, 1)) +
      (E97 - INDEX($AL$3:$AL$22, MATCH(E97, $AL$3:$AL$22, 1))) *
      (INDEX($AM$3:$AM$22, MATCH(E97, $AL$3:$AL$22, 1)+1) - INDEX($AM$3:$AM$22, MATCH(E97, $AL$3:$AL$22, 1))) /
      (INDEX($AL$3:$AL$22, MATCH(E97, $AL$3:$AL$22, 1)+1) - INDEX($AL$3:$AL$22, MATCH(E97, $AL$3:$AL$22, 1)))
    ) - H97,
    ""
  )
)</f>
        <v/>
      </c>
      <c r="AL97" s="341"/>
      <c r="AM97" s="342"/>
      <c r="AN97" s="343"/>
    </row>
    <row r="98" spans="1:40" s="315" customFormat="1" ht="15" customHeight="1" x14ac:dyDescent="0.35">
      <c r="A98" s="297">
        <f t="shared" si="66"/>
        <v>3</v>
      </c>
      <c r="B98" s="298">
        <f t="shared" si="66"/>
        <v>19</v>
      </c>
      <c r="C98" s="299">
        <f t="shared" si="59"/>
        <v>14</v>
      </c>
      <c r="D98" s="300">
        <v>2332.3799999999997</v>
      </c>
      <c r="E98" s="301">
        <f t="shared" si="56"/>
        <v>2313.3799999999997</v>
      </c>
      <c r="F98" s="302">
        <v>68.72</v>
      </c>
      <c r="G98" s="302">
        <v>300</v>
      </c>
      <c r="H98" s="303">
        <f t="shared" si="44"/>
        <v>1991.0404191412658</v>
      </c>
      <c r="I98" s="304">
        <f t="shared" si="45"/>
        <v>5.7404867624370528</v>
      </c>
      <c r="J98" s="302">
        <f t="shared" si="57"/>
        <v>2332.3799999999997</v>
      </c>
      <c r="K98" s="304">
        <f t="shared" si="54"/>
        <v>2337.8799999999997</v>
      </c>
      <c r="L98" s="302">
        <v>5.5</v>
      </c>
      <c r="M98" s="305" t="s">
        <v>594</v>
      </c>
      <c r="N98" s="304">
        <f t="shared" si="62"/>
        <v>5.5</v>
      </c>
      <c r="O98" s="304">
        <f t="shared" si="60"/>
        <v>6.5</v>
      </c>
      <c r="P98" s="306">
        <f t="shared" si="46"/>
        <v>70.59601826661023</v>
      </c>
      <c r="Q98" s="307" t="str">
        <f t="shared" si="47"/>
        <v>R</v>
      </c>
      <c r="R98" s="304">
        <f t="shared" si="35"/>
        <v>3.9650396643246451</v>
      </c>
      <c r="S98" s="304">
        <f t="shared" si="58"/>
        <v>69.771818181818176</v>
      </c>
      <c r="T98" s="304">
        <f t="shared" si="36"/>
        <v>1997.7732174475218</v>
      </c>
      <c r="U98" s="304">
        <f t="shared" si="37"/>
        <v>4.6446600263287658</v>
      </c>
      <c r="V98" s="303">
        <f t="shared" si="61"/>
        <v>0.16181818181818192</v>
      </c>
      <c r="W98" s="304">
        <f t="shared" si="38"/>
        <v>0.49454545454545951</v>
      </c>
      <c r="X98" s="304">
        <f t="shared" si="48"/>
        <v>1.9071428571428584</v>
      </c>
      <c r="Y98" s="304">
        <f t="shared" si="39"/>
        <v>5.8285714285714869</v>
      </c>
      <c r="Z98" s="304">
        <f t="shared" si="65"/>
        <v>14.612148122567044</v>
      </c>
      <c r="AA98" s="308">
        <f t="shared" si="40"/>
        <v>0.39285714285714285</v>
      </c>
      <c r="AB98" s="304">
        <f t="shared" si="55"/>
        <v>9.2699999999999818</v>
      </c>
      <c r="AC98" s="309"/>
      <c r="AD98" s="310">
        <f t="shared" si="41"/>
        <v>1.1993902619705032</v>
      </c>
      <c r="AE98" s="310">
        <f t="shared" si="41"/>
        <v>5.2359877559829888</v>
      </c>
      <c r="AF98" s="310">
        <f t="shared" si="42"/>
        <v>1.0008373501504773</v>
      </c>
      <c r="AG98" s="310">
        <f t="shared" si="43"/>
        <v>1.2177479523755708</v>
      </c>
      <c r="AH98" s="310">
        <f t="shared" si="50"/>
        <v>2.7200000000000273</v>
      </c>
      <c r="AI98" s="310">
        <f t="shared" si="51"/>
        <v>14</v>
      </c>
      <c r="AJ98" s="311">
        <f t="shared" si="52"/>
        <v>90.481622369169287</v>
      </c>
      <c r="AK98" s="311" t="str" cm="1">
        <f t="array" ref="AK98">IF(OR(E98="", H98=""), "",
  IFERROR(
     (
      INDEX($AM$3:$AM$22, MATCH(E98, $AL$3:$AL$22, 1)) +
      (E98 - INDEX($AL$3:$AL$22, MATCH(E98, $AL$3:$AL$22, 1))) *
      (INDEX($AM$3:$AM$22, MATCH(E98, $AL$3:$AL$22, 1)+1) - INDEX($AM$3:$AM$22, MATCH(E98, $AL$3:$AL$22, 1))) /
      (INDEX($AL$3:$AL$22, MATCH(E98, $AL$3:$AL$22, 1)+1) - INDEX($AL$3:$AL$22, MATCH(E98, $AL$3:$AL$22, 1)))
    ) - H98,
    ""
  )
)</f>
        <v/>
      </c>
      <c r="AL98" s="338"/>
      <c r="AM98" s="339"/>
      <c r="AN98" s="340"/>
    </row>
    <row r="99" spans="1:40" s="315" customFormat="1" ht="15" customHeight="1" x14ac:dyDescent="0.35">
      <c r="A99" s="316">
        <f t="shared" si="66"/>
        <v>3</v>
      </c>
      <c r="B99" s="317">
        <f t="shared" si="66"/>
        <v>19</v>
      </c>
      <c r="C99" s="318">
        <f t="shared" si="59"/>
        <v>14.769999999999982</v>
      </c>
      <c r="D99" s="319">
        <v>2347.1499999999996</v>
      </c>
      <c r="E99" s="320">
        <f t="shared" si="56"/>
        <v>2328.1499999999996</v>
      </c>
      <c r="F99" s="321">
        <v>68.88</v>
      </c>
      <c r="G99" s="321">
        <v>302.39</v>
      </c>
      <c r="H99" s="322">
        <f t="shared" si="44"/>
        <v>1996.3816140413783</v>
      </c>
      <c r="I99" s="323">
        <f t="shared" si="45"/>
        <v>4.5375127648004527</v>
      </c>
      <c r="J99" s="321">
        <f t="shared" si="57"/>
        <v>2347.1499999999996</v>
      </c>
      <c r="K99" s="323">
        <f t="shared" si="54"/>
        <v>2356.1499999999996</v>
      </c>
      <c r="L99" s="321">
        <v>9</v>
      </c>
      <c r="M99" s="333" t="s">
        <v>589</v>
      </c>
      <c r="N99" s="323">
        <f t="shared" si="62"/>
        <v>6.5</v>
      </c>
      <c r="O99" s="323">
        <f t="shared" si="60"/>
        <v>5.5</v>
      </c>
      <c r="P99" s="324">
        <f t="shared" si="46"/>
        <v>85.892878886711557</v>
      </c>
      <c r="Q99" s="325" t="str">
        <f t="shared" si="47"/>
        <v>R</v>
      </c>
      <c r="R99" s="323">
        <f t="shared" si="35"/>
        <v>4.7678233194125905</v>
      </c>
      <c r="S99" s="323">
        <f t="shared" si="58"/>
        <v>69.015384615384605</v>
      </c>
      <c r="T99" s="323">
        <f t="shared" si="36"/>
        <v>2003.2067960241554</v>
      </c>
      <c r="U99" s="323">
        <f t="shared" si="37"/>
        <v>6.554852808537472</v>
      </c>
      <c r="V99" s="322">
        <f t="shared" si="61"/>
        <v>2.4615384615384091E-2</v>
      </c>
      <c r="W99" s="323">
        <f t="shared" si="38"/>
        <v>0.3676923076923056</v>
      </c>
      <c r="X99" s="323">
        <f t="shared" si="48"/>
        <v>0.32498307379823316</v>
      </c>
      <c r="Y99" s="323">
        <f t="shared" si="39"/>
        <v>4.8544346648611834</v>
      </c>
      <c r="Z99" s="323">
        <f t="shared" si="65"/>
        <v>10.3106251594004</v>
      </c>
      <c r="AA99" s="326">
        <f t="shared" si="40"/>
        <v>0.44008124576845009</v>
      </c>
      <c r="AB99" s="323">
        <f t="shared" si="55"/>
        <v>5.0000000000004547</v>
      </c>
      <c r="AC99" s="327"/>
      <c r="AD99" s="328">
        <f t="shared" si="41"/>
        <v>1.2021827887736942</v>
      </c>
      <c r="AE99" s="328">
        <f t="shared" si="41"/>
        <v>5.2777011251056525</v>
      </c>
      <c r="AF99" s="328">
        <f t="shared" si="42"/>
        <v>1.0005229758999228</v>
      </c>
      <c r="AG99" s="328">
        <f t="shared" si="43"/>
        <v>1.2045456960687018</v>
      </c>
      <c r="AH99" s="328">
        <f t="shared" si="50"/>
        <v>2.3899999999999864</v>
      </c>
      <c r="AI99" s="328">
        <f t="shared" si="51"/>
        <v>14.769999999999982</v>
      </c>
      <c r="AJ99" s="329">
        <f t="shared" si="52"/>
        <v>90.481622369169287</v>
      </c>
      <c r="AK99" s="329" t="str" cm="1">
        <f t="array" ref="AK99">IF(OR(E99="", H99=""), "",
  IFERROR(
     (
      INDEX($AM$3:$AM$22, MATCH(E99, $AL$3:$AL$22, 1)) +
      (E99 - INDEX($AL$3:$AL$22, MATCH(E99, $AL$3:$AL$22, 1))) *
      (INDEX($AM$3:$AM$22, MATCH(E99, $AL$3:$AL$22, 1)+1) - INDEX($AM$3:$AM$22, MATCH(E99, $AL$3:$AL$22, 1))) /
      (INDEX($AL$3:$AL$22, MATCH(E99, $AL$3:$AL$22, 1)+1) - INDEX($AL$3:$AL$22, MATCH(E99, $AL$3:$AL$22, 1)))
    ) - H99,
    ""
  )
)</f>
        <v/>
      </c>
      <c r="AL99" s="341"/>
      <c r="AM99" s="342"/>
      <c r="AN99" s="343"/>
    </row>
    <row r="100" spans="1:40" s="315" customFormat="1" ht="15" customHeight="1" x14ac:dyDescent="0.35">
      <c r="A100" s="297">
        <f t="shared" si="66"/>
        <v>3</v>
      </c>
      <c r="B100" s="298">
        <f t="shared" si="66"/>
        <v>19</v>
      </c>
      <c r="C100" s="299">
        <f t="shared" si="59"/>
        <v>14.000000000000455</v>
      </c>
      <c r="D100" s="300">
        <v>2361.15</v>
      </c>
      <c r="E100" s="301">
        <f t="shared" si="56"/>
        <v>2342.15</v>
      </c>
      <c r="F100" s="302">
        <v>70.67</v>
      </c>
      <c r="G100" s="302">
        <v>304.52</v>
      </c>
      <c r="H100" s="303">
        <f t="shared" si="44"/>
        <v>2001.2215212946355</v>
      </c>
      <c r="I100" s="304">
        <f t="shared" si="45"/>
        <v>5.7491965276946457</v>
      </c>
      <c r="J100" s="302">
        <f t="shared" si="57"/>
        <v>2361.15</v>
      </c>
      <c r="K100" s="304">
        <f t="shared" si="54"/>
        <v>2367.65</v>
      </c>
      <c r="L100" s="302">
        <v>6.5</v>
      </c>
      <c r="M100" s="305" t="s">
        <v>594</v>
      </c>
      <c r="N100" s="304">
        <f t="shared" si="62"/>
        <v>5.5</v>
      </c>
      <c r="O100" s="304">
        <f t="shared" si="60"/>
        <v>9</v>
      </c>
      <c r="P100" s="306">
        <f t="shared" si="46"/>
        <v>48.150676449351387</v>
      </c>
      <c r="Q100" s="307" t="str">
        <f t="shared" si="47"/>
        <v>R</v>
      </c>
      <c r="R100" s="304">
        <f t="shared" si="35"/>
        <v>5.0005923038336197</v>
      </c>
      <c r="S100" s="304">
        <f t="shared" si="58"/>
        <v>73.599090909090918</v>
      </c>
      <c r="T100" s="304">
        <f t="shared" si="36"/>
        <v>2007.050394785794</v>
      </c>
      <c r="U100" s="304">
        <f t="shared" si="37"/>
        <v>5.1622890598052606</v>
      </c>
      <c r="V100" s="303">
        <f t="shared" si="61"/>
        <v>0.32545454545454661</v>
      </c>
      <c r="W100" s="304">
        <f t="shared" si="38"/>
        <v>0.38727272727272644</v>
      </c>
      <c r="X100" s="304">
        <f t="shared" si="48"/>
        <v>3.8357142857141744</v>
      </c>
      <c r="Y100" s="304">
        <f t="shared" si="39"/>
        <v>4.564285714285556</v>
      </c>
      <c r="Z100" s="304">
        <f t="shared" si="65"/>
        <v>14.6343184341323</v>
      </c>
      <c r="AA100" s="308">
        <f t="shared" si="40"/>
        <v>0.39285714285713008</v>
      </c>
      <c r="AB100" s="304">
        <f t="shared" si="55"/>
        <v>8.3099999999999454</v>
      </c>
      <c r="AC100" s="309"/>
      <c r="AD100" s="310">
        <f t="shared" si="41"/>
        <v>1.2334241823843928</v>
      </c>
      <c r="AE100" s="310">
        <f t="shared" si="41"/>
        <v>5.3148766381731321</v>
      </c>
      <c r="AF100" s="310">
        <f t="shared" si="42"/>
        <v>1.0008398955835081</v>
      </c>
      <c r="AG100" s="310">
        <f t="shared" si="43"/>
        <v>1.284546462838263</v>
      </c>
      <c r="AH100" s="310">
        <f t="shared" si="50"/>
        <v>2.1299999999999955</v>
      </c>
      <c r="AI100" s="310">
        <f t="shared" si="51"/>
        <v>14.000000000000455</v>
      </c>
      <c r="AJ100" s="311">
        <f t="shared" si="52"/>
        <v>90.481622369169287</v>
      </c>
      <c r="AK100" s="311" t="str" cm="1">
        <f t="array" ref="AK100">IF(OR(E100="", H100=""), "",
  IFERROR(
     (
      INDEX($AM$3:$AM$22, MATCH(E100, $AL$3:$AL$22, 1)) +
      (E100 - INDEX($AL$3:$AL$22, MATCH(E100, $AL$3:$AL$22, 1))) *
      (INDEX($AM$3:$AM$22, MATCH(E100, $AL$3:$AL$22, 1)+1) - INDEX($AM$3:$AM$22, MATCH(E100, $AL$3:$AL$22, 1))) /
      (INDEX($AL$3:$AL$22, MATCH(E100, $AL$3:$AL$22, 1)+1) - INDEX($AL$3:$AL$22, MATCH(E100, $AL$3:$AL$22, 1)))
    ) - H100,
    ""
  )
)</f>
        <v/>
      </c>
      <c r="AL100" s="338"/>
      <c r="AM100" s="339"/>
      <c r="AN100" s="340"/>
    </row>
    <row r="101" spans="1:40" s="315" customFormat="1" ht="15" customHeight="1" x14ac:dyDescent="0.35">
      <c r="A101" s="316">
        <f t="shared" si="66"/>
        <v>3</v>
      </c>
      <c r="B101" s="317">
        <f t="shared" si="66"/>
        <v>19</v>
      </c>
      <c r="C101" s="318">
        <f t="shared" si="59"/>
        <v>14.809999999999945</v>
      </c>
      <c r="D101" s="319">
        <v>2375.96</v>
      </c>
      <c r="E101" s="320">
        <f t="shared" si="56"/>
        <v>2356.96</v>
      </c>
      <c r="F101" s="321">
        <v>74.05</v>
      </c>
      <c r="G101" s="321">
        <v>305.98</v>
      </c>
      <c r="H101" s="322">
        <f t="shared" si="44"/>
        <v>2005.709473637897</v>
      </c>
      <c r="I101" s="323">
        <f t="shared" si="45"/>
        <v>7.4039164424415977</v>
      </c>
      <c r="J101" s="321">
        <f t="shared" si="57"/>
        <v>2375.96</v>
      </c>
      <c r="K101" s="323">
        <f t="shared" si="54"/>
        <v>2383.46</v>
      </c>
      <c r="L101" s="321">
        <v>7.5</v>
      </c>
      <c r="M101" s="333" t="s">
        <v>594</v>
      </c>
      <c r="N101" s="323">
        <f t="shared" si="62"/>
        <v>9</v>
      </c>
      <c r="O101" s="323">
        <f t="shared" si="60"/>
        <v>6.5</v>
      </c>
      <c r="P101" s="324">
        <f t="shared" si="46"/>
        <v>22.370259136019715</v>
      </c>
      <c r="Q101" s="325" t="str">
        <f t="shared" si="47"/>
        <v>R</v>
      </c>
      <c r="R101" s="323">
        <f t="shared" si="35"/>
        <v>4.4443215656954598</v>
      </c>
      <c r="S101" s="323">
        <f t="shared" si="58"/>
        <v>76.49111111111111</v>
      </c>
      <c r="T101" s="323">
        <f t="shared" si="36"/>
        <v>2010.5403184929833</v>
      </c>
      <c r="U101" s="323">
        <f t="shared" si="37"/>
        <v>4.7276231957147967</v>
      </c>
      <c r="V101" s="322">
        <f t="shared" si="61"/>
        <v>0.37555555555555503</v>
      </c>
      <c r="W101" s="323">
        <f t="shared" si="38"/>
        <v>0.16222222222222626</v>
      </c>
      <c r="X101" s="323">
        <f t="shared" si="48"/>
        <v>6.8467251856853641</v>
      </c>
      <c r="Y101" s="323">
        <f t="shared" si="39"/>
        <v>2.9574611748819213</v>
      </c>
      <c r="Z101" s="323">
        <f t="shared" si="65"/>
        <v>12.18355583472885</v>
      </c>
      <c r="AA101" s="326">
        <f t="shared" si="40"/>
        <v>0.60769750168805081</v>
      </c>
      <c r="AB101" s="323">
        <f t="shared" si="55"/>
        <v>6.4999999999995453</v>
      </c>
      <c r="AC101" s="327"/>
      <c r="AD101" s="328">
        <f t="shared" si="41"/>
        <v>1.292416311101801</v>
      </c>
      <c r="AE101" s="328">
        <f t="shared" si="41"/>
        <v>5.3403584452522495</v>
      </c>
      <c r="AF101" s="328">
        <f t="shared" si="42"/>
        <v>1.0013938702041245</v>
      </c>
      <c r="AG101" s="328">
        <f t="shared" si="43"/>
        <v>1.3350217373977071</v>
      </c>
      <c r="AH101" s="328">
        <f t="shared" si="50"/>
        <v>1.4600000000000364</v>
      </c>
      <c r="AI101" s="328">
        <f t="shared" si="51"/>
        <v>14.809999999999945</v>
      </c>
      <c r="AJ101" s="329">
        <f t="shared" si="52"/>
        <v>90.481622369169287</v>
      </c>
      <c r="AK101" s="329" t="str" cm="1">
        <f t="array" ref="AK101">IF(OR(E101="", H101=""), "",
  IFERROR(
     (
      INDEX($AM$3:$AM$22, MATCH(E101, $AL$3:$AL$22, 1)) +
      (E101 - INDEX($AL$3:$AL$22, MATCH(E101, $AL$3:$AL$22, 1))) *
      (INDEX($AM$3:$AM$22, MATCH(E101, $AL$3:$AL$22, 1)+1) - INDEX($AM$3:$AM$22, MATCH(E101, $AL$3:$AL$22, 1))) /
      (INDEX($AL$3:$AL$22, MATCH(E101, $AL$3:$AL$22, 1)+1) - INDEX($AL$3:$AL$22, MATCH(E101, $AL$3:$AL$22, 1)))
    ) - H101,
    ""
  )
)</f>
        <v/>
      </c>
      <c r="AL101" s="341"/>
      <c r="AM101" s="342"/>
      <c r="AN101" s="343"/>
    </row>
    <row r="102" spans="1:40" s="315" customFormat="1" ht="15" customHeight="1" x14ac:dyDescent="0.35">
      <c r="A102" s="297">
        <f t="shared" si="66"/>
        <v>3</v>
      </c>
      <c r="B102" s="298">
        <f t="shared" si="66"/>
        <v>19</v>
      </c>
      <c r="C102" s="299">
        <f t="shared" si="59"/>
        <v>13.999999999999545</v>
      </c>
      <c r="D102" s="300">
        <v>2389.9599999999996</v>
      </c>
      <c r="E102" s="301">
        <f t="shared" si="56"/>
        <v>2370.9599999999996</v>
      </c>
      <c r="F102" s="302">
        <v>75.8</v>
      </c>
      <c r="G102" s="302">
        <v>308.64</v>
      </c>
      <c r="H102" s="303">
        <f t="shared" si="44"/>
        <v>2009.3506386752201</v>
      </c>
      <c r="I102" s="304">
        <f t="shared" si="45"/>
        <v>6.6596947388907983</v>
      </c>
      <c r="J102" s="302">
        <f t="shared" si="57"/>
        <v>2389.9599999999996</v>
      </c>
      <c r="K102" s="304">
        <f t="shared" si="54"/>
        <v>2397.4599999999996</v>
      </c>
      <c r="L102" s="302">
        <v>7.5</v>
      </c>
      <c r="M102" s="305" t="s">
        <v>589</v>
      </c>
      <c r="N102" s="304">
        <f t="shared" si="62"/>
        <v>6.5</v>
      </c>
      <c r="O102" s="304">
        <f t="shared" si="60"/>
        <v>7.5</v>
      </c>
      <c r="P102" s="306">
        <f t="shared" si="46"/>
        <v>55.730315836831856</v>
      </c>
      <c r="Q102" s="307" t="str">
        <f t="shared" si="47"/>
        <v>R</v>
      </c>
      <c r="R102" s="304">
        <f t="shared" si="35"/>
        <v>4.6690156013176587</v>
      </c>
      <c r="S102" s="304">
        <f t="shared" si="58"/>
        <v>77.819230769230771</v>
      </c>
      <c r="T102" s="304">
        <f t="shared" si="36"/>
        <v>2013.686200809796</v>
      </c>
      <c r="U102" s="304">
        <f t="shared" si="37"/>
        <v>5.5975367763870141</v>
      </c>
      <c r="V102" s="303">
        <f t="shared" si="61"/>
        <v>0.26923076923076922</v>
      </c>
      <c r="W102" s="304">
        <f t="shared" si="38"/>
        <v>0.40923076923076435</v>
      </c>
      <c r="X102" s="304">
        <f t="shared" si="48"/>
        <v>3.7500000000001217</v>
      </c>
      <c r="Y102" s="304">
        <f t="shared" si="39"/>
        <v>5.7000000000001165</v>
      </c>
      <c r="Z102" s="304">
        <f t="shared" si="65"/>
        <v>14.343957899148947</v>
      </c>
      <c r="AA102" s="308">
        <f t="shared" si="40"/>
        <v>0.46428571428572935</v>
      </c>
      <c r="AB102" s="304">
        <f t="shared" si="55"/>
        <v>7.3000000000001819</v>
      </c>
      <c r="AC102" s="309"/>
      <c r="AD102" s="310">
        <f t="shared" si="41"/>
        <v>1.3229595730117016</v>
      </c>
      <c r="AE102" s="310">
        <f t="shared" si="41"/>
        <v>5.3867842033552984</v>
      </c>
      <c r="AF102" s="310">
        <f t="shared" si="42"/>
        <v>1.0011273772940013</v>
      </c>
      <c r="AG102" s="310">
        <f t="shared" si="43"/>
        <v>1.3582017982923567</v>
      </c>
      <c r="AH102" s="310">
        <f t="shared" si="50"/>
        <v>2.6599999999999682</v>
      </c>
      <c r="AI102" s="310">
        <f t="shared" si="51"/>
        <v>13.999999999999545</v>
      </c>
      <c r="AJ102" s="311">
        <f t="shared" si="52"/>
        <v>90.481622369169287</v>
      </c>
      <c r="AK102" s="311" t="str" cm="1">
        <f t="array" ref="AK102">IF(OR(E102="", H102=""), "",
  IFERROR(
     (
      INDEX($AM$3:$AM$22, MATCH(E102, $AL$3:$AL$22, 1)) +
      (E102 - INDEX($AL$3:$AL$22, MATCH(E102, $AL$3:$AL$22, 1))) *
      (INDEX($AM$3:$AM$22, MATCH(E102, $AL$3:$AL$22, 1)+1) - INDEX($AM$3:$AM$22, MATCH(E102, $AL$3:$AL$22, 1))) /
      (INDEX($AL$3:$AL$22, MATCH(E102, $AL$3:$AL$22, 1)+1) - INDEX($AL$3:$AL$22, MATCH(E102, $AL$3:$AL$22, 1)))
    ) - H102,
    ""
  )
)</f>
        <v/>
      </c>
      <c r="AL102" s="338"/>
      <c r="AM102" s="339"/>
      <c r="AN102" s="340"/>
    </row>
    <row r="103" spans="1:40" s="315" customFormat="1" ht="15" customHeight="1" x14ac:dyDescent="0.35">
      <c r="A103" s="316">
        <f t="shared" si="66"/>
        <v>3</v>
      </c>
      <c r="B103" s="317">
        <f t="shared" si="66"/>
        <v>19</v>
      </c>
      <c r="C103" s="318">
        <f t="shared" si="59"/>
        <v>14.800000000000182</v>
      </c>
      <c r="D103" s="319">
        <v>2404.7599999999998</v>
      </c>
      <c r="E103" s="320">
        <f t="shared" si="56"/>
        <v>2385.7599999999998</v>
      </c>
      <c r="F103" s="321">
        <v>78.16</v>
      </c>
      <c r="G103" s="321">
        <v>310.95</v>
      </c>
      <c r="H103" s="322">
        <f t="shared" si="44"/>
        <v>2012.6849478424419</v>
      </c>
      <c r="I103" s="323">
        <f t="shared" si="45"/>
        <v>6.6100957960729758</v>
      </c>
      <c r="J103" s="321">
        <f t="shared" si="57"/>
        <v>2404.7599999999998</v>
      </c>
      <c r="K103" s="323">
        <f t="shared" si="54"/>
        <v>2411.2599999999998</v>
      </c>
      <c r="L103" s="321">
        <v>6.5</v>
      </c>
      <c r="M103" s="333" t="s">
        <v>589</v>
      </c>
      <c r="N103" s="323">
        <f t="shared" si="62"/>
        <v>7.5</v>
      </c>
      <c r="O103" s="323">
        <f t="shared" si="60"/>
        <v>7.5</v>
      </c>
      <c r="P103" s="324">
        <f t="shared" si="46"/>
        <v>43.63846801331232</v>
      </c>
      <c r="Q103" s="325" t="str">
        <f t="shared" si="47"/>
        <v>R</v>
      </c>
      <c r="R103" s="323">
        <f t="shared" si="35"/>
        <v>4.6206621720580561</v>
      </c>
      <c r="S103" s="323">
        <f t="shared" si="58"/>
        <v>80.52</v>
      </c>
      <c r="T103" s="323">
        <f t="shared" si="36"/>
        <v>2016.1995788064414</v>
      </c>
      <c r="U103" s="323">
        <f t="shared" si="37"/>
        <v>5.3349707584744595</v>
      </c>
      <c r="V103" s="322">
        <f t="shared" si="61"/>
        <v>0.31466666666666659</v>
      </c>
      <c r="W103" s="323">
        <f t="shared" si="38"/>
        <v>0.30800000000000033</v>
      </c>
      <c r="X103" s="323">
        <f t="shared" si="48"/>
        <v>4.7837837837837238</v>
      </c>
      <c r="Y103" s="323">
        <f t="shared" si="39"/>
        <v>4.6824324324323792</v>
      </c>
      <c r="Z103" s="323">
        <f t="shared" si="65"/>
        <v>13.0439223709175</v>
      </c>
      <c r="AA103" s="326">
        <f t="shared" si="40"/>
        <v>0.50675675675675058</v>
      </c>
      <c r="AB103" s="323">
        <f t="shared" si="55"/>
        <v>7.5</v>
      </c>
      <c r="AC103" s="327"/>
      <c r="AD103" s="328">
        <f t="shared" si="41"/>
        <v>1.3641493433587679</v>
      </c>
      <c r="AE103" s="328">
        <f t="shared" si="41"/>
        <v>5.4271013090763676</v>
      </c>
      <c r="AF103" s="328">
        <f t="shared" si="42"/>
        <v>1.0011106249506985</v>
      </c>
      <c r="AG103" s="328">
        <f t="shared" si="43"/>
        <v>1.405339113705834</v>
      </c>
      <c r="AH103" s="328">
        <f t="shared" si="50"/>
        <v>2.3100000000000023</v>
      </c>
      <c r="AI103" s="328">
        <f t="shared" si="51"/>
        <v>14.800000000000182</v>
      </c>
      <c r="AJ103" s="329">
        <f t="shared" si="52"/>
        <v>90.481622369169287</v>
      </c>
      <c r="AK103" s="329" t="str" cm="1">
        <f t="array" ref="AK103">IF(OR(E103="", H103=""), "",
  IFERROR(
     (
      INDEX($AM$3:$AM$22, MATCH(E103, $AL$3:$AL$22, 1)) +
      (E103 - INDEX($AL$3:$AL$22, MATCH(E103, $AL$3:$AL$22, 1))) *
      (INDEX($AM$3:$AM$22, MATCH(E103, $AL$3:$AL$22, 1)+1) - INDEX($AM$3:$AM$22, MATCH(E103, $AL$3:$AL$22, 1))) /
      (INDEX($AL$3:$AL$22, MATCH(E103, $AL$3:$AL$22, 1)+1) - INDEX($AL$3:$AL$22, MATCH(E103, $AL$3:$AL$22, 1)))
    ) - H103,
    ""
  )
)</f>
        <v/>
      </c>
      <c r="AL103" s="341"/>
      <c r="AM103" s="342"/>
      <c r="AN103" s="343"/>
    </row>
    <row r="104" spans="1:40" s="315" customFormat="1" ht="15" customHeight="1" x14ac:dyDescent="0.35">
      <c r="A104" s="297">
        <f t="shared" si="66"/>
        <v>3</v>
      </c>
      <c r="B104" s="298">
        <f t="shared" si="66"/>
        <v>19</v>
      </c>
      <c r="C104" s="299">
        <f t="shared" si="59"/>
        <v>14</v>
      </c>
      <c r="D104" s="300">
        <v>2418.7599999999998</v>
      </c>
      <c r="E104" s="301">
        <f t="shared" si="56"/>
        <v>2399.7599999999998</v>
      </c>
      <c r="F104" s="302">
        <v>80.87</v>
      </c>
      <c r="G104" s="302">
        <v>312.93</v>
      </c>
      <c r="H104" s="303">
        <f t="shared" si="44"/>
        <v>2015.2326412944817</v>
      </c>
      <c r="I104" s="304">
        <f t="shared" si="45"/>
        <v>7.1501719951909948</v>
      </c>
      <c r="J104" s="302">
        <f t="shared" si="57"/>
        <v>2418.7599999999998</v>
      </c>
      <c r="K104" s="304">
        <f t="shared" si="54"/>
        <v>2424.2599999999998</v>
      </c>
      <c r="L104" s="302">
        <v>5.5</v>
      </c>
      <c r="M104" s="305" t="s">
        <v>581</v>
      </c>
      <c r="N104" s="304">
        <f t="shared" si="62"/>
        <v>7.5</v>
      </c>
      <c r="O104" s="304">
        <f t="shared" si="60"/>
        <v>6.5</v>
      </c>
      <c r="P104" s="306">
        <f t="shared" si="46"/>
        <v>35.691678026322137</v>
      </c>
      <c r="Q104" s="307" t="str">
        <f t="shared" si="47"/>
        <v>R</v>
      </c>
      <c r="R104" s="304">
        <f t="shared" si="35"/>
        <v>4.057536080637945</v>
      </c>
      <c r="S104" s="304">
        <f t="shared" si="58"/>
        <v>83.218666666666678</v>
      </c>
      <c r="T104" s="304">
        <f t="shared" si="36"/>
        <v>2017.8623710064212</v>
      </c>
      <c r="U104" s="304">
        <f t="shared" si="37"/>
        <v>4.3928783174393411</v>
      </c>
      <c r="V104" s="303">
        <f t="shared" si="61"/>
        <v>0.36133333333333439</v>
      </c>
      <c r="W104" s="304">
        <f t="shared" si="38"/>
        <v>0.2640000000000024</v>
      </c>
      <c r="X104" s="304">
        <f t="shared" si="48"/>
        <v>5.8071428571428738</v>
      </c>
      <c r="Y104" s="304">
        <f t="shared" si="39"/>
        <v>4.242857142857182</v>
      </c>
      <c r="Z104" s="304">
        <f t="shared" si="65"/>
        <v>13.346987724356524</v>
      </c>
      <c r="AA104" s="308">
        <f t="shared" si="40"/>
        <v>0.5357142857142857</v>
      </c>
      <c r="AB104" s="304">
        <f t="shared" si="55"/>
        <v>9.2899999999999636</v>
      </c>
      <c r="AC104" s="309"/>
      <c r="AD104" s="310">
        <f t="shared" si="41"/>
        <v>1.4114477660878144</v>
      </c>
      <c r="AE104" s="310">
        <f t="shared" si="41"/>
        <v>5.4616588282658558</v>
      </c>
      <c r="AF104" s="310">
        <f t="shared" si="42"/>
        <v>1.0012998204254764</v>
      </c>
      <c r="AG104" s="310">
        <f t="shared" si="43"/>
        <v>1.4524397324529881</v>
      </c>
      <c r="AH104" s="310">
        <f t="shared" si="50"/>
        <v>1.9800000000000182</v>
      </c>
      <c r="AI104" s="310">
        <f t="shared" si="51"/>
        <v>14</v>
      </c>
      <c r="AJ104" s="311">
        <f t="shared" si="52"/>
        <v>90.481622369169287</v>
      </c>
      <c r="AK104" s="311" t="str" cm="1">
        <f t="array" ref="AK104">IF(OR(E104="", H104=""), "",
  IFERROR(
     (
      INDEX($AM$3:$AM$22, MATCH(E104, $AL$3:$AL$22, 1)) +
      (E104 - INDEX($AL$3:$AL$22, MATCH(E104, $AL$3:$AL$22, 1))) *
      (INDEX($AM$3:$AM$22, MATCH(E104, $AL$3:$AL$22, 1)+1) - INDEX($AM$3:$AM$22, MATCH(E104, $AL$3:$AL$22, 1))) /
      (INDEX($AL$3:$AL$22, MATCH(E104, $AL$3:$AL$22, 1)+1) - INDEX($AL$3:$AL$22, MATCH(E104, $AL$3:$AL$22, 1)))
    ) - H104,
    ""
  )
)</f>
        <v/>
      </c>
      <c r="AL104" s="338"/>
      <c r="AM104" s="339"/>
      <c r="AN104" s="340"/>
    </row>
    <row r="105" spans="1:40" s="315" customFormat="1" ht="15" customHeight="1" x14ac:dyDescent="0.35">
      <c r="A105" s="316">
        <f t="shared" si="66"/>
        <v>3</v>
      </c>
      <c r="B105" s="317">
        <f t="shared" si="66"/>
        <v>19</v>
      </c>
      <c r="C105" s="318">
        <f t="shared" si="59"/>
        <v>14.789999999999964</v>
      </c>
      <c r="D105" s="319">
        <v>2433.5499999999997</v>
      </c>
      <c r="E105" s="320">
        <f t="shared" si="56"/>
        <v>2414.5499999999997</v>
      </c>
      <c r="F105" s="321">
        <v>82.92</v>
      </c>
      <c r="G105" s="321">
        <v>314.22000000000003</v>
      </c>
      <c r="H105" s="322">
        <f t="shared" si="44"/>
        <v>2017.3178483017082</v>
      </c>
      <c r="I105" s="323">
        <f t="shared" si="45"/>
        <v>4.8990466203148895</v>
      </c>
      <c r="J105" s="321">
        <f t="shared" si="57"/>
        <v>2433.5499999999997</v>
      </c>
      <c r="K105" s="323">
        <f t="shared" si="54"/>
        <v>2441.0499999999997</v>
      </c>
      <c r="L105" s="321">
        <v>7.5</v>
      </c>
      <c r="M105" s="333" t="s">
        <v>594</v>
      </c>
      <c r="N105" s="323">
        <f t="shared" si="62"/>
        <v>6.5</v>
      </c>
      <c r="O105" s="323">
        <f t="shared" si="60"/>
        <v>5.5</v>
      </c>
      <c r="P105" s="324">
        <f t="shared" si="46"/>
        <v>31.920728527280577</v>
      </c>
      <c r="Q105" s="325" t="str">
        <f t="shared" si="47"/>
        <v>R</v>
      </c>
      <c r="R105" s="323">
        <f t="shared" si="35"/>
        <v>3.9935193607125927</v>
      </c>
      <c r="S105" s="323">
        <f t="shared" si="58"/>
        <v>84.654615384615383</v>
      </c>
      <c r="T105" s="323">
        <f t="shared" si="36"/>
        <v>2019.3740203201846</v>
      </c>
      <c r="U105" s="323">
        <f t="shared" si="37"/>
        <v>6.0976183220026883</v>
      </c>
      <c r="V105" s="322">
        <f t="shared" si="61"/>
        <v>0.31538461538461493</v>
      </c>
      <c r="W105" s="323">
        <f t="shared" si="38"/>
        <v>0.1984615384615416</v>
      </c>
      <c r="X105" s="323">
        <f t="shared" si="48"/>
        <v>4.1582150101419924</v>
      </c>
      <c r="Y105" s="323">
        <f t="shared" si="39"/>
        <v>2.6166328600406157</v>
      </c>
      <c r="Z105" s="323">
        <f t="shared" si="65"/>
        <v>11.147215309916467</v>
      </c>
      <c r="AA105" s="326">
        <f t="shared" si="40"/>
        <v>0.4394861392833006</v>
      </c>
      <c r="AB105" s="323">
        <f t="shared" si="55"/>
        <v>6.5</v>
      </c>
      <c r="AC105" s="327"/>
      <c r="AD105" s="328">
        <f t="shared" si="41"/>
        <v>1.4472270157536982</v>
      </c>
      <c r="AE105" s="328">
        <f t="shared" si="41"/>
        <v>5.484173575616583</v>
      </c>
      <c r="AF105" s="328">
        <f t="shared" si="42"/>
        <v>1.0006096972920759</v>
      </c>
      <c r="AG105" s="328">
        <f t="shared" si="43"/>
        <v>1.4775017654709843</v>
      </c>
      <c r="AH105" s="328">
        <f t="shared" si="50"/>
        <v>1.2900000000000205</v>
      </c>
      <c r="AI105" s="328">
        <f t="shared" si="51"/>
        <v>14.789999999999964</v>
      </c>
      <c r="AJ105" s="329">
        <f t="shared" si="52"/>
        <v>90.481622369169287</v>
      </c>
      <c r="AK105" s="329" t="str" cm="1">
        <f t="array" ref="AK105">IF(OR(E105="", H105=""), "",
  IFERROR(
     (
      INDEX($AM$3:$AM$22, MATCH(E105, $AL$3:$AL$22, 1)) +
      (E105 - INDEX($AL$3:$AL$22, MATCH(E105, $AL$3:$AL$22, 1))) *
      (INDEX($AM$3:$AM$22, MATCH(E105, $AL$3:$AL$22, 1)+1) - INDEX($AM$3:$AM$22, MATCH(E105, $AL$3:$AL$22, 1))) /
      (INDEX($AL$3:$AL$22, MATCH(E105, $AL$3:$AL$22, 1)+1) - INDEX($AL$3:$AL$22, MATCH(E105, $AL$3:$AL$22, 1)))
    ) - H105,
    ""
  )
)</f>
        <v/>
      </c>
      <c r="AL105" s="341"/>
      <c r="AM105" s="342"/>
      <c r="AN105" s="343"/>
    </row>
    <row r="106" spans="1:40" s="315" customFormat="1" ht="15" customHeight="1" x14ac:dyDescent="0.35">
      <c r="A106" s="297">
        <f t="shared" si="66"/>
        <v>3</v>
      </c>
      <c r="B106" s="298">
        <f t="shared" si="66"/>
        <v>19</v>
      </c>
      <c r="C106" s="299">
        <f t="shared" si="59"/>
        <v>14</v>
      </c>
      <c r="D106" s="300">
        <v>2447.5499999999997</v>
      </c>
      <c r="E106" s="301">
        <f t="shared" si="56"/>
        <v>2428.5499999999997</v>
      </c>
      <c r="F106" s="302">
        <v>85.9</v>
      </c>
      <c r="G106" s="302">
        <v>314.56</v>
      </c>
      <c r="H106" s="303">
        <f t="shared" si="44"/>
        <v>2018.6815770782498</v>
      </c>
      <c r="I106" s="304">
        <f t="shared" si="45"/>
        <v>6.4267413698578331</v>
      </c>
      <c r="J106" s="302" t="str">
        <f t="shared" si="57"/>
        <v/>
      </c>
      <c r="K106" s="304" t="str">
        <f t="shared" si="54"/>
        <v/>
      </c>
      <c r="L106" s="302"/>
      <c r="M106" s="305"/>
      <c r="N106" s="304">
        <f t="shared" si="62"/>
        <v>5.5</v>
      </c>
      <c r="O106" s="304">
        <f t="shared" si="60"/>
        <v>7.5</v>
      </c>
      <c r="P106" s="306">
        <f t="shared" si="46"/>
        <v>6.4775213540820928</v>
      </c>
      <c r="Q106" s="307" t="str">
        <f t="shared" si="47"/>
        <v>R</v>
      </c>
      <c r="R106" s="304">
        <f t="shared" si="35"/>
        <v>2.2931826407151243</v>
      </c>
      <c r="S106" s="304">
        <f t="shared" si="58"/>
        <v>89.963636363636368</v>
      </c>
      <c r="T106" s="304">
        <f t="shared" si="36"/>
        <v>2019.3672632145247</v>
      </c>
      <c r="U106" s="304">
        <f t="shared" si="37"/>
        <v>2.8084381129096802E-4</v>
      </c>
      <c r="V106" s="303">
        <f t="shared" si="61"/>
        <v>0.54181818181818253</v>
      </c>
      <c r="W106" s="304">
        <f t="shared" si="38"/>
        <v>6.1818181818177269E-2</v>
      </c>
      <c r="X106" s="304">
        <f t="shared" si="48"/>
        <v>6.3857142857142941</v>
      </c>
      <c r="Y106" s="304">
        <f t="shared" si="39"/>
        <v>0.72857142857137502</v>
      </c>
      <c r="Z106" s="304">
        <f t="shared" si="65"/>
        <v>16.358978032365393</v>
      </c>
      <c r="AA106" s="308">
        <f t="shared" si="40"/>
        <v>0.39285714285714285</v>
      </c>
      <c r="AB106" s="304" t="str">
        <f t="shared" si="55"/>
        <v/>
      </c>
      <c r="AC106" s="309"/>
      <c r="AD106" s="310">
        <f t="shared" si="41"/>
        <v>1.4992378274631293</v>
      </c>
      <c r="AE106" s="310">
        <f t="shared" si="41"/>
        <v>5.4901076950733634</v>
      </c>
      <c r="AF106" s="310">
        <f t="shared" si="42"/>
        <v>1.0010497887152796</v>
      </c>
      <c r="AG106" s="310">
        <f t="shared" si="43"/>
        <v>1.5701616616123533</v>
      </c>
      <c r="AH106" s="310">
        <f t="shared" si="50"/>
        <v>0.33999999999997499</v>
      </c>
      <c r="AI106" s="310">
        <f t="shared" si="51"/>
        <v>14</v>
      </c>
      <c r="AJ106" s="311">
        <f t="shared" si="52"/>
        <v>90.481622369169287</v>
      </c>
      <c r="AK106" s="311" t="str" cm="1">
        <f t="array" ref="AK106">IF(OR(E106="", H106=""), "",
  IFERROR(
     (
      INDEX($AM$3:$AM$22, MATCH(E106, $AL$3:$AL$22, 1)) +
      (E106 - INDEX($AL$3:$AL$22, MATCH(E106, $AL$3:$AL$22, 1))) *
      (INDEX($AM$3:$AM$22, MATCH(E106, $AL$3:$AL$22, 1)+1) - INDEX($AM$3:$AM$22, MATCH(E106, $AL$3:$AL$22, 1))) /
      (INDEX($AL$3:$AL$22, MATCH(E106, $AL$3:$AL$22, 1)+1) - INDEX($AL$3:$AL$22, MATCH(E106, $AL$3:$AL$22, 1)))
    ) - H106,
    ""
  )
)</f>
        <v/>
      </c>
      <c r="AL106" s="338"/>
      <c r="AM106" s="339"/>
      <c r="AN106" s="340"/>
    </row>
    <row r="107" spans="1:40" s="315" customFormat="1" ht="15" customHeight="1" x14ac:dyDescent="0.35">
      <c r="A107" s="316">
        <f t="shared" si="66"/>
        <v>3</v>
      </c>
      <c r="B107" s="317">
        <f t="shared" si="66"/>
        <v>19</v>
      </c>
      <c r="C107" s="318">
        <f t="shared" si="59"/>
        <v>14.840000000000146</v>
      </c>
      <c r="D107" s="319">
        <v>2462.39</v>
      </c>
      <c r="E107" s="320">
        <f t="shared" si="56"/>
        <v>2443.39</v>
      </c>
      <c r="F107" s="321">
        <v>89.1</v>
      </c>
      <c r="G107" s="321">
        <v>316.55</v>
      </c>
      <c r="H107" s="322">
        <v>2019.44</v>
      </c>
      <c r="I107" s="323">
        <f t="shared" si="45"/>
        <v>7.6155624099108419</v>
      </c>
      <c r="J107" s="321">
        <f t="shared" si="57"/>
        <v>2462.39</v>
      </c>
      <c r="K107" s="323">
        <f t="shared" si="54"/>
        <v>2465.39</v>
      </c>
      <c r="L107" s="321">
        <v>3</v>
      </c>
      <c r="M107" s="333" t="s">
        <v>579</v>
      </c>
      <c r="N107" s="323">
        <f t="shared" si="62"/>
        <v>7.5</v>
      </c>
      <c r="O107" s="323">
        <f t="shared" si="60"/>
        <v>0</v>
      </c>
      <c r="P107" s="324">
        <f t="shared" si="46"/>
        <v>31.848625945661396</v>
      </c>
      <c r="Q107" s="325" t="str">
        <f t="shared" si="47"/>
        <v>R</v>
      </c>
      <c r="R107" s="323">
        <f t="shared" si="35"/>
        <v>0.18281790002196235</v>
      </c>
      <c r="S107" s="323">
        <f t="shared" si="58"/>
        <v>89.1</v>
      </c>
      <c r="T107" s="323">
        <f t="shared" si="36"/>
        <v>2019.7384390289246</v>
      </c>
      <c r="U107" s="323">
        <f t="shared" si="37"/>
        <v>0.2461448128978912</v>
      </c>
      <c r="V107" s="322">
        <f t="shared" si="61"/>
        <v>0.42666666666666514</v>
      </c>
      <c r="W107" s="323">
        <f t="shared" si="38"/>
        <v>0.26533333333333453</v>
      </c>
      <c r="X107" s="323">
        <f t="shared" si="48"/>
        <v>6.4690026954177036</v>
      </c>
      <c r="Y107" s="323">
        <f t="shared" si="39"/>
        <v>4.0229110512129171</v>
      </c>
      <c r="Z107" s="323">
        <f t="shared" si="65"/>
        <v>15.0686594884104</v>
      </c>
      <c r="AA107" s="326">
        <f t="shared" si="40"/>
        <v>0.50539083557950992</v>
      </c>
      <c r="AB107" s="323">
        <f t="shared" si="55"/>
        <v>26.029999999999745</v>
      </c>
      <c r="AC107" s="327" t="s">
        <v>596</v>
      </c>
      <c r="AD107" s="328">
        <f t="shared" si="41"/>
        <v>1.5550883635269475</v>
      </c>
      <c r="AE107" s="328">
        <f t="shared" si="41"/>
        <v>5.5248397471880502</v>
      </c>
      <c r="AF107" s="328">
        <f t="shared" si="42"/>
        <v>1.0014748416975809</v>
      </c>
      <c r="AG107" s="328">
        <f t="shared" si="43"/>
        <v>1.5550883635269475</v>
      </c>
      <c r="AH107" s="328">
        <f t="shared" si="50"/>
        <v>1.9900000000000091</v>
      </c>
      <c r="AI107" s="328">
        <f t="shared" si="51"/>
        <v>14.840000000000146</v>
      </c>
      <c r="AJ107" s="329">
        <f t="shared" si="52"/>
        <v>90.481622369169287</v>
      </c>
      <c r="AK107" s="329" cm="1">
        <f t="array" ref="AK107">IF(OR(E107="", H107=""), "",
  IFERROR(
     (
      INDEX($AM$3:$AM$22, MATCH(E107, $AL$3:$AL$22, 1)) +
      (E107 - INDEX($AL$3:$AL$22, MATCH(E107, $AL$3:$AL$22, 1))) *
      (INDEX($AM$3:$AM$22, MATCH(E107, $AL$3:$AL$22, 1)+1) - INDEX($AM$3:$AM$22, MATCH(E107, $AL$3:$AL$22, 1))) /
      (INDEX($AL$3:$AL$22, MATCH(E107, $AL$3:$AL$22, 1)+1) - INDEX($AL$3:$AL$22, MATCH(E107, $AL$3:$AL$22, 1)))
    ) - H107,
    ""
  )
)</f>
        <v>-3.2782608695924864E-3</v>
      </c>
      <c r="AL107" s="341"/>
      <c r="AM107" s="342"/>
      <c r="AN107" s="343"/>
    </row>
    <row r="108" spans="1:40" s="315" customFormat="1" ht="15" customHeight="1" x14ac:dyDescent="0.35">
      <c r="A108" s="297">
        <f t="shared" si="66"/>
        <v>3</v>
      </c>
      <c r="B108" s="298">
        <f t="shared" si="66"/>
        <v>19</v>
      </c>
      <c r="C108" s="299">
        <f t="shared" si="59"/>
        <v>29.029999999999745</v>
      </c>
      <c r="D108" s="300">
        <v>2491.4199999999996</v>
      </c>
      <c r="E108" s="301">
        <f t="shared" si="56"/>
        <v>2472.4199999999996</v>
      </c>
      <c r="F108" s="302">
        <v>91.05</v>
      </c>
      <c r="G108" s="302">
        <v>318.2</v>
      </c>
      <c r="H108" s="303">
        <f t="shared" ref="H108:H171" si="67">IF(F108="","",H107+(COS((AD108+AD107)/2))*AI108)</f>
        <v>2019.4019998297131</v>
      </c>
      <c r="I108" s="304">
        <f t="shared" si="45"/>
        <v>2.6397060977121898</v>
      </c>
      <c r="J108" s="302" t="str">
        <f t="shared" si="57"/>
        <v/>
      </c>
      <c r="K108" s="304" t="str">
        <f t="shared" si="54"/>
        <v/>
      </c>
      <c r="L108" s="302"/>
      <c r="M108" s="305"/>
      <c r="N108" s="304">
        <f t="shared" si="62"/>
        <v>3</v>
      </c>
      <c r="O108" s="304">
        <f t="shared" si="60"/>
        <v>0</v>
      </c>
      <c r="P108" s="306">
        <f t="shared" si="46"/>
        <v>40.234970432792352</v>
      </c>
      <c r="Q108" s="307" t="str">
        <f t="shared" si="47"/>
        <v>R</v>
      </c>
      <c r="R108" s="304">
        <f t="shared" si="35"/>
        <v>0.24094070681872434</v>
      </c>
      <c r="S108" s="304">
        <f t="shared" si="58"/>
        <v>91.05</v>
      </c>
      <c r="T108" s="304">
        <f t="shared" si="36"/>
        <v>2019.0538261331872</v>
      </c>
      <c r="U108" s="304">
        <f t="shared" si="37"/>
        <v>0.18668470214987665</v>
      </c>
      <c r="V108" s="303">
        <f t="shared" si="61"/>
        <v>0.65000000000000091</v>
      </c>
      <c r="W108" s="304">
        <f t="shared" si="38"/>
        <v>0.54999999999999238</v>
      </c>
      <c r="X108" s="304">
        <f t="shared" si="48"/>
        <v>2.015156734412697</v>
      </c>
      <c r="Y108" s="304">
        <f t="shared" si="39"/>
        <v>1.7051326214261024</v>
      </c>
      <c r="Z108" s="304">
        <f t="shared" si="65"/>
        <v>25.543556005528067</v>
      </c>
      <c r="AA108" s="308">
        <f t="shared" si="40"/>
        <v>0.10334137099552278</v>
      </c>
      <c r="AB108" s="304" t="str">
        <f t="shared" si="55"/>
        <v/>
      </c>
      <c r="AC108" s="309"/>
      <c r="AD108" s="310">
        <f t="shared" si="41"/>
        <v>1.589122283940837</v>
      </c>
      <c r="AE108" s="310">
        <f t="shared" si="41"/>
        <v>5.5536376798459566</v>
      </c>
      <c r="AF108" s="310">
        <f t="shared" si="42"/>
        <v>1.000176919960321</v>
      </c>
      <c r="AG108" s="310">
        <f t="shared" si="43"/>
        <v>1.589122283940837</v>
      </c>
      <c r="AH108" s="310">
        <f t="shared" si="50"/>
        <v>1.6499999999999773</v>
      </c>
      <c r="AI108" s="310">
        <f t="shared" si="51"/>
        <v>29.029999999999745</v>
      </c>
      <c r="AJ108" s="311">
        <f t="shared" si="52"/>
        <v>90.481622369169287</v>
      </c>
      <c r="AK108" s="311" cm="1">
        <f t="array" ref="AK108">IF(OR(E108="", H108=""), "",
  IFERROR(
     (
      INDEX($AM$3:$AM$22, MATCH(E108, $AL$3:$AL$22, 1)) +
      (E108 - INDEX($AL$3:$AL$22, MATCH(E108, $AL$3:$AL$22, 1))) *
      (INDEX($AM$3:$AM$22, MATCH(E108, $AL$3:$AL$22, 1)+1) - INDEX($AM$3:$AM$22, MATCH(E108, $AL$3:$AL$22, 1))) /
      (INDEX($AL$3:$AL$22, MATCH(E108, $AL$3:$AL$22, 1)+1) - INDEX($AL$3:$AL$22, MATCH(E108, $AL$3:$AL$22, 1)))
    ) - H108,
    ""
  )
)</f>
        <v>-0.20929838043775817</v>
      </c>
      <c r="AL108" s="338"/>
      <c r="AM108" s="339"/>
      <c r="AN108" s="340"/>
    </row>
    <row r="109" spans="1:40" s="315" customFormat="1" ht="15" customHeight="1" x14ac:dyDescent="0.35">
      <c r="A109" s="316">
        <f t="shared" si="66"/>
        <v>3</v>
      </c>
      <c r="B109" s="317">
        <f t="shared" si="66"/>
        <v>19</v>
      </c>
      <c r="C109" s="318">
        <f t="shared" si="59"/>
        <v>28.889999999999873</v>
      </c>
      <c r="D109" s="319">
        <v>2520.3099999999995</v>
      </c>
      <c r="E109" s="320">
        <f t="shared" si="56"/>
        <v>2501.3099999999995</v>
      </c>
      <c r="F109" s="321">
        <v>91.39</v>
      </c>
      <c r="G109" s="321">
        <v>317.51</v>
      </c>
      <c r="H109" s="322">
        <f t="shared" si="67"/>
        <v>2018.7868910556301</v>
      </c>
      <c r="I109" s="323">
        <f t="shared" si="45"/>
        <v>0.79862842275174117</v>
      </c>
      <c r="J109" s="321">
        <f t="shared" si="57"/>
        <v>2520.3099999999995</v>
      </c>
      <c r="K109" s="323">
        <f t="shared" si="54"/>
        <v>2525.3099999999995</v>
      </c>
      <c r="L109" s="321">
        <v>5</v>
      </c>
      <c r="M109" s="333" t="s">
        <v>597</v>
      </c>
      <c r="N109" s="323" t="str">
        <f t="shared" si="62"/>
        <v/>
      </c>
      <c r="O109" s="323">
        <f t="shared" si="60"/>
        <v>0</v>
      </c>
      <c r="P109" s="324">
        <f t="shared" si="46"/>
        <v>63.762876041577869</v>
      </c>
      <c r="Q109" s="325" t="str">
        <f t="shared" si="47"/>
        <v>L</v>
      </c>
      <c r="R109" s="323">
        <f t="shared" si="35"/>
        <v>0.27898767387778262</v>
      </c>
      <c r="S109" s="323">
        <f t="shared" si="58"/>
        <v>91.39</v>
      </c>
      <c r="T109" s="323">
        <f t="shared" si="36"/>
        <v>2018.3259948134646</v>
      </c>
      <c r="U109" s="323">
        <f t="shared" si="37"/>
        <v>0.22244234528216877</v>
      </c>
      <c r="V109" s="322">
        <f t="shared" si="61"/>
        <v>0.53949494949494958</v>
      </c>
      <c r="W109" s="323">
        <f t="shared" si="38"/>
        <v>-2.2999999999999923E-2</v>
      </c>
      <c r="X109" s="323">
        <f t="shared" si="48"/>
        <v>0.35306334371755443</v>
      </c>
      <c r="Y109" s="323">
        <f t="shared" si="39"/>
        <v>-0.71651090342679202</v>
      </c>
      <c r="Z109" s="323">
        <f t="shared" si="65"/>
        <v>0.79862842275174117</v>
      </c>
      <c r="AA109" s="326">
        <f t="shared" si="40"/>
        <v>0</v>
      </c>
      <c r="AB109" s="323">
        <f t="shared" si="55"/>
        <v>23.920000000000073</v>
      </c>
      <c r="AC109" s="327"/>
      <c r="AD109" s="328">
        <f t="shared" si="41"/>
        <v>1.5950564033976178</v>
      </c>
      <c r="AE109" s="328">
        <f t="shared" si="41"/>
        <v>5.5415949080071956</v>
      </c>
      <c r="AF109" s="328">
        <f t="shared" si="42"/>
        <v>1.0000161909172025</v>
      </c>
      <c r="AG109" s="328">
        <f t="shared" si="43"/>
        <v>1.5950564033976178</v>
      </c>
      <c r="AH109" s="328">
        <f t="shared" si="50"/>
        <v>-0.68999999999999773</v>
      </c>
      <c r="AI109" s="328">
        <f t="shared" si="51"/>
        <v>28.889999999999873</v>
      </c>
      <c r="AJ109" s="329">
        <f t="shared" si="52"/>
        <v>90.481622369169287</v>
      </c>
      <c r="AK109" s="329" cm="1">
        <f t="array" ref="AK109">IF(OR(E109="", H109=""), "",
  IFERROR(
     (
      INDEX($AM$3:$AM$22, MATCH(E109, $AL$3:$AL$22, 1)) +
      (E109 - INDEX($AL$3:$AL$22, MATCH(E109, $AL$3:$AL$22, 1))) *
      (INDEX($AM$3:$AM$22, MATCH(E109, $AL$3:$AL$22, 1)+1) - INDEX($AM$3:$AM$22, MATCH(E109, $AL$3:$AL$22, 1))) /
      (INDEX($AL$3:$AL$22, MATCH(E109, $AL$3:$AL$22, 1)+1) - INDEX($AL$3:$AL$22, MATCH(E109, $AL$3:$AL$22, 1)))
    ) - H109,
    ""
  )
)</f>
        <v>0.16296691538445884</v>
      </c>
      <c r="AL109" s="341"/>
      <c r="AM109" s="342"/>
      <c r="AN109" s="343"/>
    </row>
    <row r="110" spans="1:40" s="315" customFormat="1" ht="15" customHeight="1" x14ac:dyDescent="0.35">
      <c r="A110" s="297">
        <f t="shared" si="66"/>
        <v>3</v>
      </c>
      <c r="B110" s="298">
        <f t="shared" si="66"/>
        <v>19</v>
      </c>
      <c r="C110" s="299">
        <f t="shared" si="59"/>
        <v>28.920000000000073</v>
      </c>
      <c r="D110" s="300">
        <v>2549.2299999999996</v>
      </c>
      <c r="E110" s="301">
        <f t="shared" si="56"/>
        <v>2530.2299999999996</v>
      </c>
      <c r="F110" s="302">
        <v>90.82</v>
      </c>
      <c r="G110" s="302">
        <v>320.49</v>
      </c>
      <c r="H110" s="303">
        <f t="shared" si="67"/>
        <v>2018.2291777425457</v>
      </c>
      <c r="I110" s="304">
        <f t="shared" si="45"/>
        <v>3.1467502224732691</v>
      </c>
      <c r="J110" s="302" t="str">
        <f t="shared" si="57"/>
        <v/>
      </c>
      <c r="K110" s="304" t="str">
        <f t="shared" si="54"/>
        <v/>
      </c>
      <c r="L110" s="302"/>
      <c r="M110" s="305"/>
      <c r="N110" s="304">
        <f t="shared" si="62"/>
        <v>5</v>
      </c>
      <c r="O110" s="304">
        <f t="shared" si="60"/>
        <v>0</v>
      </c>
      <c r="P110" s="306">
        <f t="shared" si="46"/>
        <v>100.83047724844197</v>
      </c>
      <c r="Q110" s="307" t="str">
        <f t="shared" si="47"/>
        <v>R</v>
      </c>
      <c r="R110" s="304">
        <f t="shared" si="35"/>
        <v>7.4254351978286906E-2</v>
      </c>
      <c r="S110" s="304">
        <f t="shared" si="58"/>
        <v>90.82</v>
      </c>
      <c r="T110" s="304">
        <f t="shared" si="36"/>
        <v>2017.9572647277262</v>
      </c>
      <c r="U110" s="304">
        <f t="shared" si="37"/>
        <v>6.6614265995509583E-2</v>
      </c>
      <c r="V110" s="303">
        <f t="shared" si="61"/>
        <v>-0.11400000000000148</v>
      </c>
      <c r="W110" s="304">
        <f t="shared" si="38"/>
        <v>0.59600000000000364</v>
      </c>
      <c r="X110" s="304">
        <f t="shared" si="48"/>
        <v>-0.59128630705394813</v>
      </c>
      <c r="Y110" s="304">
        <f t="shared" si="39"/>
        <v>3.0912863070539531</v>
      </c>
      <c r="Z110" s="304">
        <f t="shared" si="65"/>
        <v>18.200803286785437</v>
      </c>
      <c r="AA110" s="308">
        <f t="shared" si="40"/>
        <v>0.17289073305670771</v>
      </c>
      <c r="AB110" s="304" t="str">
        <f t="shared" si="55"/>
        <v/>
      </c>
      <c r="AC110" s="309"/>
      <c r="AD110" s="310">
        <f t="shared" si="41"/>
        <v>1.5851080266612501</v>
      </c>
      <c r="AE110" s="310">
        <f t="shared" si="41"/>
        <v>5.5936057197166269</v>
      </c>
      <c r="AF110" s="310">
        <f t="shared" si="42"/>
        <v>1.0002514369212021</v>
      </c>
      <c r="AG110" s="310">
        <f t="shared" si="43"/>
        <v>1.5851080266612501</v>
      </c>
      <c r="AH110" s="310">
        <f t="shared" si="50"/>
        <v>2.9800000000000182</v>
      </c>
      <c r="AI110" s="310">
        <f t="shared" si="51"/>
        <v>28.920000000000073</v>
      </c>
      <c r="AJ110" s="311">
        <f t="shared" si="52"/>
        <v>90.481622369169287</v>
      </c>
      <c r="AK110" s="311" cm="1">
        <f t="array" ref="AK110">IF(OR(E110="", H110=""), "",
  IFERROR(
     (
      INDEX($AM$3:$AM$22, MATCH(E110, $AL$3:$AL$22, 1)) +
      (E110 - INDEX($AL$3:$AL$22, MATCH(E110, $AL$3:$AL$22, 1))) *
      (INDEX($AM$3:$AM$22, MATCH(E110, $AL$3:$AL$22, 1)+1) - INDEX($AM$3:$AM$22, MATCH(E110, $AL$3:$AL$22, 1))) /
      (INDEX($AL$3:$AL$22, MATCH(E110, $AL$3:$AL$22, 1)+1) - INDEX($AL$3:$AL$22, MATCH(E110, $AL$3:$AL$22, 1)))
    ) - H110,
    ""
  )
)</f>
        <v>0.47758457629493023</v>
      </c>
      <c r="AL110" s="338"/>
      <c r="AM110" s="339"/>
      <c r="AN110" s="340"/>
    </row>
    <row r="111" spans="1:40" s="315" customFormat="1" ht="15" customHeight="1" x14ac:dyDescent="0.35">
      <c r="A111" s="316">
        <f t="shared" si="66"/>
        <v>3</v>
      </c>
      <c r="B111" s="317">
        <f t="shared" si="66"/>
        <v>19</v>
      </c>
      <c r="C111" s="318">
        <f t="shared" si="59"/>
        <v>28.960000000000036</v>
      </c>
      <c r="D111" s="319">
        <v>2578.1899999999996</v>
      </c>
      <c r="E111" s="320">
        <f t="shared" si="56"/>
        <v>2559.1899999999996</v>
      </c>
      <c r="F111" s="321">
        <v>90.82</v>
      </c>
      <c r="G111" s="321">
        <v>320.17</v>
      </c>
      <c r="H111" s="322">
        <f t="shared" si="67"/>
        <v>2017.8147250631155</v>
      </c>
      <c r="I111" s="323">
        <f t="shared" si="45"/>
        <v>0.33145776434374458</v>
      </c>
      <c r="J111" s="321" t="str">
        <f t="shared" si="57"/>
        <v/>
      </c>
      <c r="K111" s="323" t="str">
        <f t="shared" si="54"/>
        <v/>
      </c>
      <c r="L111" s="321"/>
      <c r="M111" s="333"/>
      <c r="N111" s="323" t="str">
        <f t="shared" si="62"/>
        <v/>
      </c>
      <c r="O111" s="323">
        <f t="shared" si="60"/>
        <v>0</v>
      </c>
      <c r="P111" s="324">
        <f t="shared" si="46"/>
        <v>90</v>
      </c>
      <c r="Q111" s="325" t="str">
        <f t="shared" si="47"/>
        <v>L</v>
      </c>
      <c r="R111" s="323">
        <f t="shared" si="35"/>
        <v>6.3205203928585335E-2</v>
      </c>
      <c r="S111" s="323">
        <f t="shared" si="58"/>
        <v>90.82</v>
      </c>
      <c r="T111" s="323">
        <f t="shared" si="36"/>
        <v>2017.5428120482959</v>
      </c>
      <c r="U111" s="323">
        <f t="shared" si="37"/>
        <v>5.7583594193100024E-2</v>
      </c>
      <c r="V111" s="322">
        <f t="shared" si="61"/>
        <v>0.35849831649831637</v>
      </c>
      <c r="W111" s="323">
        <f t="shared" si="38"/>
        <v>-1.0666666666666439E-2</v>
      </c>
      <c r="X111" s="323">
        <f t="shared" si="48"/>
        <v>0</v>
      </c>
      <c r="Y111" s="323">
        <f t="shared" si="39"/>
        <v>-0.33149171270717481</v>
      </c>
      <c r="Z111" s="323">
        <f t="shared" si="65"/>
        <v>0.33145776434374458</v>
      </c>
      <c r="AA111" s="326">
        <f t="shared" si="40"/>
        <v>0</v>
      </c>
      <c r="AB111" s="323" t="str">
        <f t="shared" si="55"/>
        <v/>
      </c>
      <c r="AC111" s="327"/>
      <c r="AD111" s="328">
        <f t="shared" si="41"/>
        <v>1.5851080266612501</v>
      </c>
      <c r="AE111" s="328">
        <f t="shared" si="41"/>
        <v>5.5880206661102454</v>
      </c>
      <c r="AF111" s="328">
        <f t="shared" si="42"/>
        <v>1.0000027888896854</v>
      </c>
      <c r="AG111" s="328">
        <f t="shared" si="43"/>
        <v>1.5851080266612501</v>
      </c>
      <c r="AH111" s="328">
        <f t="shared" si="50"/>
        <v>-0.31999999999999318</v>
      </c>
      <c r="AI111" s="328">
        <f t="shared" si="51"/>
        <v>28.960000000000036</v>
      </c>
      <c r="AJ111" s="329">
        <f t="shared" si="52"/>
        <v>90.481622369169287</v>
      </c>
      <c r="AK111" s="329" cm="1">
        <f t="array" ref="AK111">IF(OR(E111="", H111=""), "",
  IFERROR(
     (
      INDEX($AM$3:$AM$22, MATCH(E111, $AL$3:$AL$22, 1)) +
      (E111 - INDEX($AL$3:$AL$22, MATCH(E111, $AL$3:$AL$22, 1))) *
      (INDEX($AM$3:$AM$22, MATCH(E111, $AL$3:$AL$22, 1)+1) - INDEX($AM$3:$AM$22, MATCH(E111, $AL$3:$AL$22, 1))) /
      (INDEX($AL$3:$AL$22, MATCH(E111, $AL$3:$AL$22, 1)+1) - INDEX($AL$3:$AL$22, MATCH(E111, $AL$3:$AL$22, 1)))
    ) - H111,
    ""
  )
)</f>
        <v>0.64860537166714494</v>
      </c>
      <c r="AL111" s="341"/>
      <c r="AM111" s="342"/>
      <c r="AN111" s="343"/>
    </row>
    <row r="112" spans="1:40" s="315" customFormat="1" ht="15" customHeight="1" x14ac:dyDescent="0.35">
      <c r="A112" s="297">
        <f t="shared" si="66"/>
        <v>3</v>
      </c>
      <c r="B112" s="298">
        <f t="shared" si="66"/>
        <v>19</v>
      </c>
      <c r="C112" s="299">
        <f t="shared" si="59"/>
        <v>29.039999999999964</v>
      </c>
      <c r="D112" s="300">
        <v>2607.2299999999996</v>
      </c>
      <c r="E112" s="301">
        <f t="shared" si="56"/>
        <v>2588.2299999999996</v>
      </c>
      <c r="F112" s="302">
        <v>91.24</v>
      </c>
      <c r="G112" s="302">
        <v>319.92</v>
      </c>
      <c r="H112" s="303">
        <f t="shared" si="67"/>
        <v>2017.2927042577437</v>
      </c>
      <c r="I112" s="304">
        <f t="shared" si="45"/>
        <v>0.50491015466492106</v>
      </c>
      <c r="J112" s="302">
        <f t="shared" si="57"/>
        <v>2607.2299999999996</v>
      </c>
      <c r="K112" s="304">
        <f t="shared" si="54"/>
        <v>2610.2299999999996</v>
      </c>
      <c r="L112" s="302">
        <v>3</v>
      </c>
      <c r="M112" s="305" t="s">
        <v>598</v>
      </c>
      <c r="N112" s="304" t="str">
        <f t="shared" si="62"/>
        <v/>
      </c>
      <c r="O112" s="304">
        <f t="shared" si="60"/>
        <v>0</v>
      </c>
      <c r="P112" s="306">
        <f t="shared" si="46"/>
        <v>30.758593964958006</v>
      </c>
      <c r="Q112" s="307" t="str">
        <f t="shared" si="47"/>
        <v>L</v>
      </c>
      <c r="R112" s="304">
        <f t="shared" si="35"/>
        <v>0.12171777460902133</v>
      </c>
      <c r="S112" s="304">
        <f t="shared" si="58"/>
        <v>91.24</v>
      </c>
      <c r="T112" s="304">
        <f t="shared" si="36"/>
        <v>2016.8815367848138</v>
      </c>
      <c r="U112" s="304">
        <f t="shared" si="37"/>
        <v>0.10825888395971776</v>
      </c>
      <c r="V112" s="303">
        <f t="shared" si="61"/>
        <v>0.26133108866442151</v>
      </c>
      <c r="W112" s="304">
        <f t="shared" si="38"/>
        <v>-8.3333333333333332E-3</v>
      </c>
      <c r="X112" s="304">
        <f t="shared" si="48"/>
        <v>0.43388429752066349</v>
      </c>
      <c r="Y112" s="304">
        <f t="shared" si="39"/>
        <v>-0.25826446280991766</v>
      </c>
      <c r="Z112" s="304">
        <f t="shared" si="65"/>
        <v>0.50491015466492106</v>
      </c>
      <c r="AA112" s="308">
        <f t="shared" si="40"/>
        <v>0</v>
      </c>
      <c r="AB112" s="304">
        <f t="shared" si="55"/>
        <v>26.110000000000127</v>
      </c>
      <c r="AC112" s="309"/>
      <c r="AD112" s="310">
        <f t="shared" si="41"/>
        <v>1.5924384095196262</v>
      </c>
      <c r="AE112" s="310">
        <f t="shared" si="41"/>
        <v>5.583657342980259</v>
      </c>
      <c r="AF112" s="310">
        <f t="shared" si="42"/>
        <v>1.0000064715017394</v>
      </c>
      <c r="AG112" s="310">
        <f t="shared" si="43"/>
        <v>1.5924384095196262</v>
      </c>
      <c r="AH112" s="310">
        <f t="shared" si="50"/>
        <v>-0.25</v>
      </c>
      <c r="AI112" s="310">
        <f t="shared" si="51"/>
        <v>29.039999999999964</v>
      </c>
      <c r="AJ112" s="311">
        <f t="shared" si="52"/>
        <v>90.481622369169287</v>
      </c>
      <c r="AK112" s="311" cm="1">
        <f t="array" ref="AK112">IF(OR(E112="", H112=""), "",
  IFERROR(
     (
      INDEX($AM$3:$AM$22, MATCH(E112, $AL$3:$AL$22, 1)) +
      (E112 - INDEX($AL$3:$AL$22, MATCH(E112, $AL$3:$AL$22, 1))) *
      (INDEX($AM$3:$AM$22, MATCH(E112, $AL$3:$AL$22, 1)+1) - INDEX($AM$3:$AM$22, MATCH(E112, $AL$3:$AL$22, 1))) /
      (INDEX($AL$3:$AL$22, MATCH(E112, $AL$3:$AL$22, 1)+1) - INDEX($AL$3:$AL$22, MATCH(E112, $AL$3:$AL$22, 1)))
    ) - H112,
    ""
  )
)</f>
        <v>0.92652182921278836</v>
      </c>
      <c r="AL112" s="338"/>
      <c r="AM112" s="339"/>
      <c r="AN112" s="340"/>
    </row>
    <row r="113" spans="1:40" s="315" customFormat="1" ht="15" customHeight="1" x14ac:dyDescent="0.35">
      <c r="A113" s="316">
        <f t="shared" ref="A113:B128" si="68">+A112</f>
        <v>3</v>
      </c>
      <c r="B113" s="317">
        <f t="shared" si="68"/>
        <v>19</v>
      </c>
      <c r="C113" s="318">
        <f t="shared" si="59"/>
        <v>29.110000000000127</v>
      </c>
      <c r="D113" s="319">
        <v>2636.3399999999997</v>
      </c>
      <c r="E113" s="320">
        <f t="shared" si="56"/>
        <v>2617.3399999999997</v>
      </c>
      <c r="F113" s="321">
        <v>88.89</v>
      </c>
      <c r="G113" s="321">
        <v>320.14</v>
      </c>
      <c r="H113" s="322">
        <f t="shared" si="67"/>
        <v>2017.2596800173858</v>
      </c>
      <c r="I113" s="323">
        <f t="shared" si="45"/>
        <v>2.4324362319518644</v>
      </c>
      <c r="J113" s="321" t="str">
        <f t="shared" si="57"/>
        <v/>
      </c>
      <c r="K113" s="323" t="str">
        <f t="shared" si="54"/>
        <v/>
      </c>
      <c r="L113" s="321"/>
      <c r="M113" s="333"/>
      <c r="N113" s="323">
        <f t="shared" si="62"/>
        <v>3</v>
      </c>
      <c r="O113" s="323">
        <f t="shared" si="60"/>
        <v>0</v>
      </c>
      <c r="P113" s="324">
        <f t="shared" si="46"/>
        <v>174.65210394182364</v>
      </c>
      <c r="Q113" s="325" t="str">
        <f t="shared" si="47"/>
        <v>R</v>
      </c>
      <c r="R113" s="323">
        <f t="shared" si="35"/>
        <v>9.6570597588993501E-2</v>
      </c>
      <c r="S113" s="323">
        <f t="shared" si="58"/>
        <v>88.89</v>
      </c>
      <c r="T113" s="323">
        <f t="shared" si="36"/>
        <v>2017.6277469318645</v>
      </c>
      <c r="U113" s="323">
        <f t="shared" si="37"/>
        <v>0.10852935112347854</v>
      </c>
      <c r="V113" s="322">
        <f t="shared" si="61"/>
        <v>-0.78333333333333144</v>
      </c>
      <c r="W113" s="323">
        <f t="shared" si="38"/>
        <v>7.333333333332348E-2</v>
      </c>
      <c r="X113" s="323">
        <f t="shared" si="48"/>
        <v>-2.421848162143577</v>
      </c>
      <c r="Y113" s="323">
        <f t="shared" si="39"/>
        <v>0.22672621092404963</v>
      </c>
      <c r="Z113" s="323">
        <f t="shared" si="65"/>
        <v>23.602739570706362</v>
      </c>
      <c r="AA113" s="326">
        <f t="shared" si="40"/>
        <v>0.10305736860185458</v>
      </c>
      <c r="AB113" s="323" t="str">
        <f t="shared" si="55"/>
        <v/>
      </c>
      <c r="AC113" s="327"/>
      <c r="AD113" s="328">
        <f t="shared" si="41"/>
        <v>1.5514231720977596</v>
      </c>
      <c r="AE113" s="328">
        <f t="shared" si="41"/>
        <v>5.5874970673346462</v>
      </c>
      <c r="AF113" s="328">
        <f t="shared" si="42"/>
        <v>1.0001502224008769</v>
      </c>
      <c r="AG113" s="328">
        <f t="shared" si="43"/>
        <v>1.5514231720977596</v>
      </c>
      <c r="AH113" s="328">
        <f t="shared" si="50"/>
        <v>0.21999999999997044</v>
      </c>
      <c r="AI113" s="328">
        <f t="shared" si="51"/>
        <v>29.110000000000127</v>
      </c>
      <c r="AJ113" s="329">
        <f t="shared" si="52"/>
        <v>90.481622369169287</v>
      </c>
      <c r="AK113" s="329" cm="1">
        <f t="array" ref="AK113">IF(OR(E113="", H113=""), "",
  IFERROR(
     (
      INDEX($AM$3:$AM$22, MATCH(E113, $AL$3:$AL$22, 1)) +
      (E113 - INDEX($AL$3:$AL$22, MATCH(E113, $AL$3:$AL$22, 1))) *
      (INDEX($AM$3:$AM$22, MATCH(E113, $AL$3:$AL$22, 1)+1) - INDEX($AM$3:$AM$22, MATCH(E113, $AL$3:$AL$22, 1))) /
      (INDEX($AL$3:$AL$22, MATCH(E113, $AL$3:$AL$22, 1)+1) - INDEX($AL$3:$AL$22, MATCH(E113, $AL$3:$AL$22, 1)))
    ) - H113,
    ""
  )
)</f>
        <v>0.71485331594749368</v>
      </c>
      <c r="AL113" s="341"/>
      <c r="AM113" s="342"/>
      <c r="AN113" s="343"/>
    </row>
    <row r="114" spans="1:40" s="315" customFormat="1" ht="15" customHeight="1" x14ac:dyDescent="0.35">
      <c r="A114" s="297">
        <f t="shared" si="68"/>
        <v>3</v>
      </c>
      <c r="B114" s="298">
        <f t="shared" si="68"/>
        <v>19</v>
      </c>
      <c r="C114" s="299">
        <f t="shared" si="59"/>
        <v>29.059999999999945</v>
      </c>
      <c r="D114" s="300">
        <v>2665.3999999999996</v>
      </c>
      <c r="E114" s="301">
        <f t="shared" si="56"/>
        <v>2646.3999999999996</v>
      </c>
      <c r="F114" s="302">
        <v>88.89</v>
      </c>
      <c r="G114" s="302">
        <v>320.18</v>
      </c>
      <c r="H114" s="303">
        <f t="shared" si="67"/>
        <v>2017.8226286771098</v>
      </c>
      <c r="I114" s="304">
        <f t="shared" si="45"/>
        <v>4.1286125796203617E-2</v>
      </c>
      <c r="J114" s="302" t="str">
        <f t="shared" si="57"/>
        <v/>
      </c>
      <c r="K114" s="304" t="str">
        <f t="shared" si="54"/>
        <v/>
      </c>
      <c r="L114" s="302"/>
      <c r="M114" s="305"/>
      <c r="N114" s="304" t="str">
        <f t="shared" si="62"/>
        <v/>
      </c>
      <c r="O114" s="304">
        <f t="shared" si="60"/>
        <v>0</v>
      </c>
      <c r="P114" s="306">
        <f t="shared" si="46"/>
        <v>90</v>
      </c>
      <c r="Q114" s="307" t="str">
        <f t="shared" si="47"/>
        <v>R</v>
      </c>
      <c r="R114" s="304">
        <f t="shared" si="35"/>
        <v>0.11614460558476392</v>
      </c>
      <c r="S114" s="304">
        <f t="shared" si="58"/>
        <v>88.89</v>
      </c>
      <c r="T114" s="304">
        <f t="shared" si="36"/>
        <v>2018.1906955915886</v>
      </c>
      <c r="U114" s="304">
        <f t="shared" si="37"/>
        <v>0.13388789549935021</v>
      </c>
      <c r="V114" s="303">
        <f t="shared" si="61"/>
        <v>-5.4501309390197837E-2</v>
      </c>
      <c r="W114" s="304">
        <f t="shared" si="38"/>
        <v>1.3333333333340155E-3</v>
      </c>
      <c r="X114" s="304">
        <f t="shared" si="48"/>
        <v>0</v>
      </c>
      <c r="Y114" s="304">
        <f t="shared" si="39"/>
        <v>4.1293874741934487E-2</v>
      </c>
      <c r="Z114" s="304">
        <f t="shared" si="65"/>
        <v>4.1286125796203617E-2</v>
      </c>
      <c r="AA114" s="308">
        <f t="shared" si="40"/>
        <v>0</v>
      </c>
      <c r="AB114" s="304" t="str">
        <f t="shared" si="55"/>
        <v/>
      </c>
      <c r="AC114" s="309" t="s">
        <v>599</v>
      </c>
      <c r="AD114" s="310">
        <f t="shared" si="41"/>
        <v>1.5514231720977596</v>
      </c>
      <c r="AE114" s="310">
        <f t="shared" si="41"/>
        <v>5.5881951990354448</v>
      </c>
      <c r="AF114" s="310">
        <f t="shared" si="42"/>
        <v>1.0000000432694898</v>
      </c>
      <c r="AG114" s="310">
        <f t="shared" si="43"/>
        <v>1.5514231720977596</v>
      </c>
      <c r="AH114" s="310">
        <f t="shared" si="50"/>
        <v>4.0000000000020464E-2</v>
      </c>
      <c r="AI114" s="310">
        <f t="shared" si="51"/>
        <v>29.059999999999945</v>
      </c>
      <c r="AJ114" s="311">
        <f t="shared" si="52"/>
        <v>90.481622369169287</v>
      </c>
      <c r="AK114" s="311" cm="1">
        <f t="array" ref="AK114">IF(OR(E114="", H114=""), "",
  IFERROR(
     (
      INDEX($AM$3:$AM$22, MATCH(E114, $AL$3:$AL$22, 1)) +
      (E114 - INDEX($AL$3:$AL$22, MATCH(E114, $AL$3:$AL$22, 1))) *
      (INDEX($AM$3:$AM$22, MATCH(E114, $AL$3:$AL$22, 1)+1) - INDEX($AM$3:$AM$22, MATCH(E114, $AL$3:$AL$22, 1))) /
      (INDEX($AL$3:$AL$22, MATCH(E114, $AL$3:$AL$22, 1)+1) - INDEX($AL$3:$AL$22, MATCH(E114, $AL$3:$AL$22, 1)))
    ) - H114,
    ""
  )
)</f>
        <v>-9.2367807544633251E-2</v>
      </c>
      <c r="AL114" s="338"/>
      <c r="AM114" s="339"/>
      <c r="AN114" s="340"/>
    </row>
    <row r="115" spans="1:40" s="315" customFormat="1" ht="15" customHeight="1" x14ac:dyDescent="0.35">
      <c r="A115" s="316">
        <f t="shared" si="68"/>
        <v>3</v>
      </c>
      <c r="B115" s="317">
        <f t="shared" si="68"/>
        <v>19</v>
      </c>
      <c r="C115" s="318">
        <f t="shared" si="59"/>
        <v>29</v>
      </c>
      <c r="D115" s="319">
        <v>2694.3999999999996</v>
      </c>
      <c r="E115" s="320">
        <f t="shared" si="56"/>
        <v>2675.3999999999996</v>
      </c>
      <c r="F115" s="321">
        <v>88.56</v>
      </c>
      <c r="G115" s="321">
        <v>319.81</v>
      </c>
      <c r="H115" s="322">
        <f t="shared" si="67"/>
        <v>2018.4679109083427</v>
      </c>
      <c r="I115" s="323">
        <f t="shared" si="45"/>
        <v>0.51280703352283286</v>
      </c>
      <c r="J115" s="321">
        <f t="shared" si="57"/>
        <v>2694.3999999999996</v>
      </c>
      <c r="K115" s="323">
        <f t="shared" si="54"/>
        <v>2698.3999999999996</v>
      </c>
      <c r="L115" s="321">
        <v>4</v>
      </c>
      <c r="M115" s="333" t="s">
        <v>581</v>
      </c>
      <c r="N115" s="323" t="str">
        <f t="shared" si="62"/>
        <v/>
      </c>
      <c r="O115" s="323">
        <f t="shared" si="60"/>
        <v>0</v>
      </c>
      <c r="P115" s="324">
        <f t="shared" si="46"/>
        <v>131.73659913691557</v>
      </c>
      <c r="Q115" s="325" t="str">
        <f t="shared" si="47"/>
        <v>L</v>
      </c>
      <c r="R115" s="323">
        <f t="shared" si="35"/>
        <v>0.25462285986625133</v>
      </c>
      <c r="S115" s="323">
        <f t="shared" si="58"/>
        <v>88.56</v>
      </c>
      <c r="T115" s="323">
        <f t="shared" si="36"/>
        <v>2018.945382721766</v>
      </c>
      <c r="U115" s="323">
        <f t="shared" si="37"/>
        <v>0.32809921010063386</v>
      </c>
      <c r="V115" s="322">
        <f t="shared" si="61"/>
        <v>-0.19216785135303591</v>
      </c>
      <c r="W115" s="323">
        <f t="shared" si="38"/>
        <v>-1.2333333333333484E-2</v>
      </c>
      <c r="X115" s="323">
        <f t="shared" si="48"/>
        <v>-0.34137931034482583</v>
      </c>
      <c r="Y115" s="323">
        <f t="shared" si="39"/>
        <v>-0.38275862068965988</v>
      </c>
      <c r="Z115" s="323">
        <f t="shared" si="65"/>
        <v>0.51280703352283286</v>
      </c>
      <c r="AA115" s="326">
        <f t="shared" si="40"/>
        <v>0</v>
      </c>
      <c r="AB115" s="323">
        <f t="shared" si="55"/>
        <v>25.039999999999964</v>
      </c>
      <c r="AC115" s="327"/>
      <c r="AD115" s="328">
        <f t="shared" si="41"/>
        <v>1.5456635855661782</v>
      </c>
      <c r="AE115" s="328">
        <f t="shared" si="41"/>
        <v>5.5817374808030653</v>
      </c>
      <c r="AF115" s="328">
        <f t="shared" si="42"/>
        <v>1.0000066755171277</v>
      </c>
      <c r="AG115" s="328">
        <f t="shared" si="43"/>
        <v>1.5456635855661782</v>
      </c>
      <c r="AH115" s="328">
        <f t="shared" si="50"/>
        <v>-0.37000000000000455</v>
      </c>
      <c r="AI115" s="328">
        <f t="shared" si="51"/>
        <v>29</v>
      </c>
      <c r="AJ115" s="329">
        <f t="shared" si="52"/>
        <v>90.401073732072547</v>
      </c>
      <c r="AK115" s="329" cm="1">
        <f t="array" ref="AK115">IF(OR(E115="", H115=""), "",
  IFERROR(
     (
      INDEX($AM$3:$AM$22, MATCH(E115, $AL$3:$AL$22, 1)) +
      (E115 - INDEX($AL$3:$AL$22, MATCH(E115, $AL$3:$AL$22, 1))) *
      (INDEX($AM$3:$AM$22, MATCH(E115, $AL$3:$AL$22, 1)+1) - INDEX($AM$3:$AM$22, MATCH(E115, $AL$3:$AL$22, 1))) /
      (INDEX($AL$3:$AL$22, MATCH(E115, $AL$3:$AL$22, 1)+1) - INDEX($AL$3:$AL$22, MATCH(E115, $AL$3:$AL$22, 1)))
    ) - H115,
    ""
  )
)</f>
        <v>-0.94571090834256211</v>
      </c>
      <c r="AL115" s="341"/>
      <c r="AM115" s="342"/>
      <c r="AN115" s="343"/>
    </row>
    <row r="116" spans="1:40" s="315" customFormat="1" ht="15" customHeight="1" x14ac:dyDescent="0.35">
      <c r="A116" s="297">
        <f t="shared" si="68"/>
        <v>3</v>
      </c>
      <c r="B116" s="298">
        <v>19</v>
      </c>
      <c r="C116" s="299">
        <f t="shared" si="59"/>
        <v>29.039999999999964</v>
      </c>
      <c r="D116" s="300">
        <v>2723.4399999999996</v>
      </c>
      <c r="E116" s="301">
        <f t="shared" si="56"/>
        <v>2704.4399999999996</v>
      </c>
      <c r="F116" s="302">
        <v>90.28</v>
      </c>
      <c r="G116" s="302">
        <v>320.5</v>
      </c>
      <c r="H116" s="303">
        <f t="shared" si="67"/>
        <v>2018.7618751842731</v>
      </c>
      <c r="I116" s="304">
        <f t="shared" si="45"/>
        <v>1.914480985691063</v>
      </c>
      <c r="J116" s="302">
        <f t="shared" si="57"/>
        <v>2723.4399999999996</v>
      </c>
      <c r="K116" s="304">
        <f t="shared" si="54"/>
        <v>2727.4399999999996</v>
      </c>
      <c r="L116" s="302">
        <v>4</v>
      </c>
      <c r="M116" s="305" t="s">
        <v>580</v>
      </c>
      <c r="N116" s="304">
        <f t="shared" si="62"/>
        <v>4</v>
      </c>
      <c r="O116" s="304">
        <f t="shared" si="60"/>
        <v>0</v>
      </c>
      <c r="P116" s="306">
        <f t="shared" si="46"/>
        <v>21.857061981414809</v>
      </c>
      <c r="Q116" s="307" t="str">
        <f t="shared" si="47"/>
        <v>R</v>
      </c>
      <c r="R116" s="304">
        <f t="shared" si="35"/>
        <v>1.1167110569387467E-2</v>
      </c>
      <c r="S116" s="304">
        <f t="shared" si="58"/>
        <v>90.28</v>
      </c>
      <c r="T116" s="304">
        <f t="shared" si="36"/>
        <v>2018.6690240376465</v>
      </c>
      <c r="U116" s="304">
        <f t="shared" si="37"/>
        <v>1.0630139089116095E-2</v>
      </c>
      <c r="V116" s="303">
        <f t="shared" si="61"/>
        <v>0.42999999999999972</v>
      </c>
      <c r="W116" s="304">
        <f t="shared" si="38"/>
        <v>0.17249999999999943</v>
      </c>
      <c r="X116" s="304">
        <f t="shared" si="48"/>
        <v>1.7768595041322324</v>
      </c>
      <c r="Y116" s="304">
        <f t="shared" si="39"/>
        <v>0.71280991735537047</v>
      </c>
      <c r="Z116" s="304">
        <f t="shared" si="65"/>
        <v>13.899131956117099</v>
      </c>
      <c r="AA116" s="308">
        <f t="shared" si="40"/>
        <v>0.13774104683195609</v>
      </c>
      <c r="AB116" s="304">
        <f t="shared" si="55"/>
        <v>25.139999999999873</v>
      </c>
      <c r="AC116" s="309"/>
      <c r="AD116" s="310">
        <f t="shared" si="41"/>
        <v>1.5756832487004808</v>
      </c>
      <c r="AE116" s="310">
        <f t="shared" si="41"/>
        <v>5.5937802526418263</v>
      </c>
      <c r="AF116" s="310">
        <f t="shared" si="42"/>
        <v>1.0000930516536253</v>
      </c>
      <c r="AG116" s="310">
        <f t="shared" si="43"/>
        <v>1.5756832487004808</v>
      </c>
      <c r="AH116" s="310">
        <f t="shared" si="50"/>
        <v>0.68999999999999773</v>
      </c>
      <c r="AI116" s="310">
        <f t="shared" si="51"/>
        <v>29.039999999999964</v>
      </c>
      <c r="AJ116" s="311">
        <f t="shared" si="52"/>
        <v>90.401073732072547</v>
      </c>
      <c r="AK116" s="311" cm="1">
        <f t="array" ref="AK116">IF(OR(E116="", H116=""), "",
  IFERROR(
     (
      INDEX($AM$3:$AM$22, MATCH(E116, $AL$3:$AL$22, 1)) +
      (E116 - INDEX($AL$3:$AL$22, MATCH(E116, $AL$3:$AL$22, 1))) *
      (INDEX($AM$3:$AM$22, MATCH(E116, $AL$3:$AL$22, 1)+1) - INDEX($AM$3:$AM$22, MATCH(E116, $AL$3:$AL$22, 1))) /
      (INDEX($AL$3:$AL$22, MATCH(E116, $AL$3:$AL$22, 1)+1) - INDEX($AL$3:$AL$22, MATCH(E116, $AL$3:$AL$22, 1)))
    ) - H116,
    ""
  )
)</f>
        <v>-1.4429551842731598</v>
      </c>
      <c r="AL116" s="338"/>
      <c r="AM116" s="339"/>
      <c r="AN116" s="340"/>
    </row>
    <row r="117" spans="1:40" s="315" customFormat="1" ht="15" customHeight="1" x14ac:dyDescent="0.35">
      <c r="A117" s="316">
        <f t="shared" si="68"/>
        <v>3</v>
      </c>
      <c r="B117" s="317">
        <f t="shared" si="68"/>
        <v>19</v>
      </c>
      <c r="C117" s="318">
        <f t="shared" si="59"/>
        <v>29.139999999999873</v>
      </c>
      <c r="D117" s="319">
        <v>2752.5799999999995</v>
      </c>
      <c r="E117" s="320">
        <f t="shared" si="56"/>
        <v>2733.5799999999995</v>
      </c>
      <c r="F117" s="321">
        <v>91.65</v>
      </c>
      <c r="G117" s="321">
        <v>320.55</v>
      </c>
      <c r="H117" s="322">
        <f t="shared" si="67"/>
        <v>2018.271110056392</v>
      </c>
      <c r="I117" s="323">
        <f t="shared" si="45"/>
        <v>1.4113711081414877</v>
      </c>
      <c r="J117" s="321" t="str">
        <f t="shared" si="57"/>
        <v/>
      </c>
      <c r="K117" s="323" t="str">
        <f t="shared" si="54"/>
        <v/>
      </c>
      <c r="L117" s="321"/>
      <c r="M117" s="333"/>
      <c r="N117" s="323">
        <f t="shared" si="62"/>
        <v>4</v>
      </c>
      <c r="O117" s="323">
        <f t="shared" si="60"/>
        <v>0</v>
      </c>
      <c r="P117" s="324">
        <f t="shared" si="46"/>
        <v>2.0898131839625025</v>
      </c>
      <c r="Q117" s="325" t="str">
        <f t="shared" si="47"/>
        <v>R</v>
      </c>
      <c r="R117" s="323">
        <f t="shared" si="35"/>
        <v>0.306047985186161</v>
      </c>
      <c r="S117" s="323">
        <f t="shared" si="58"/>
        <v>91.65</v>
      </c>
      <c r="T117" s="323">
        <f t="shared" si="36"/>
        <v>2017.7240249613949</v>
      </c>
      <c r="U117" s="323">
        <f t="shared" si="37"/>
        <v>0.24782971527709546</v>
      </c>
      <c r="V117" s="322">
        <f t="shared" si="61"/>
        <v>0.34250000000000114</v>
      </c>
      <c r="W117" s="323">
        <f t="shared" si="38"/>
        <v>1.2500000000002842E-2</v>
      </c>
      <c r="X117" s="323">
        <f t="shared" si="48"/>
        <v>1.4104323953328866</v>
      </c>
      <c r="Y117" s="323">
        <f t="shared" si="39"/>
        <v>5.1475634866175277E-2</v>
      </c>
      <c r="Z117" s="323">
        <f t="shared" si="65"/>
        <v>10.281838522810693</v>
      </c>
      <c r="AA117" s="326">
        <f t="shared" si="40"/>
        <v>0.13726835964310286</v>
      </c>
      <c r="AB117" s="323" t="str">
        <f t="shared" si="55"/>
        <v/>
      </c>
      <c r="AC117" s="327"/>
      <c r="AD117" s="328">
        <f t="shared" si="41"/>
        <v>1.5995942594528032</v>
      </c>
      <c r="AE117" s="328">
        <f t="shared" si="41"/>
        <v>5.5946529172678234</v>
      </c>
      <c r="AF117" s="328">
        <f t="shared" si="42"/>
        <v>1.0000505687581049</v>
      </c>
      <c r="AG117" s="328">
        <f t="shared" si="43"/>
        <v>1.5995942594528032</v>
      </c>
      <c r="AH117" s="328">
        <f t="shared" si="50"/>
        <v>5.0000000000011369E-2</v>
      </c>
      <c r="AI117" s="328">
        <f t="shared" si="51"/>
        <v>29.139999999999873</v>
      </c>
      <c r="AJ117" s="329">
        <f t="shared" si="52"/>
        <v>90.401073732072547</v>
      </c>
      <c r="AK117" s="329" cm="1">
        <f t="array" ref="AK117">IF(OR(E117="", H117=""), "",
  IFERROR(
     (
      INDEX($AM$3:$AM$22, MATCH(E117, $AL$3:$AL$22, 1)) +
      (E117 - INDEX($AL$3:$AL$22, MATCH(E117, $AL$3:$AL$22, 1))) *
      (INDEX($AM$3:$AM$22, MATCH(E117, $AL$3:$AL$22, 1)+1) - INDEX($AM$3:$AM$22, MATCH(E117, $AL$3:$AL$22, 1))) /
      (INDEX($AL$3:$AL$22, MATCH(E117, $AL$3:$AL$22, 1)+1) - INDEX($AL$3:$AL$22, MATCH(E117, $AL$3:$AL$22, 1)))
    ) - H117,
    ""
  )
)</f>
        <v>-1.1561700563920567</v>
      </c>
      <c r="AL117" s="341"/>
      <c r="AM117" s="342"/>
      <c r="AN117" s="343"/>
    </row>
    <row r="118" spans="1:40" s="315" customFormat="1" ht="15" customHeight="1" x14ac:dyDescent="0.35">
      <c r="A118" s="297">
        <f t="shared" si="68"/>
        <v>3</v>
      </c>
      <c r="B118" s="298">
        <f t="shared" si="68"/>
        <v>19</v>
      </c>
      <c r="C118" s="299">
        <f t="shared" si="59"/>
        <v>29.110000000000127</v>
      </c>
      <c r="D118" s="300">
        <v>2781.6899999999996</v>
      </c>
      <c r="E118" s="301">
        <f t="shared" si="56"/>
        <v>2762.6899999999996</v>
      </c>
      <c r="F118" s="302">
        <v>90.04</v>
      </c>
      <c r="G118" s="302">
        <v>319.68</v>
      </c>
      <c r="H118" s="303">
        <f t="shared" si="67"/>
        <v>2017.841810402477</v>
      </c>
      <c r="I118" s="304">
        <f t="shared" si="45"/>
        <v>1.8859176194919998</v>
      </c>
      <c r="J118" s="302">
        <f t="shared" si="57"/>
        <v>2781.6899999999996</v>
      </c>
      <c r="K118" s="304">
        <f t="shared" si="54"/>
        <v>2786.1899999999996</v>
      </c>
      <c r="L118" s="302">
        <v>4.5</v>
      </c>
      <c r="M118" s="305" t="s">
        <v>580</v>
      </c>
      <c r="N118" s="304" t="str">
        <f t="shared" si="62"/>
        <v/>
      </c>
      <c r="O118" s="304">
        <f t="shared" si="60"/>
        <v>0</v>
      </c>
      <c r="P118" s="306">
        <f t="shared" si="46"/>
        <v>151.61781955624522</v>
      </c>
      <c r="Q118" s="307" t="str">
        <f t="shared" si="47"/>
        <v>L</v>
      </c>
      <c r="R118" s="304">
        <f t="shared" si="35"/>
        <v>1.5187855796634263E-4</v>
      </c>
      <c r="S118" s="304">
        <f t="shared" si="58"/>
        <v>90.04</v>
      </c>
      <c r="T118" s="304">
        <f t="shared" si="36"/>
        <v>2017.8285459012393</v>
      </c>
      <c r="U118" s="304">
        <f t="shared" si="37"/>
        <v>1.5115164954630943E-4</v>
      </c>
      <c r="V118" s="303">
        <f t="shared" si="61"/>
        <v>0.19344404954898831</v>
      </c>
      <c r="W118" s="304">
        <f t="shared" si="38"/>
        <v>-2.9000000000000151E-2</v>
      </c>
      <c r="X118" s="304">
        <f t="shared" si="48"/>
        <v>-1.6592236344898581</v>
      </c>
      <c r="Y118" s="304">
        <f t="shared" si="39"/>
        <v>-0.89659910683613953</v>
      </c>
      <c r="Z118" s="304">
        <f t="shared" si="65"/>
        <v>1.8859176194919998</v>
      </c>
      <c r="AA118" s="308">
        <f t="shared" si="40"/>
        <v>0</v>
      </c>
      <c r="AB118" s="304">
        <f t="shared" si="55"/>
        <v>24.590000000000146</v>
      </c>
      <c r="AC118" s="309"/>
      <c r="AD118" s="310">
        <f t="shared" si="41"/>
        <v>1.5714944584956945</v>
      </c>
      <c r="AE118" s="310">
        <f t="shared" si="41"/>
        <v>5.5794685527754728</v>
      </c>
      <c r="AF118" s="310">
        <f t="shared" si="42"/>
        <v>1.0000902954736448</v>
      </c>
      <c r="AG118" s="310">
        <f t="shared" si="43"/>
        <v>1.5714944584956945</v>
      </c>
      <c r="AH118" s="310">
        <f t="shared" si="50"/>
        <v>-0.87000000000000455</v>
      </c>
      <c r="AI118" s="310">
        <f t="shared" si="51"/>
        <v>29.110000000000127</v>
      </c>
      <c r="AJ118" s="311">
        <f t="shared" si="52"/>
        <v>90.401073732072547</v>
      </c>
      <c r="AK118" s="311" cm="1">
        <f t="array" ref="AK118">IF(OR(E118="", H118=""), "",
  IFERROR(
     (
      INDEX($AM$3:$AM$22, MATCH(E118, $AL$3:$AL$22, 1)) +
      (E118 - INDEX($AL$3:$AL$22, MATCH(E118, $AL$3:$AL$22, 1))) *
      (INDEX($AM$3:$AM$22, MATCH(E118, $AL$3:$AL$22, 1)+1) - INDEX($AM$3:$AM$22, MATCH(E118, $AL$3:$AL$22, 1))) /
      (INDEX($AL$3:$AL$22, MATCH(E118, $AL$3:$AL$22, 1)+1) - INDEX($AL$3:$AL$22, MATCH(E118, $AL$3:$AL$22, 1)))
    ) - H118,
    ""
  )
)</f>
        <v>-0.93064040247691082</v>
      </c>
      <c r="AL118" s="338"/>
      <c r="AM118" s="339"/>
      <c r="AN118" s="340"/>
    </row>
    <row r="119" spans="1:40" s="315" customFormat="1" ht="15" customHeight="1" x14ac:dyDescent="0.35">
      <c r="A119" s="316">
        <f t="shared" si="68"/>
        <v>3</v>
      </c>
      <c r="B119" s="317">
        <f t="shared" si="68"/>
        <v>19</v>
      </c>
      <c r="C119" s="318">
        <f t="shared" si="59"/>
        <v>29.090000000000146</v>
      </c>
      <c r="D119" s="319">
        <v>2810.7799999999997</v>
      </c>
      <c r="E119" s="320">
        <f t="shared" si="56"/>
        <v>2791.7799999999997</v>
      </c>
      <c r="F119" s="321">
        <v>92.21</v>
      </c>
      <c r="G119" s="321">
        <v>319.57</v>
      </c>
      <c r="H119" s="322">
        <f t="shared" si="67"/>
        <v>2017.2706662887972</v>
      </c>
      <c r="I119" s="323">
        <f t="shared" si="45"/>
        <v>2.2407543725521482</v>
      </c>
      <c r="J119" s="321" t="str">
        <f t="shared" si="57"/>
        <v/>
      </c>
      <c r="K119" s="323" t="str">
        <f t="shared" si="54"/>
        <v/>
      </c>
      <c r="L119" s="321"/>
      <c r="M119" s="333"/>
      <c r="N119" s="323">
        <f t="shared" si="62"/>
        <v>4.5</v>
      </c>
      <c r="O119" s="323">
        <f t="shared" si="60"/>
        <v>0</v>
      </c>
      <c r="P119" s="324">
        <f t="shared" si="46"/>
        <v>2.9011787346338451</v>
      </c>
      <c r="Q119" s="325" t="str">
        <f t="shared" si="47"/>
        <v>L</v>
      </c>
      <c r="R119" s="323">
        <f t="shared" si="35"/>
        <v>0.38403781494973072</v>
      </c>
      <c r="S119" s="323">
        <f t="shared" si="58"/>
        <v>92.21</v>
      </c>
      <c r="T119" s="323">
        <f t="shared" si="36"/>
        <v>2016.5379842459431</v>
      </c>
      <c r="U119" s="323">
        <f t="shared" si="37"/>
        <v>0.31476737686500028</v>
      </c>
      <c r="V119" s="322">
        <f t="shared" si="61"/>
        <v>0.48222222222221944</v>
      </c>
      <c r="W119" s="323">
        <f t="shared" si="38"/>
        <v>-2.4444444444447475E-2</v>
      </c>
      <c r="X119" s="323">
        <f t="shared" si="48"/>
        <v>2.2378824338260328</v>
      </c>
      <c r="Y119" s="323">
        <f t="shared" si="39"/>
        <v>-0.11344104503267077</v>
      </c>
      <c r="Z119" s="323">
        <f t="shared" si="65"/>
        <v>14.485232155009404</v>
      </c>
      <c r="AA119" s="326">
        <f t="shared" si="40"/>
        <v>0.15469233413544095</v>
      </c>
      <c r="AB119" s="323" t="str">
        <f t="shared" si="55"/>
        <v/>
      </c>
      <c r="AC119" s="327"/>
      <c r="AD119" s="328">
        <f t="shared" si="41"/>
        <v>1.6093681032639711</v>
      </c>
      <c r="AE119" s="328">
        <f t="shared" si="41"/>
        <v>5.5775486905982792</v>
      </c>
      <c r="AF119" s="328">
        <f t="shared" si="42"/>
        <v>1.0001274759989232</v>
      </c>
      <c r="AG119" s="328">
        <f t="shared" si="43"/>
        <v>1.6093681032639711</v>
      </c>
      <c r="AH119" s="328">
        <f t="shared" si="50"/>
        <v>-0.11000000000001364</v>
      </c>
      <c r="AI119" s="328">
        <f t="shared" si="51"/>
        <v>29.090000000000146</v>
      </c>
      <c r="AJ119" s="329">
        <f t="shared" si="52"/>
        <v>90.401073732072547</v>
      </c>
      <c r="AK119" s="329" cm="1">
        <f t="array" ref="AK119">IF(OR(E119="", H119=""), "",
  IFERROR(
     (
      INDEX($AM$3:$AM$22, MATCH(E119, $AL$3:$AL$22, 1)) +
      (E119 - INDEX($AL$3:$AL$22, MATCH(E119, $AL$3:$AL$22, 1))) *
      (INDEX($AM$3:$AM$22, MATCH(E119, $AL$3:$AL$22, 1)+1) - INDEX($AM$3:$AM$22, MATCH(E119, $AL$3:$AL$22, 1))) /
      (INDEX($AL$3:$AL$22, MATCH(E119, $AL$3:$AL$22, 1)+1) - INDEX($AL$3:$AL$22, MATCH(E119, $AL$3:$AL$22, 1)))
    ) - H119,
    ""
  )
)</f>
        <v>-0.56312628879732074</v>
      </c>
      <c r="AL119" s="341"/>
      <c r="AM119" s="342"/>
      <c r="AN119" s="343"/>
    </row>
    <row r="120" spans="1:40" s="315" customFormat="1" ht="15" customHeight="1" x14ac:dyDescent="0.35">
      <c r="A120" s="297">
        <f t="shared" si="68"/>
        <v>3</v>
      </c>
      <c r="B120" s="298">
        <f t="shared" si="68"/>
        <v>19</v>
      </c>
      <c r="C120" s="299">
        <f t="shared" si="59"/>
        <v>29.009999999999764</v>
      </c>
      <c r="D120" s="300">
        <v>2839.7899999999995</v>
      </c>
      <c r="E120" s="301">
        <f t="shared" si="56"/>
        <v>2820.7899999999995</v>
      </c>
      <c r="F120" s="302">
        <v>92.41</v>
      </c>
      <c r="G120" s="302">
        <v>319.38</v>
      </c>
      <c r="H120" s="303">
        <f t="shared" si="67"/>
        <v>2016.1013838839642</v>
      </c>
      <c r="I120" s="304">
        <f t="shared" si="45"/>
        <v>0.28516638929200605</v>
      </c>
      <c r="J120" s="302" t="str">
        <f t="shared" si="57"/>
        <v/>
      </c>
      <c r="K120" s="304" t="str">
        <f t="shared" si="54"/>
        <v/>
      </c>
      <c r="L120" s="302"/>
      <c r="M120" s="305"/>
      <c r="N120" s="304" t="str">
        <f t="shared" si="62"/>
        <v/>
      </c>
      <c r="O120" s="304">
        <f t="shared" si="60"/>
        <v>0</v>
      </c>
      <c r="P120" s="306">
        <f t="shared" si="46"/>
        <v>43.507926320637281</v>
      </c>
      <c r="Q120" s="307" t="str">
        <f t="shared" si="47"/>
        <v>L</v>
      </c>
      <c r="R120" s="304">
        <f t="shared" si="35"/>
        <v>0.33798057028795142</v>
      </c>
      <c r="S120" s="304">
        <f t="shared" si="58"/>
        <v>92.41</v>
      </c>
      <c r="T120" s="304">
        <f t="shared" si="36"/>
        <v>2015.3024332584712</v>
      </c>
      <c r="U120" s="304">
        <f t="shared" si="37"/>
        <v>0.28700815196630353</v>
      </c>
      <c r="V120" s="303">
        <f t="shared" si="61"/>
        <v>0.33938875725706968</v>
      </c>
      <c r="W120" s="304">
        <f t="shared" si="38"/>
        <v>-6.3333333333332577E-3</v>
      </c>
      <c r="X120" s="304">
        <f t="shared" si="48"/>
        <v>0.2068252326783914</v>
      </c>
      <c r="Y120" s="304">
        <f t="shared" si="39"/>
        <v>-0.19648397104446669</v>
      </c>
      <c r="Z120" s="304">
        <f t="shared" si="65"/>
        <v>0.28516638929200605</v>
      </c>
      <c r="AA120" s="308">
        <f t="shared" si="40"/>
        <v>0</v>
      </c>
      <c r="AB120" s="304" t="str">
        <f t="shared" si="55"/>
        <v/>
      </c>
      <c r="AC120" s="309"/>
      <c r="AD120" s="310">
        <f t="shared" si="41"/>
        <v>1.6128587617679599</v>
      </c>
      <c r="AE120" s="310">
        <f t="shared" si="41"/>
        <v>5.5742325650194893</v>
      </c>
      <c r="AF120" s="310">
        <f t="shared" si="42"/>
        <v>1.0000020642925176</v>
      </c>
      <c r="AG120" s="310">
        <f t="shared" si="43"/>
        <v>1.6128587617679599</v>
      </c>
      <c r="AH120" s="310">
        <f t="shared" si="50"/>
        <v>-0.18999999999999773</v>
      </c>
      <c r="AI120" s="310">
        <f t="shared" si="51"/>
        <v>29.009999999999764</v>
      </c>
      <c r="AJ120" s="311">
        <f t="shared" si="52"/>
        <v>90.401073732072547</v>
      </c>
      <c r="AK120" s="311" cm="1">
        <f t="array" ref="AK120">IF(OR(E120="", H120=""), "",
  IFERROR(
     (
      INDEX($AM$3:$AM$22, MATCH(E120, $AL$3:$AL$22, 1)) +
      (E120 - INDEX($AL$3:$AL$22, MATCH(E120, $AL$3:$AL$22, 1))) *
      (INDEX($AM$3:$AM$22, MATCH(E120, $AL$3:$AL$22, 1)+1) - INDEX($AM$3:$AM$22, MATCH(E120, $AL$3:$AL$22, 1))) /
      (INDEX($AL$3:$AL$22, MATCH(E120, $AL$3:$AL$22, 1)+1) - INDEX($AL$3:$AL$22, MATCH(E120, $AL$3:$AL$22, 1)))
    ) - H120,
    ""
  )
)</f>
        <v>0.40308611603586542</v>
      </c>
      <c r="AL120" s="338"/>
      <c r="AM120" s="339"/>
      <c r="AN120" s="340"/>
    </row>
    <row r="121" spans="1:40" s="315" customFormat="1" ht="15" customHeight="1" x14ac:dyDescent="0.35">
      <c r="A121" s="316">
        <f t="shared" si="68"/>
        <v>3</v>
      </c>
      <c r="B121" s="317">
        <f t="shared" si="68"/>
        <v>19</v>
      </c>
      <c r="C121" s="318">
        <f t="shared" si="59"/>
        <v>28.970000000000255</v>
      </c>
      <c r="D121" s="319">
        <v>2868.7599999999998</v>
      </c>
      <c r="E121" s="320">
        <f t="shared" si="56"/>
        <v>2849.7599999999998</v>
      </c>
      <c r="F121" s="321">
        <v>92.76</v>
      </c>
      <c r="G121" s="321">
        <v>319.02</v>
      </c>
      <c r="H121" s="322">
        <f t="shared" si="67"/>
        <v>2014.7947946835368</v>
      </c>
      <c r="I121" s="323">
        <f t="shared" si="45"/>
        <v>0.51967477869853163</v>
      </c>
      <c r="J121" s="321">
        <f t="shared" si="57"/>
        <v>2868.7599999999998</v>
      </c>
      <c r="K121" s="323">
        <f t="shared" si="54"/>
        <v>2870.7599999999998</v>
      </c>
      <c r="L121" s="321">
        <v>2</v>
      </c>
      <c r="M121" s="333" t="s">
        <v>600</v>
      </c>
      <c r="N121" s="323" t="str">
        <f t="shared" si="62"/>
        <v/>
      </c>
      <c r="O121" s="323">
        <f t="shared" si="60"/>
        <v>0</v>
      </c>
      <c r="P121" s="324">
        <f t="shared" si="46"/>
        <v>45.777729113753026</v>
      </c>
      <c r="Q121" s="325" t="str">
        <f t="shared" si="47"/>
        <v>L</v>
      </c>
      <c r="R121" s="323">
        <f t="shared" si="35"/>
        <v>0.34349246479786499</v>
      </c>
      <c r="S121" s="323">
        <f t="shared" si="58"/>
        <v>92.76</v>
      </c>
      <c r="T121" s="323">
        <f t="shared" si="36"/>
        <v>2013.8798979488486</v>
      </c>
      <c r="U121" s="323">
        <f t="shared" si="37"/>
        <v>0.29672827401005758</v>
      </c>
      <c r="V121" s="322">
        <f t="shared" si="61"/>
        <v>0.33835167634275914</v>
      </c>
      <c r="W121" s="323">
        <f t="shared" si="38"/>
        <v>-1.2000000000000455E-2</v>
      </c>
      <c r="X121" s="323">
        <f t="shared" si="48"/>
        <v>0.36244390749051308</v>
      </c>
      <c r="Y121" s="323">
        <f t="shared" si="39"/>
        <v>-0.37279944770453277</v>
      </c>
      <c r="Z121" s="323">
        <f t="shared" si="65"/>
        <v>0.51967477869853163</v>
      </c>
      <c r="AA121" s="326">
        <f t="shared" si="40"/>
        <v>0</v>
      </c>
      <c r="AB121" s="323">
        <f t="shared" si="55"/>
        <v>27.019999999999982</v>
      </c>
      <c r="AC121" s="327" t="s">
        <v>601</v>
      </c>
      <c r="AD121" s="328">
        <f t="shared" si="41"/>
        <v>1.6189674141499402</v>
      </c>
      <c r="AE121" s="328">
        <f t="shared" si="41"/>
        <v>5.5679493797123101</v>
      </c>
      <c r="AF121" s="328">
        <f t="shared" si="42"/>
        <v>1.0000068555190418</v>
      </c>
      <c r="AG121" s="328">
        <f t="shared" si="43"/>
        <v>1.6189674141499402</v>
      </c>
      <c r="AH121" s="328">
        <f t="shared" si="50"/>
        <v>-0.36000000000001364</v>
      </c>
      <c r="AI121" s="328">
        <f t="shared" si="51"/>
        <v>28.970000000000255</v>
      </c>
      <c r="AJ121" s="329">
        <f t="shared" si="52"/>
        <v>90.401073732072547</v>
      </c>
      <c r="AK121" s="329" cm="1">
        <f t="array" ref="AK121">IF(OR(E121="", H121=""), "",
  IFERROR(
     (
      INDEX($AM$3:$AM$22, MATCH(E121, $AL$3:$AL$22, 1)) +
      (E121 - INDEX($AL$3:$AL$22, MATCH(E121, $AL$3:$AL$22, 1))) *
      (INDEX($AM$3:$AM$22, MATCH(E121, $AL$3:$AL$22, 1)+1) - INDEX($AM$3:$AM$22, MATCH(E121, $AL$3:$AL$22, 1))) /
      (INDEX($AL$3:$AL$22, MATCH(E121, $AL$3:$AL$22, 1)+1) - INDEX($AL$3:$AL$22, MATCH(E121, $AL$3:$AL$22, 1)))
    ) - H121,
    ""
  )
)</f>
        <v>1.5068853164632401</v>
      </c>
      <c r="AL121" s="341"/>
      <c r="AM121" s="342"/>
      <c r="AN121" s="343"/>
    </row>
    <row r="122" spans="1:40" s="315" customFormat="1" ht="15" customHeight="1" x14ac:dyDescent="0.35">
      <c r="A122" s="297">
        <f t="shared" si="68"/>
        <v>3</v>
      </c>
      <c r="B122" s="298">
        <f t="shared" si="68"/>
        <v>19</v>
      </c>
      <c r="C122" s="299">
        <f t="shared" si="59"/>
        <v>29.019999999999982</v>
      </c>
      <c r="D122" s="300">
        <v>2897.7799999999997</v>
      </c>
      <c r="E122" s="301">
        <f t="shared" si="56"/>
        <v>2878.7799999999997</v>
      </c>
      <c r="F122" s="302">
        <v>91.21</v>
      </c>
      <c r="G122" s="302">
        <v>319.18</v>
      </c>
      <c r="H122" s="303">
        <f t="shared" si="67"/>
        <v>2013.7896041139431</v>
      </c>
      <c r="I122" s="304">
        <f t="shared" si="45"/>
        <v>1.610846820778423</v>
      </c>
      <c r="J122" s="302" t="str">
        <f t="shared" si="57"/>
        <v/>
      </c>
      <c r="K122" s="304" t="str">
        <f t="shared" si="54"/>
        <v/>
      </c>
      <c r="L122" s="302"/>
      <c r="M122" s="305"/>
      <c r="N122" s="304">
        <f t="shared" si="62"/>
        <v>2</v>
      </c>
      <c r="O122" s="304">
        <f t="shared" si="60"/>
        <v>0</v>
      </c>
      <c r="P122" s="306">
        <f t="shared" si="46"/>
        <v>174.11016142524593</v>
      </c>
      <c r="Q122" s="307" t="str">
        <f t="shared" si="47"/>
        <v>R</v>
      </c>
      <c r="R122" s="304">
        <f t="shared" si="35"/>
        <v>5.6283728289262459E-2</v>
      </c>
      <c r="S122" s="304">
        <f t="shared" si="58"/>
        <v>91.21</v>
      </c>
      <c r="T122" s="304">
        <f t="shared" si="36"/>
        <v>2013.388382743939</v>
      </c>
      <c r="U122" s="304">
        <f t="shared" si="37"/>
        <v>5.3152359308999558E-2</v>
      </c>
      <c r="V122" s="303">
        <f t="shared" si="61"/>
        <v>-0.77500000000000568</v>
      </c>
      <c r="W122" s="304">
        <f t="shared" si="38"/>
        <v>8.0000000000012506E-2</v>
      </c>
      <c r="X122" s="304">
        <f t="shared" si="48"/>
        <v>-1.6023432115782348</v>
      </c>
      <c r="Y122" s="304">
        <f t="shared" si="39"/>
        <v>0.16540317022745532</v>
      </c>
      <c r="Z122" s="304">
        <f t="shared" si="65"/>
        <v>23.373387369494903</v>
      </c>
      <c r="AA122" s="308">
        <f t="shared" si="40"/>
        <v>6.8917987594762281E-2</v>
      </c>
      <c r="AB122" s="304" t="str">
        <f t="shared" si="55"/>
        <v/>
      </c>
      <c r="AC122" s="309"/>
      <c r="AD122" s="310">
        <f t="shared" si="41"/>
        <v>1.591914810744028</v>
      </c>
      <c r="AE122" s="310">
        <f t="shared" si="41"/>
        <v>5.5707419065155008</v>
      </c>
      <c r="AF122" s="310">
        <f t="shared" si="42"/>
        <v>1.0000658743445545</v>
      </c>
      <c r="AG122" s="310">
        <f t="shared" si="43"/>
        <v>1.591914810744028</v>
      </c>
      <c r="AH122" s="310">
        <f t="shared" si="50"/>
        <v>0.16000000000002501</v>
      </c>
      <c r="AI122" s="310">
        <f t="shared" si="51"/>
        <v>29.019999999999982</v>
      </c>
      <c r="AJ122" s="311">
        <f t="shared" si="52"/>
        <v>94.013987218056315</v>
      </c>
      <c r="AK122" s="311" cm="1">
        <f t="array" ref="AK122">IF(OR(E122="", H122=""), "",
  IFERROR(
     (
      INDEX($AM$3:$AM$22, MATCH(E122, $AL$3:$AL$22, 1)) +
      (E122 - INDEX($AL$3:$AL$22, MATCH(E122, $AL$3:$AL$22, 1))) *
      (INDEX($AM$3:$AM$22, MATCH(E122, $AL$3:$AL$22, 1)+1) - INDEX($AM$3:$AM$22, MATCH(E122, $AL$3:$AL$22, 1))) /
      (INDEX($AL$3:$AL$22, MATCH(E122, $AL$3:$AL$22, 1)+1) - INDEX($AL$3:$AL$22, MATCH(E122, $AL$3:$AL$22, 1)))
    ) - H122,
    ""
  )
)</f>
        <v>0.49579588605683966</v>
      </c>
      <c r="AL122" s="338"/>
      <c r="AM122" s="339"/>
      <c r="AN122" s="340"/>
    </row>
    <row r="123" spans="1:40" s="315" customFormat="1" ht="15" customHeight="1" x14ac:dyDescent="0.35">
      <c r="A123" s="316">
        <f t="shared" si="68"/>
        <v>3</v>
      </c>
      <c r="B123" s="317">
        <f t="shared" si="68"/>
        <v>19</v>
      </c>
      <c r="C123" s="318">
        <f t="shared" si="59"/>
        <v>29.029999999999745</v>
      </c>
      <c r="D123" s="319">
        <v>2926.8099999999995</v>
      </c>
      <c r="E123" s="320">
        <f t="shared" si="56"/>
        <v>2907.8099999999995</v>
      </c>
      <c r="F123" s="321">
        <v>90.05</v>
      </c>
      <c r="G123" s="321">
        <v>319.14999999999998</v>
      </c>
      <c r="H123" s="322">
        <f t="shared" si="67"/>
        <v>2013.4704090243881</v>
      </c>
      <c r="I123" s="323">
        <f t="shared" si="45"/>
        <v>1.1991606676425817</v>
      </c>
      <c r="J123" s="321" t="str">
        <f t="shared" si="57"/>
        <v/>
      </c>
      <c r="K123" s="323" t="str">
        <f t="shared" si="54"/>
        <v/>
      </c>
      <c r="L123" s="321"/>
      <c r="M123" s="333"/>
      <c r="N123" s="323" t="str">
        <f t="shared" si="62"/>
        <v/>
      </c>
      <c r="O123" s="323">
        <f t="shared" si="60"/>
        <v>0</v>
      </c>
      <c r="P123" s="324">
        <f t="shared" si="46"/>
        <v>178.51865764287345</v>
      </c>
      <c r="Q123" s="325" t="str">
        <f t="shared" si="47"/>
        <v>L</v>
      </c>
      <c r="R123" s="323">
        <f t="shared" si="35"/>
        <v>9.1807039348592741E-5</v>
      </c>
      <c r="S123" s="323">
        <f t="shared" si="58"/>
        <v>90.05</v>
      </c>
      <c r="T123" s="323">
        <f t="shared" si="36"/>
        <v>2013.4538283985987</v>
      </c>
      <c r="U123" s="323">
        <f t="shared" si="37"/>
        <v>9.1594027648177724E-5</v>
      </c>
      <c r="V123" s="322">
        <f t="shared" si="61"/>
        <v>-3.2419855466725621E-2</v>
      </c>
      <c r="W123" s="323">
        <f t="shared" si="38"/>
        <v>-1.0000000000009853E-3</v>
      </c>
      <c r="X123" s="323">
        <f t="shared" si="48"/>
        <v>-1.1987599035480607</v>
      </c>
      <c r="Y123" s="323">
        <f t="shared" si="39"/>
        <v>-3.1002411298687381E-2</v>
      </c>
      <c r="Z123" s="323">
        <f t="shared" si="65"/>
        <v>1.1991606676425817</v>
      </c>
      <c r="AA123" s="326">
        <f t="shared" si="40"/>
        <v>0</v>
      </c>
      <c r="AB123" s="323" t="str">
        <f t="shared" si="55"/>
        <v/>
      </c>
      <c r="AC123" s="327" t="s">
        <v>602</v>
      </c>
      <c r="AD123" s="328">
        <f t="shared" si="41"/>
        <v>1.5716689914208937</v>
      </c>
      <c r="AE123" s="328">
        <f t="shared" si="41"/>
        <v>5.5702183077399026</v>
      </c>
      <c r="AF123" s="328">
        <f t="shared" si="42"/>
        <v>1.0000365045722375</v>
      </c>
      <c r="AG123" s="328">
        <f t="shared" si="43"/>
        <v>1.5716689914208937</v>
      </c>
      <c r="AH123" s="328">
        <f t="shared" si="50"/>
        <v>-3.0000000000029559E-2</v>
      </c>
      <c r="AI123" s="328">
        <f t="shared" si="51"/>
        <v>29.029999999999745</v>
      </c>
      <c r="AJ123" s="329">
        <f t="shared" si="52"/>
        <v>90.687565856410814</v>
      </c>
      <c r="AK123" s="329" cm="1">
        <f t="array" ref="AK123">IF(OR(E123="", H123=""), "",
  IFERROR(
     (
      INDEX($AM$3:$AM$22, MATCH(E123, $AL$3:$AL$22, 1)) +
      (E123 - INDEX($AL$3:$AL$22, MATCH(E123, $AL$3:$AL$22, 1))) *
      (INDEX($AM$3:$AM$22, MATCH(E123, $AL$3:$AL$22, 1)+1) - INDEX($AM$3:$AM$22, MATCH(E123, $AL$3:$AL$22, 1))) /
      (INDEX($AL$3:$AL$22, MATCH(E123, $AL$3:$AL$22, 1)+1) - INDEX($AL$3:$AL$22, MATCH(E123, $AL$3:$AL$22, 1)))
    ) - H123,
    ""
  )
)</f>
        <v>-0.76412902438823949</v>
      </c>
      <c r="AL123" s="341"/>
      <c r="AM123" s="342"/>
      <c r="AN123" s="343"/>
    </row>
    <row r="124" spans="1:40" s="315" customFormat="1" ht="15" customHeight="1" x14ac:dyDescent="0.35">
      <c r="A124" s="297">
        <f t="shared" si="68"/>
        <v>3</v>
      </c>
      <c r="B124" s="298">
        <f t="shared" si="68"/>
        <v>19</v>
      </c>
      <c r="C124" s="299">
        <f t="shared" si="59"/>
        <v>29.0600000000004</v>
      </c>
      <c r="D124" s="300">
        <v>2955.87</v>
      </c>
      <c r="E124" s="301">
        <f t="shared" si="56"/>
        <v>2936.87</v>
      </c>
      <c r="F124" s="302">
        <v>89.18</v>
      </c>
      <c r="G124" s="302">
        <v>318.45999999999998</v>
      </c>
      <c r="H124" s="303">
        <f t="shared" si="67"/>
        <v>2013.6656767369709</v>
      </c>
      <c r="I124" s="304">
        <f t="shared" si="45"/>
        <v>1.1463092210858172</v>
      </c>
      <c r="J124" s="302">
        <f t="shared" si="57"/>
        <v>2955.87</v>
      </c>
      <c r="K124" s="304">
        <f t="shared" si="54"/>
        <v>2959.87</v>
      </c>
      <c r="L124" s="302">
        <v>4</v>
      </c>
      <c r="M124" s="305" t="s">
        <v>580</v>
      </c>
      <c r="N124" s="304" t="str">
        <f t="shared" si="62"/>
        <v/>
      </c>
      <c r="O124" s="304">
        <f t="shared" si="60"/>
        <v>0</v>
      </c>
      <c r="P124" s="306">
        <f t="shared" si="46"/>
        <v>141.58284244801709</v>
      </c>
      <c r="Q124" s="307" t="str">
        <f t="shared" si="47"/>
        <v>L</v>
      </c>
      <c r="R124" s="304">
        <f t="shared" si="35"/>
        <v>2.5387318085032588E-2</v>
      </c>
      <c r="S124" s="304">
        <f t="shared" si="58"/>
        <v>89.18</v>
      </c>
      <c r="T124" s="304">
        <f t="shared" si="36"/>
        <v>2013.9375897517905</v>
      </c>
      <c r="U124" s="304">
        <f t="shared" si="37"/>
        <v>2.6423450947091028E-2</v>
      </c>
      <c r="V124" s="303">
        <f t="shared" si="61"/>
        <v>-0.15635605970799074</v>
      </c>
      <c r="W124" s="304">
        <f t="shared" si="38"/>
        <v>-2.2999999999999923E-2</v>
      </c>
      <c r="X124" s="304">
        <f t="shared" si="48"/>
        <v>-0.89814177563659159</v>
      </c>
      <c r="Y124" s="304">
        <f t="shared" si="39"/>
        <v>-0.71231933929799196</v>
      </c>
      <c r="Z124" s="304">
        <f t="shared" si="65"/>
        <v>1.1463092210858172</v>
      </c>
      <c r="AA124" s="308">
        <f t="shared" si="40"/>
        <v>0</v>
      </c>
      <c r="AB124" s="304">
        <f t="shared" si="55"/>
        <v>25.059999999999945</v>
      </c>
      <c r="AC124" s="309"/>
      <c r="AD124" s="310">
        <f t="shared" si="41"/>
        <v>1.5564846269285433</v>
      </c>
      <c r="AE124" s="310">
        <f t="shared" si="41"/>
        <v>5.5581755359011416</v>
      </c>
      <c r="AF124" s="310">
        <f t="shared" si="42"/>
        <v>1.000033357573</v>
      </c>
      <c r="AG124" s="310">
        <f t="shared" si="43"/>
        <v>1.5564846269285433</v>
      </c>
      <c r="AH124" s="310">
        <f t="shared" si="50"/>
        <v>-0.68999999999999773</v>
      </c>
      <c r="AI124" s="310">
        <f t="shared" si="51"/>
        <v>29.0600000000004</v>
      </c>
      <c r="AJ124" s="311">
        <f t="shared" si="52"/>
        <v>90.687565856410814</v>
      </c>
      <c r="AK124" s="311" cm="1">
        <f t="array" ref="AK124">IF(OR(E124="", H124=""), "",
  IFERROR(
     (
      INDEX($AM$3:$AM$22, MATCH(E124, $AL$3:$AL$22, 1)) +
      (E124 - INDEX($AL$3:$AL$22, MATCH(E124, $AL$3:$AL$22, 1))) *
      (INDEX($AM$3:$AM$22, MATCH(E124, $AL$3:$AL$22, 1)+1) - INDEX($AM$3:$AM$22, MATCH(E124, $AL$3:$AL$22, 1))) /
      (INDEX($AL$3:$AL$22, MATCH(E124, $AL$3:$AL$22, 1)+1) - INDEX($AL$3:$AL$22, MATCH(E124, $AL$3:$AL$22, 1)))
    ) - H124,
    ""
  )
)</f>
        <v>-1.3081167369709874</v>
      </c>
      <c r="AL124" s="338"/>
      <c r="AM124" s="339"/>
      <c r="AN124" s="340"/>
    </row>
    <row r="125" spans="1:40" s="315" customFormat="1" ht="15" customHeight="1" x14ac:dyDescent="0.35">
      <c r="A125" s="316">
        <f t="shared" si="68"/>
        <v>3</v>
      </c>
      <c r="B125" s="317">
        <f t="shared" si="68"/>
        <v>19</v>
      </c>
      <c r="C125" s="318">
        <f t="shared" si="59"/>
        <v>29.059999999999945</v>
      </c>
      <c r="D125" s="319">
        <v>2984.93</v>
      </c>
      <c r="E125" s="320">
        <f t="shared" si="56"/>
        <v>2965.93</v>
      </c>
      <c r="F125" s="321">
        <v>90.45</v>
      </c>
      <c r="G125" s="321">
        <v>318.27999999999997</v>
      </c>
      <c r="H125" s="322">
        <f t="shared" si="67"/>
        <v>2013.7595072198485</v>
      </c>
      <c r="I125" s="323">
        <f t="shared" si="45"/>
        <v>1.3241828959715969</v>
      </c>
      <c r="J125" s="321" t="str">
        <f t="shared" si="57"/>
        <v/>
      </c>
      <c r="K125" s="323" t="str">
        <f t="shared" si="54"/>
        <v/>
      </c>
      <c r="L125" s="321"/>
      <c r="M125" s="333"/>
      <c r="N125" s="323">
        <f t="shared" si="62"/>
        <v>4</v>
      </c>
      <c r="O125" s="323">
        <f t="shared" si="60"/>
        <v>0</v>
      </c>
      <c r="P125" s="324">
        <f t="shared" si="46"/>
        <v>8.0667272559679404</v>
      </c>
      <c r="Q125" s="325" t="str">
        <f t="shared" si="47"/>
        <v>L</v>
      </c>
      <c r="R125" s="323">
        <f t="shared" si="35"/>
        <v>7.7506124647053519E-3</v>
      </c>
      <c r="S125" s="323">
        <f t="shared" si="58"/>
        <v>90.45</v>
      </c>
      <c r="T125" s="323">
        <f t="shared" si="36"/>
        <v>2013.610283102963</v>
      </c>
      <c r="U125" s="323">
        <f t="shared" si="37"/>
        <v>7.5851439174945247E-3</v>
      </c>
      <c r="V125" s="322">
        <f t="shared" si="61"/>
        <v>0.31749999999999901</v>
      </c>
      <c r="W125" s="323">
        <f t="shared" si="38"/>
        <v>-4.5000000000001705E-2</v>
      </c>
      <c r="X125" s="323">
        <f t="shared" si="48"/>
        <v>1.3110805230557452</v>
      </c>
      <c r="Y125" s="323">
        <f t="shared" si="39"/>
        <v>-0.18582243633861717</v>
      </c>
      <c r="Z125" s="323">
        <f t="shared" si="65"/>
        <v>9.6201887392336332</v>
      </c>
      <c r="AA125" s="326">
        <f t="shared" si="40"/>
        <v>0.13764624913971121</v>
      </c>
      <c r="AB125" s="323" t="str">
        <f t="shared" si="55"/>
        <v/>
      </c>
      <c r="AC125" s="327"/>
      <c r="AD125" s="328">
        <f t="shared" si="41"/>
        <v>1.5786503084288712</v>
      </c>
      <c r="AE125" s="328">
        <f t="shared" si="41"/>
        <v>5.555033943247552</v>
      </c>
      <c r="AF125" s="328">
        <f t="shared" si="42"/>
        <v>1.0000445135913825</v>
      </c>
      <c r="AG125" s="328">
        <f t="shared" si="43"/>
        <v>1.5786503084288712</v>
      </c>
      <c r="AH125" s="328">
        <f t="shared" si="50"/>
        <v>-0.18000000000000682</v>
      </c>
      <c r="AI125" s="328">
        <f t="shared" si="51"/>
        <v>29.059999999999945</v>
      </c>
      <c r="AJ125" s="329">
        <f t="shared" si="52"/>
        <v>90.687565856410814</v>
      </c>
      <c r="AK125" s="329" cm="1">
        <f t="array" ref="AK125">IF(OR(E125="", H125=""), "",
  IFERROR(
     (
      INDEX($AM$3:$AM$22, MATCH(E125, $AL$3:$AL$22, 1)) +
      (E125 - INDEX($AL$3:$AL$22, MATCH(E125, $AL$3:$AL$22, 1))) *
      (INDEX($AM$3:$AM$22, MATCH(E125, $AL$3:$AL$22, 1)+1) - INDEX($AM$3:$AM$22, MATCH(E125, $AL$3:$AL$22, 1))) /
      (INDEX($AL$3:$AL$22, MATCH(E125, $AL$3:$AL$22, 1)+1) - INDEX($AL$3:$AL$22, MATCH(E125, $AL$3:$AL$22, 1)))
    ) - H125,
    ""
  )
)</f>
        <v>-1.7506672198485376</v>
      </c>
      <c r="AL125" s="341"/>
      <c r="AM125" s="342"/>
      <c r="AN125" s="343"/>
    </row>
    <row r="126" spans="1:40" s="315" customFormat="1" ht="15" customHeight="1" x14ac:dyDescent="0.35">
      <c r="A126" s="297">
        <f t="shared" si="68"/>
        <v>3</v>
      </c>
      <c r="B126" s="298">
        <f t="shared" si="68"/>
        <v>19</v>
      </c>
      <c r="C126" s="299">
        <f t="shared" si="59"/>
        <v>29.019999999999982</v>
      </c>
      <c r="D126" s="300">
        <v>3013.95</v>
      </c>
      <c r="E126" s="301">
        <f t="shared" si="56"/>
        <v>2994.95</v>
      </c>
      <c r="F126" s="302">
        <v>91.01</v>
      </c>
      <c r="G126" s="302">
        <v>317.81</v>
      </c>
      <c r="H126" s="303">
        <f t="shared" si="67"/>
        <v>2013.389776202431</v>
      </c>
      <c r="I126" s="304">
        <f t="shared" si="45"/>
        <v>0.75575741835381272</v>
      </c>
      <c r="J126" s="302" t="str">
        <f t="shared" si="57"/>
        <v/>
      </c>
      <c r="K126" s="304" t="str">
        <f t="shared" si="54"/>
        <v/>
      </c>
      <c r="L126" s="302"/>
      <c r="M126" s="305"/>
      <c r="N126" s="304" t="str">
        <f t="shared" si="62"/>
        <v/>
      </c>
      <c r="O126" s="304">
        <f t="shared" si="60"/>
        <v>0</v>
      </c>
      <c r="P126" s="306">
        <f t="shared" si="46"/>
        <v>40.003853623765593</v>
      </c>
      <c r="Q126" s="307" t="str">
        <f t="shared" si="47"/>
        <v>L</v>
      </c>
      <c r="R126" s="304">
        <f t="shared" si="35"/>
        <v>3.7041057131704774E-2</v>
      </c>
      <c r="S126" s="304">
        <f t="shared" si="58"/>
        <v>91.01</v>
      </c>
      <c r="T126" s="304">
        <f t="shared" si="36"/>
        <v>2013.0548648646732</v>
      </c>
      <c r="U126" s="304">
        <f t="shared" si="37"/>
        <v>3.5396889098469643E-2</v>
      </c>
      <c r="V126" s="303">
        <f t="shared" si="61"/>
        <v>4.2908028275094212E-2</v>
      </c>
      <c r="W126" s="304">
        <f t="shared" si="38"/>
        <v>-1.566666666666568E-2</v>
      </c>
      <c r="X126" s="304">
        <f t="shared" si="48"/>
        <v>0.57891109579600541</v>
      </c>
      <c r="Y126" s="304">
        <f t="shared" si="39"/>
        <v>-0.48587181254304351</v>
      </c>
      <c r="Z126" s="304">
        <f t="shared" si="65"/>
        <v>0.75575741835381272</v>
      </c>
      <c r="AA126" s="308">
        <f t="shared" si="40"/>
        <v>0</v>
      </c>
      <c r="AB126" s="304" t="str">
        <f t="shared" si="55"/>
        <v/>
      </c>
      <c r="AC126" s="309"/>
      <c r="AD126" s="310">
        <f t="shared" si="41"/>
        <v>1.5884241522400393</v>
      </c>
      <c r="AE126" s="310">
        <f t="shared" si="41"/>
        <v>5.5468308957631791</v>
      </c>
      <c r="AF126" s="310">
        <f t="shared" si="42"/>
        <v>1.0000144992615143</v>
      </c>
      <c r="AG126" s="310">
        <f t="shared" si="43"/>
        <v>1.5884241522400393</v>
      </c>
      <c r="AH126" s="310">
        <f t="shared" si="50"/>
        <v>-0.46999999999997044</v>
      </c>
      <c r="AI126" s="310">
        <f t="shared" si="51"/>
        <v>29.019999999999982</v>
      </c>
      <c r="AJ126" s="311">
        <f t="shared" si="52"/>
        <v>90.687565856410814</v>
      </c>
      <c r="AK126" s="311" cm="1">
        <f t="array" ref="AK126">IF(OR(E126="", H126=""), "",
  IFERROR(
     (
      INDEX($AM$3:$AM$22, MATCH(E126, $AL$3:$AL$22, 1)) +
      (E126 - INDEX($AL$3:$AL$22, MATCH(E126, $AL$3:$AL$22, 1))) *
      (INDEX($AM$3:$AM$22, MATCH(E126, $AL$3:$AL$22, 1)+1) - INDEX($AM$3:$AM$22, MATCH(E126, $AL$3:$AL$22, 1))) /
      (INDEX($AL$3:$AL$22, MATCH(E126, $AL$3:$AL$22, 1)+1) - INDEX($AL$3:$AL$22, MATCH(E126, $AL$3:$AL$22, 1)))
    ) - H126,
    ""
  )
)</f>
        <v>-1.7291762024310628</v>
      </c>
      <c r="AL126" s="338"/>
      <c r="AM126" s="339"/>
      <c r="AN126" s="340"/>
    </row>
    <row r="127" spans="1:40" s="315" customFormat="1" ht="15" customHeight="1" x14ac:dyDescent="0.35">
      <c r="A127" s="316">
        <f t="shared" si="68"/>
        <v>3</v>
      </c>
      <c r="B127" s="317">
        <f t="shared" si="68"/>
        <v>19</v>
      </c>
      <c r="C127" s="318">
        <f t="shared" si="59"/>
        <v>29.029999999999745</v>
      </c>
      <c r="D127" s="319">
        <v>3042.9799999999996</v>
      </c>
      <c r="E127" s="320">
        <f t="shared" si="56"/>
        <v>3023.9799999999996</v>
      </c>
      <c r="F127" s="321">
        <v>90.68</v>
      </c>
      <c r="G127" s="321">
        <v>317.89</v>
      </c>
      <c r="H127" s="322">
        <f t="shared" si="67"/>
        <v>2012.9616563483207</v>
      </c>
      <c r="I127" s="323">
        <f t="shared" si="45"/>
        <v>0.35090230235309505</v>
      </c>
      <c r="J127" s="321">
        <f t="shared" si="57"/>
        <v>3042.9799999999996</v>
      </c>
      <c r="K127" s="323">
        <f t="shared" si="54"/>
        <v>3046.9799999999996</v>
      </c>
      <c r="L127" s="321">
        <v>4</v>
      </c>
      <c r="M127" s="333" t="s">
        <v>579</v>
      </c>
      <c r="N127" s="323" t="str">
        <f t="shared" si="62"/>
        <v/>
      </c>
      <c r="O127" s="323">
        <f t="shared" si="60"/>
        <v>0</v>
      </c>
      <c r="P127" s="324">
        <f t="shared" si="46"/>
        <v>166.37444997516118</v>
      </c>
      <c r="Q127" s="325" t="str">
        <f t="shared" si="47"/>
        <v>R</v>
      </c>
      <c r="R127" s="323">
        <f t="shared" si="35"/>
        <v>1.5849448329452592E-2</v>
      </c>
      <c r="S127" s="323">
        <f t="shared" si="58"/>
        <v>90.68</v>
      </c>
      <c r="T127" s="323">
        <f t="shared" si="36"/>
        <v>2012.7361651026486</v>
      </c>
      <c r="U127" s="323">
        <f t="shared" si="37"/>
        <v>1.5394973903974919E-2</v>
      </c>
      <c r="V127" s="322">
        <f t="shared" si="61"/>
        <v>6.8017322855700821E-2</v>
      </c>
      <c r="W127" s="323">
        <f t="shared" si="38"/>
        <v>2.6666666666661362E-3</v>
      </c>
      <c r="X127" s="323">
        <f t="shared" si="48"/>
        <v>-0.3410265242852234</v>
      </c>
      <c r="Y127" s="323">
        <f t="shared" si="39"/>
        <v>8.2673096796401779E-2</v>
      </c>
      <c r="Z127" s="323">
        <f t="shared" si="65"/>
        <v>0.35090230235309505</v>
      </c>
      <c r="AA127" s="326">
        <f t="shared" si="40"/>
        <v>0</v>
      </c>
      <c r="AB127" s="323">
        <f t="shared" si="55"/>
        <v>25.0600000000004</v>
      </c>
      <c r="AC127" s="327"/>
      <c r="AD127" s="328">
        <f t="shared" si="41"/>
        <v>1.5826645657084581</v>
      </c>
      <c r="AE127" s="328">
        <f t="shared" si="41"/>
        <v>5.5482271591647736</v>
      </c>
      <c r="AF127" s="328">
        <f t="shared" si="42"/>
        <v>1.0000031257018773</v>
      </c>
      <c r="AG127" s="328">
        <f t="shared" si="43"/>
        <v>1.5826645657084581</v>
      </c>
      <c r="AH127" s="328">
        <f t="shared" si="50"/>
        <v>7.9999999999984084E-2</v>
      </c>
      <c r="AI127" s="328">
        <f t="shared" si="51"/>
        <v>29.029999999999745</v>
      </c>
      <c r="AJ127" s="329">
        <f t="shared" si="52"/>
        <v>90.687565856410814</v>
      </c>
      <c r="AK127" s="329" cm="1">
        <f t="array" ref="AK127">IF(OR(E127="", H127=""), "",
  IFERROR(
     (
      INDEX($AM$3:$AM$22, MATCH(E127, $AL$3:$AL$22, 1)) +
      (E127 - INDEX($AL$3:$AL$22, MATCH(E127, $AL$3:$AL$22, 1))) *
      (INDEX($AM$3:$AM$22, MATCH(E127, $AL$3:$AL$22, 1)+1) - INDEX($AM$3:$AM$22, MATCH(E127, $AL$3:$AL$22, 1))) /
      (INDEX($AL$3:$AL$22, MATCH(E127, $AL$3:$AL$22, 1)+1) - INDEX($AL$3:$AL$22, MATCH(E127, $AL$3:$AL$22, 1)))
    ) - H127,
    ""
  )
)</f>
        <v>-1.6494163483207558</v>
      </c>
      <c r="AL127" s="341"/>
      <c r="AM127" s="342"/>
      <c r="AN127" s="343"/>
    </row>
    <row r="128" spans="1:40" s="315" customFormat="1" ht="15" customHeight="1" x14ac:dyDescent="0.35">
      <c r="A128" s="297">
        <f t="shared" si="68"/>
        <v>3</v>
      </c>
      <c r="B128" s="298">
        <f t="shared" si="68"/>
        <v>19</v>
      </c>
      <c r="C128" s="299">
        <f t="shared" si="59"/>
        <v>29.0600000000004</v>
      </c>
      <c r="D128" s="300">
        <v>3072.04</v>
      </c>
      <c r="E128" s="301">
        <f t="shared" si="56"/>
        <v>3053.04</v>
      </c>
      <c r="F128" s="302">
        <v>91.16</v>
      </c>
      <c r="G128" s="302">
        <v>319.61</v>
      </c>
      <c r="H128" s="303">
        <f t="shared" si="67"/>
        <v>2012.4950591330635</v>
      </c>
      <c r="I128" s="304">
        <f t="shared" si="45"/>
        <v>1.8432581343736081</v>
      </c>
      <c r="J128" s="302">
        <f t="shared" si="57"/>
        <v>3072.04</v>
      </c>
      <c r="K128" s="304">
        <f t="shared" si="54"/>
        <v>3078.04</v>
      </c>
      <c r="L128" s="302">
        <v>6</v>
      </c>
      <c r="M128" s="305" t="s">
        <v>583</v>
      </c>
      <c r="N128" s="304">
        <f t="shared" si="62"/>
        <v>4</v>
      </c>
      <c r="O128" s="304">
        <f t="shared" si="60"/>
        <v>0</v>
      </c>
      <c r="P128" s="306">
        <f t="shared" si="46"/>
        <v>74.405232968669793</v>
      </c>
      <c r="Q128" s="307" t="str">
        <f t="shared" si="47"/>
        <v>R</v>
      </c>
      <c r="R128" s="304">
        <f t="shared" si="35"/>
        <v>4.346622356823325E-2</v>
      </c>
      <c r="S128" s="304">
        <f t="shared" si="58"/>
        <v>91.16</v>
      </c>
      <c r="T128" s="304">
        <f t="shared" si="36"/>
        <v>2012.1104148443603</v>
      </c>
      <c r="U128" s="304">
        <f t="shared" si="37"/>
        <v>4.1496865308612151E-2</v>
      </c>
      <c r="V128" s="303">
        <f t="shared" si="61"/>
        <v>0.11999999999999744</v>
      </c>
      <c r="W128" s="304">
        <f t="shared" si="38"/>
        <v>0.43000000000000682</v>
      </c>
      <c r="X128" s="304">
        <f t="shared" si="48"/>
        <v>0.49552649690294198</v>
      </c>
      <c r="Y128" s="304">
        <f t="shared" si="39"/>
        <v>1.7756366139022748</v>
      </c>
      <c r="Z128" s="304">
        <f t="shared" si="65"/>
        <v>13.391270346224447</v>
      </c>
      <c r="AA128" s="308">
        <f t="shared" si="40"/>
        <v>0.13764624913970905</v>
      </c>
      <c r="AB128" s="304">
        <f t="shared" si="55"/>
        <v>22.759999999999764</v>
      </c>
      <c r="AC128" s="309"/>
      <c r="AD128" s="310">
        <f t="shared" si="41"/>
        <v>1.5910421461180309</v>
      </c>
      <c r="AE128" s="310">
        <f t="shared" si="41"/>
        <v>5.5782468222990769</v>
      </c>
      <c r="AF128" s="310">
        <f t="shared" si="42"/>
        <v>1.0000862562866788</v>
      </c>
      <c r="AG128" s="310">
        <f t="shared" si="43"/>
        <v>1.5910421461180309</v>
      </c>
      <c r="AH128" s="310">
        <f t="shared" si="50"/>
        <v>1.7200000000000273</v>
      </c>
      <c r="AI128" s="310">
        <f t="shared" si="51"/>
        <v>29.0600000000004</v>
      </c>
      <c r="AJ128" s="311">
        <f t="shared" si="52"/>
        <v>90.687565856410814</v>
      </c>
      <c r="AK128" s="311" cm="1">
        <f t="array" ref="AK128">IF(OR(E128="", H128=""), "",
  IFERROR(
     (
      INDEX($AM$3:$AM$22, MATCH(E128, $AL$3:$AL$22, 1)) +
      (E128 - INDEX($AL$3:$AL$22, MATCH(E128, $AL$3:$AL$22, 1))) *
      (INDEX($AM$3:$AM$22, MATCH(E128, $AL$3:$AL$22, 1)+1) - INDEX($AM$3:$AM$22, MATCH(E128, $AL$3:$AL$22, 1))) /
      (INDEX($AL$3:$AL$22, MATCH(E128, $AL$3:$AL$22, 1)+1) - INDEX($AL$3:$AL$22, MATCH(E128, $AL$3:$AL$22, 1)))
    ) - H128,
    ""
  )
)</f>
        <v>-1.5315391330634611</v>
      </c>
      <c r="AL128" s="338"/>
      <c r="AM128" s="339"/>
      <c r="AN128" s="340"/>
    </row>
    <row r="129" spans="1:40" s="315" customFormat="1" ht="15" customHeight="1" x14ac:dyDescent="0.35">
      <c r="A129" s="316">
        <f t="shared" ref="A129:B144" si="69">+A128</f>
        <v>3</v>
      </c>
      <c r="B129" s="317">
        <f t="shared" si="69"/>
        <v>19</v>
      </c>
      <c r="C129" s="318">
        <f t="shared" si="59"/>
        <v>28.759999999999764</v>
      </c>
      <c r="D129" s="319">
        <v>3100.7999999999997</v>
      </c>
      <c r="E129" s="320">
        <f t="shared" si="56"/>
        <v>3081.7999999999997</v>
      </c>
      <c r="F129" s="321">
        <v>91.67</v>
      </c>
      <c r="G129" s="321">
        <v>321.95</v>
      </c>
      <c r="H129" s="322">
        <f t="shared" si="67"/>
        <v>2011.7848626107541</v>
      </c>
      <c r="I129" s="323">
        <f t="shared" si="45"/>
        <v>2.4974554622788983</v>
      </c>
      <c r="J129" s="321" t="str">
        <f t="shared" si="57"/>
        <v/>
      </c>
      <c r="K129" s="323" t="str">
        <f t="shared" si="54"/>
        <v/>
      </c>
      <c r="L129" s="321"/>
      <c r="M129" s="333"/>
      <c r="N129" s="323">
        <f t="shared" si="62"/>
        <v>6</v>
      </c>
      <c r="O129" s="323">
        <f t="shared" si="60"/>
        <v>0</v>
      </c>
      <c r="P129" s="324">
        <f t="shared" si="46"/>
        <v>77.701057293800105</v>
      </c>
      <c r="Q129" s="325" t="str">
        <f t="shared" si="47"/>
        <v>R</v>
      </c>
      <c r="R129" s="323">
        <f t="shared" si="35"/>
        <v>8.2827342381332797E-2</v>
      </c>
      <c r="S129" s="323">
        <f t="shared" si="58"/>
        <v>91.67</v>
      </c>
      <c r="T129" s="323">
        <f t="shared" si="36"/>
        <v>2011.2311480480068</v>
      </c>
      <c r="U129" s="323">
        <f t="shared" si="37"/>
        <v>7.7932110190110093E-2</v>
      </c>
      <c r="V129" s="322">
        <f t="shared" si="61"/>
        <v>8.5000000000000853E-2</v>
      </c>
      <c r="W129" s="323">
        <f t="shared" si="38"/>
        <v>0.38999999999999585</v>
      </c>
      <c r="X129" s="323">
        <f t="shared" si="48"/>
        <v>0.53198887343533652</v>
      </c>
      <c r="Y129" s="323">
        <f t="shared" si="39"/>
        <v>2.4408901251738464</v>
      </c>
      <c r="Z129" s="323">
        <f t="shared" si="65"/>
        <v>11.971136515856754</v>
      </c>
      <c r="AA129" s="326">
        <f t="shared" si="40"/>
        <v>0.20862308762169851</v>
      </c>
      <c r="AB129" s="323" t="str">
        <f t="shared" si="55"/>
        <v/>
      </c>
      <c r="AC129" s="327"/>
      <c r="AD129" s="328">
        <f t="shared" si="41"/>
        <v>1.5999433253032018</v>
      </c>
      <c r="AE129" s="328">
        <f t="shared" si="41"/>
        <v>5.6190875267957434</v>
      </c>
      <c r="AF129" s="328">
        <f t="shared" si="42"/>
        <v>1.0001583621964349</v>
      </c>
      <c r="AG129" s="328">
        <f t="shared" si="43"/>
        <v>1.5999433253032018</v>
      </c>
      <c r="AH129" s="328">
        <f t="shared" si="50"/>
        <v>2.339999999999975</v>
      </c>
      <c r="AI129" s="328">
        <f t="shared" si="51"/>
        <v>28.759999999999764</v>
      </c>
      <c r="AJ129" s="329">
        <f t="shared" si="52"/>
        <v>90.687565856410814</v>
      </c>
      <c r="AK129" s="329" cm="1">
        <f t="array" ref="AK129">IF(OR(E129="", H129=""), "",
  IFERROR(
     (
      INDEX($AM$3:$AM$22, MATCH(E129, $AL$3:$AL$22, 1)) +
      (E129 - INDEX($AL$3:$AL$22, MATCH(E129, $AL$3:$AL$22, 1))) *
      (INDEX($AM$3:$AM$22, MATCH(E129, $AL$3:$AL$22, 1)+1) - INDEX($AM$3:$AM$22, MATCH(E129, $AL$3:$AL$22, 1))) /
      (INDEX($AL$3:$AL$22, MATCH(E129, $AL$3:$AL$22, 1)+1) - INDEX($AL$3:$AL$22, MATCH(E129, $AL$3:$AL$22, 1)))
    ) - H129,
    ""
  )
)</f>
        <v>-1.1664626107540244</v>
      </c>
      <c r="AL129" s="341"/>
      <c r="AM129" s="342"/>
      <c r="AN129" s="343"/>
    </row>
    <row r="130" spans="1:40" s="315" customFormat="1" ht="15" customHeight="1" x14ac:dyDescent="0.35">
      <c r="A130" s="297">
        <f t="shared" si="69"/>
        <v>3</v>
      </c>
      <c r="B130" s="298">
        <f t="shared" si="69"/>
        <v>19</v>
      </c>
      <c r="C130" s="299">
        <f t="shared" si="59"/>
        <v>28.860000000000127</v>
      </c>
      <c r="D130" s="300">
        <v>3129.66</v>
      </c>
      <c r="E130" s="301">
        <f t="shared" si="56"/>
        <v>3110.66</v>
      </c>
      <c r="F130" s="302">
        <v>91.21</v>
      </c>
      <c r="G130" s="302">
        <v>321.04000000000002</v>
      </c>
      <c r="H130" s="303">
        <f t="shared" si="67"/>
        <v>2011.0596080562593</v>
      </c>
      <c r="I130" s="304">
        <f t="shared" si="45"/>
        <v>1.0596654284114426</v>
      </c>
      <c r="J130" s="302" t="str">
        <f t="shared" si="57"/>
        <v/>
      </c>
      <c r="K130" s="304" t="str">
        <f t="shared" si="54"/>
        <v/>
      </c>
      <c r="L130" s="302"/>
      <c r="M130" s="305"/>
      <c r="N130" s="304" t="str">
        <f t="shared" si="62"/>
        <v/>
      </c>
      <c r="O130" s="304">
        <f t="shared" si="60"/>
        <v>0</v>
      </c>
      <c r="P130" s="306">
        <f t="shared" si="46"/>
        <v>116.8236961010077</v>
      </c>
      <c r="Q130" s="307" t="str">
        <f t="shared" si="47"/>
        <v>L</v>
      </c>
      <c r="R130" s="304">
        <f t="shared" si="35"/>
        <v>4.0178063317893455E-2</v>
      </c>
      <c r="S130" s="304">
        <f t="shared" si="58"/>
        <v>91.21</v>
      </c>
      <c r="T130" s="304">
        <f t="shared" si="36"/>
        <v>2010.6583866862552</v>
      </c>
      <c r="U130" s="304">
        <f t="shared" si="37"/>
        <v>3.855656617253269E-2</v>
      </c>
      <c r="V130" s="303">
        <f t="shared" si="61"/>
        <v>9.1005774285233043E-2</v>
      </c>
      <c r="W130" s="304">
        <f t="shared" si="38"/>
        <v>-3.0333333333332272E-2</v>
      </c>
      <c r="X130" s="304">
        <f t="shared" si="48"/>
        <v>-0.47817047817048436</v>
      </c>
      <c r="Y130" s="304">
        <f t="shared" si="39"/>
        <v>-0.94594594594590864</v>
      </c>
      <c r="Z130" s="304">
        <f t="shared" si="65"/>
        <v>1.0596654284114426</v>
      </c>
      <c r="AA130" s="308">
        <f t="shared" si="40"/>
        <v>0</v>
      </c>
      <c r="AB130" s="304" t="str">
        <f t="shared" si="55"/>
        <v/>
      </c>
      <c r="AC130" s="309" t="s">
        <v>603</v>
      </c>
      <c r="AD130" s="310">
        <f t="shared" si="41"/>
        <v>1.591914810744028</v>
      </c>
      <c r="AE130" s="310">
        <f t="shared" si="41"/>
        <v>5.603205030602596</v>
      </c>
      <c r="AF130" s="310">
        <f t="shared" si="42"/>
        <v>1.0000285053170592</v>
      </c>
      <c r="AG130" s="310">
        <f t="shared" si="43"/>
        <v>1.591914810744028</v>
      </c>
      <c r="AH130" s="310">
        <f t="shared" si="50"/>
        <v>-0.90999999999996817</v>
      </c>
      <c r="AI130" s="310">
        <f t="shared" si="51"/>
        <v>28.860000000000127</v>
      </c>
      <c r="AJ130" s="311">
        <f t="shared" si="52"/>
        <v>90.888120146684699</v>
      </c>
      <c r="AK130" s="311" cm="1">
        <f t="array" ref="AK130">IF(OR(E130="", H130=""), "",
  IFERROR(
     (
      INDEX($AM$3:$AM$22, MATCH(E130, $AL$3:$AL$22, 1)) +
      (E130 - INDEX($AL$3:$AL$22, MATCH(E130, $AL$3:$AL$22, 1))) *
      (INDEX($AM$3:$AM$22, MATCH(E130, $AL$3:$AL$22, 1)+1) - INDEX($AM$3:$AM$22, MATCH(E130, $AL$3:$AL$22, 1))) /
      (INDEX($AL$3:$AL$22, MATCH(E130, $AL$3:$AL$22, 1)+1) - INDEX($AL$3:$AL$22, MATCH(E130, $AL$3:$AL$22, 1)))
    ) - H130,
    ""
  )
)</f>
        <v>-0.82483805625929563</v>
      </c>
      <c r="AL130" s="338"/>
      <c r="AM130" s="339"/>
      <c r="AN130" s="340"/>
    </row>
    <row r="131" spans="1:40" s="315" customFormat="1" ht="15" customHeight="1" x14ac:dyDescent="0.35">
      <c r="A131" s="316">
        <f t="shared" si="69"/>
        <v>3</v>
      </c>
      <c r="B131" s="317">
        <f t="shared" si="69"/>
        <v>19</v>
      </c>
      <c r="C131" s="318">
        <f t="shared" si="59"/>
        <v>28.7800000000002</v>
      </c>
      <c r="D131" s="319">
        <v>3158.44</v>
      </c>
      <c r="E131" s="320">
        <f t="shared" si="56"/>
        <v>3139.44</v>
      </c>
      <c r="F131" s="321">
        <v>90.53</v>
      </c>
      <c r="G131" s="321">
        <v>320.33</v>
      </c>
      <c r="H131" s="322">
        <f t="shared" si="67"/>
        <v>2010.622618839019</v>
      </c>
      <c r="I131" s="323">
        <f t="shared" si="45"/>
        <v>1.0247170228377291</v>
      </c>
      <c r="J131" s="321" t="str">
        <f t="shared" si="57"/>
        <v/>
      </c>
      <c r="K131" s="323" t="str">
        <f t="shared" si="54"/>
        <v/>
      </c>
      <c r="L131" s="321"/>
      <c r="M131" s="333"/>
      <c r="N131" s="323" t="str">
        <f t="shared" si="62"/>
        <v/>
      </c>
      <c r="O131" s="323">
        <f t="shared" si="60"/>
        <v>0</v>
      </c>
      <c r="P131" s="324">
        <f t="shared" si="46"/>
        <v>133.76706019398304</v>
      </c>
      <c r="Q131" s="325" t="str">
        <f t="shared" si="47"/>
        <v>L</v>
      </c>
      <c r="R131" s="323">
        <f t="shared" si="35"/>
        <v>7.3711066509219532E-3</v>
      </c>
      <c r="S131" s="323">
        <f t="shared" si="58"/>
        <v>90.53</v>
      </c>
      <c r="T131" s="323">
        <f t="shared" si="36"/>
        <v>2010.4468666897999</v>
      </c>
      <c r="U131" s="323">
        <f t="shared" si="37"/>
        <v>7.2435117699681971E-3</v>
      </c>
      <c r="V131" s="322">
        <f t="shared" si="61"/>
        <v>9.8668591428410446E-2</v>
      </c>
      <c r="W131" s="323">
        <f t="shared" si="38"/>
        <v>-2.366666666666788E-2</v>
      </c>
      <c r="X131" s="323">
        <f t="shared" si="48"/>
        <v>-0.70882557331478935</v>
      </c>
      <c r="Y131" s="323">
        <f t="shared" si="39"/>
        <v>-0.74009728978460543</v>
      </c>
      <c r="Z131" s="323">
        <f t="shared" si="65"/>
        <v>1.0247170228377291</v>
      </c>
      <c r="AA131" s="326">
        <f t="shared" si="40"/>
        <v>0</v>
      </c>
      <c r="AB131" s="323" t="str">
        <f t="shared" si="55"/>
        <v/>
      </c>
      <c r="AC131" s="327"/>
      <c r="AD131" s="328">
        <f t="shared" si="41"/>
        <v>1.5800465718304666</v>
      </c>
      <c r="AE131" s="328">
        <f t="shared" si="41"/>
        <v>5.5908131929134353</v>
      </c>
      <c r="AF131" s="328">
        <f t="shared" si="42"/>
        <v>1.0000266560185851</v>
      </c>
      <c r="AG131" s="328">
        <f t="shared" si="43"/>
        <v>1.5800465718304666</v>
      </c>
      <c r="AH131" s="328">
        <f t="shared" si="50"/>
        <v>-0.71000000000003638</v>
      </c>
      <c r="AI131" s="328">
        <f t="shared" si="51"/>
        <v>28.7800000000002</v>
      </c>
      <c r="AJ131" s="329">
        <f t="shared" si="52"/>
        <v>90.888120146684699</v>
      </c>
      <c r="AK131" s="329" cm="1">
        <f t="array" ref="AK131">IF(OR(E131="", H131=""), "",
  IFERROR(
     (
      INDEX($AM$3:$AM$22, MATCH(E131, $AL$3:$AL$22, 1)) +
      (E131 - INDEX($AL$3:$AL$22, MATCH(E131, $AL$3:$AL$22, 1))) *
      (INDEX($AM$3:$AM$22, MATCH(E131, $AL$3:$AL$22, 1)+1) - INDEX($AM$3:$AM$22, MATCH(E131, $AL$3:$AL$22, 1))) /
      (INDEX($AL$3:$AL$22, MATCH(E131, $AL$3:$AL$22, 1)+1) - INDEX($AL$3:$AL$22, MATCH(E131, $AL$3:$AL$22, 1)))
    ) - H131,
    ""
  )
)</f>
        <v>-0.83393883901885602</v>
      </c>
      <c r="AL131" s="341"/>
      <c r="AM131" s="342"/>
      <c r="AN131" s="343"/>
    </row>
    <row r="132" spans="1:40" s="315" customFormat="1" ht="15" customHeight="1" x14ac:dyDescent="0.35">
      <c r="A132" s="297">
        <f t="shared" si="69"/>
        <v>3</v>
      </c>
      <c r="B132" s="298">
        <f t="shared" si="69"/>
        <v>19</v>
      </c>
      <c r="C132" s="299">
        <f t="shared" si="59"/>
        <v>29.079999999999927</v>
      </c>
      <c r="D132" s="300">
        <v>3187.52</v>
      </c>
      <c r="E132" s="301">
        <f t="shared" si="56"/>
        <v>3168.52</v>
      </c>
      <c r="F132" s="302">
        <v>90.08</v>
      </c>
      <c r="G132" s="302">
        <v>319.81</v>
      </c>
      <c r="H132" s="303">
        <f t="shared" si="67"/>
        <v>2010.4678193374382</v>
      </c>
      <c r="I132" s="304">
        <f t="shared" si="45"/>
        <v>0.70942641128447914</v>
      </c>
      <c r="J132" s="302">
        <f t="shared" si="57"/>
        <v>3187.52</v>
      </c>
      <c r="K132" s="304">
        <f t="shared" si="54"/>
        <v>3191.52</v>
      </c>
      <c r="L132" s="302">
        <v>4</v>
      </c>
      <c r="M132" s="305" t="s">
        <v>590</v>
      </c>
      <c r="N132" s="304" t="str">
        <f t="shared" si="62"/>
        <v/>
      </c>
      <c r="O132" s="304">
        <f t="shared" si="60"/>
        <v>0</v>
      </c>
      <c r="P132" s="306">
        <f t="shared" si="46"/>
        <v>130.87288286976309</v>
      </c>
      <c r="Q132" s="307" t="str">
        <f t="shared" si="47"/>
        <v>L</v>
      </c>
      <c r="R132" s="304">
        <f t="shared" si="35"/>
        <v>1.6537794639440281E-4</v>
      </c>
      <c r="S132" s="304">
        <f t="shared" si="58"/>
        <v>90.08</v>
      </c>
      <c r="T132" s="304">
        <f t="shared" si="36"/>
        <v>2010.4412903414279</v>
      </c>
      <c r="U132" s="304">
        <f t="shared" si="37"/>
        <v>1.6494606960812419E-4</v>
      </c>
      <c r="V132" s="303">
        <f t="shared" si="61"/>
        <v>9.1558121904548109E-2</v>
      </c>
      <c r="W132" s="304">
        <f t="shared" si="38"/>
        <v>-1.7333333333332725E-2</v>
      </c>
      <c r="X132" s="304">
        <f t="shared" si="48"/>
        <v>-0.46423658872077439</v>
      </c>
      <c r="Y132" s="304">
        <f t="shared" si="39"/>
        <v>-0.53645116918842828</v>
      </c>
      <c r="Z132" s="304">
        <f t="shared" si="65"/>
        <v>0.70942641128447914</v>
      </c>
      <c r="AA132" s="308">
        <f t="shared" si="40"/>
        <v>0</v>
      </c>
      <c r="AB132" s="304">
        <f t="shared" si="55"/>
        <v>25.080000000000382</v>
      </c>
      <c r="AC132" s="309"/>
      <c r="AD132" s="310">
        <f t="shared" si="41"/>
        <v>1.5721925901964919</v>
      </c>
      <c r="AE132" s="310">
        <f t="shared" si="41"/>
        <v>5.5817374808030653</v>
      </c>
      <c r="AF132" s="310">
        <f t="shared" si="42"/>
        <v>1.0000127759985245</v>
      </c>
      <c r="AG132" s="310">
        <f t="shared" si="43"/>
        <v>1.5721925901964919</v>
      </c>
      <c r="AH132" s="310">
        <f t="shared" si="50"/>
        <v>-0.51999999999998181</v>
      </c>
      <c r="AI132" s="310">
        <f t="shared" si="51"/>
        <v>29.079999999999927</v>
      </c>
      <c r="AJ132" s="311">
        <f t="shared" si="52"/>
        <v>90.888120146684699</v>
      </c>
      <c r="AK132" s="311" cm="1">
        <f t="array" ref="AK132">IF(OR(E132="", H132=""), "",
  IFERROR(
     (
      INDEX($AM$3:$AM$22, MATCH(E132, $AL$3:$AL$22, 1)) +
      (E132 - INDEX($AL$3:$AL$22, MATCH(E132, $AL$3:$AL$22, 1))) *
      (INDEX($AM$3:$AM$22, MATCH(E132, $AL$3:$AL$22, 1)+1) - INDEX($AM$3:$AM$22, MATCH(E132, $AL$3:$AL$22, 1))) /
      (INDEX($AL$3:$AL$22, MATCH(E132, $AL$3:$AL$22, 1)+1) - INDEX($AL$3:$AL$22, MATCH(E132, $AL$3:$AL$22, 1)))
    ) - H132,
    ""
  )
)</f>
        <v>-1.1298793374380693</v>
      </c>
      <c r="AL132" s="338"/>
      <c r="AM132" s="339"/>
      <c r="AN132" s="340"/>
    </row>
    <row r="133" spans="1:40" s="315" customFormat="1" ht="15" customHeight="1" x14ac:dyDescent="0.35">
      <c r="A133" s="316">
        <f t="shared" si="69"/>
        <v>3</v>
      </c>
      <c r="B133" s="317">
        <f t="shared" si="69"/>
        <v>19</v>
      </c>
      <c r="C133" s="318">
        <f t="shared" si="59"/>
        <v>29.080000000000382</v>
      </c>
      <c r="D133" s="319">
        <v>3216.6000000000004</v>
      </c>
      <c r="E133" s="320">
        <f t="shared" si="56"/>
        <v>3197.6000000000004</v>
      </c>
      <c r="F133" s="321">
        <v>91.78</v>
      </c>
      <c r="G133" s="321">
        <v>321.08</v>
      </c>
      <c r="H133" s="322">
        <f t="shared" si="67"/>
        <v>2009.9958262393495</v>
      </c>
      <c r="I133" s="323">
        <f t="shared" si="45"/>
        <v>2.1890052418112171</v>
      </c>
      <c r="J133" s="321" t="str">
        <f t="shared" si="57"/>
        <v/>
      </c>
      <c r="K133" s="323" t="str">
        <f t="shared" si="54"/>
        <v/>
      </c>
      <c r="L133" s="321"/>
      <c r="M133" s="333"/>
      <c r="N133" s="323">
        <f t="shared" si="62"/>
        <v>4</v>
      </c>
      <c r="O133" s="323">
        <f t="shared" si="60"/>
        <v>0</v>
      </c>
      <c r="P133" s="324">
        <f t="shared" si="46"/>
        <v>36.757266806993421</v>
      </c>
      <c r="Q133" s="325" t="str">
        <f t="shared" si="47"/>
        <v>R</v>
      </c>
      <c r="R133" s="323">
        <f t="shared" si="35"/>
        <v>7.8221989048920137E-2</v>
      </c>
      <c r="S133" s="323">
        <f t="shared" si="58"/>
        <v>91.78</v>
      </c>
      <c r="T133" s="323">
        <f t="shared" si="36"/>
        <v>2009.4056508316319</v>
      </c>
      <c r="U133" s="323">
        <f t="shared" si="37"/>
        <v>7.409806066459923E-2</v>
      </c>
      <c r="V133" s="322">
        <f t="shared" si="61"/>
        <v>0.42500000000000071</v>
      </c>
      <c r="W133" s="323">
        <f t="shared" si="38"/>
        <v>0.31749999999999545</v>
      </c>
      <c r="X133" s="323">
        <f t="shared" si="48"/>
        <v>1.7537826685006677</v>
      </c>
      <c r="Y133" s="323">
        <f t="shared" si="39"/>
        <v>1.3101788170563602</v>
      </c>
      <c r="Z133" s="323">
        <f t="shared" si="65"/>
        <v>15.914068107967758</v>
      </c>
      <c r="AA133" s="326">
        <f t="shared" si="40"/>
        <v>0.13755158184318939</v>
      </c>
      <c r="AB133" s="323" t="str">
        <f t="shared" si="55"/>
        <v/>
      </c>
      <c r="AC133" s="327"/>
      <c r="AD133" s="328">
        <f t="shared" si="41"/>
        <v>1.6018631874803957</v>
      </c>
      <c r="AE133" s="328">
        <f t="shared" si="41"/>
        <v>5.6039031623033928</v>
      </c>
      <c r="AF133" s="328">
        <f t="shared" si="42"/>
        <v>1.0001216551472354</v>
      </c>
      <c r="AG133" s="328">
        <f t="shared" si="43"/>
        <v>1.6018631874803957</v>
      </c>
      <c r="AH133" s="328">
        <f t="shared" si="50"/>
        <v>1.2699999999999818</v>
      </c>
      <c r="AI133" s="328">
        <f t="shared" si="51"/>
        <v>29.080000000000382</v>
      </c>
      <c r="AJ133" s="329">
        <f t="shared" si="52"/>
        <v>90.888120146684699</v>
      </c>
      <c r="AK133" s="329" cm="1">
        <f t="array" ref="AK133">IF(OR(E133="", H133=""), "",
  IFERROR(
     (
      INDEX($AM$3:$AM$22, MATCH(E133, $AL$3:$AL$22, 1)) +
      (E133 - INDEX($AL$3:$AL$22, MATCH(E133, $AL$3:$AL$22, 1))) *
      (INDEX($AM$3:$AM$22, MATCH(E133, $AL$3:$AL$22, 1)+1) - INDEX($AM$3:$AM$22, MATCH(E133, $AL$3:$AL$22, 1))) /
      (INDEX($AL$3:$AL$22, MATCH(E133, $AL$3:$AL$22, 1)+1) - INDEX($AL$3:$AL$22, MATCH(E133, $AL$3:$AL$22, 1)))
    ) - H133,
    ""
  )
)</f>
        <v>-1.1086262393494053</v>
      </c>
      <c r="AL133" s="341"/>
      <c r="AM133" s="342"/>
      <c r="AN133" s="343"/>
    </row>
    <row r="134" spans="1:40" s="315" customFormat="1" ht="15" customHeight="1" x14ac:dyDescent="0.35">
      <c r="A134" s="297">
        <f t="shared" si="69"/>
        <v>3</v>
      </c>
      <c r="B134" s="298">
        <f t="shared" si="69"/>
        <v>19</v>
      </c>
      <c r="C134" s="299">
        <f t="shared" si="59"/>
        <v>28.989999999999782</v>
      </c>
      <c r="D134" s="300">
        <v>3245.59</v>
      </c>
      <c r="E134" s="301">
        <f t="shared" si="56"/>
        <v>3226.59</v>
      </c>
      <c r="F134" s="302">
        <v>91.61</v>
      </c>
      <c r="G134" s="302">
        <v>320.2</v>
      </c>
      <c r="H134" s="303">
        <f t="shared" si="67"/>
        <v>2009.1383305678544</v>
      </c>
      <c r="I134" s="304">
        <f t="shared" si="45"/>
        <v>0.9271041753179724</v>
      </c>
      <c r="J134" s="302" t="str">
        <f t="shared" si="57"/>
        <v/>
      </c>
      <c r="K134" s="304" t="str">
        <f t="shared" si="54"/>
        <v/>
      </c>
      <c r="L134" s="302"/>
      <c r="M134" s="305"/>
      <c r="N134" s="304" t="str">
        <f t="shared" si="62"/>
        <v/>
      </c>
      <c r="O134" s="304">
        <f t="shared" si="60"/>
        <v>0</v>
      </c>
      <c r="P134" s="306">
        <f t="shared" si="46"/>
        <v>100.93849161296508</v>
      </c>
      <c r="Q134" s="307" t="str">
        <f t="shared" si="47"/>
        <v>L</v>
      </c>
      <c r="R134" s="304">
        <f t="shared" ref="R134:R197" si="70">IF(V134="","",(SIN($AD$2)-SIN(AD134))*1719/($X$2-H134))</f>
        <v>5.9207389456315519E-2</v>
      </c>
      <c r="S134" s="304">
        <f t="shared" si="58"/>
        <v>91.61</v>
      </c>
      <c r="T134" s="304">
        <f t="shared" ref="T134:T197" si="71">IF(V134="","",H134+(COS((AG134+AD134)/2))*B134)</f>
        <v>2008.6045046075321</v>
      </c>
      <c r="U134" s="304">
        <f t="shared" ref="U134:U197" si="72">IF(V134="","",(SIN($AD$2)-SIN(AG134))*1719/($X$2-T134))</f>
        <v>5.657253024453697E-2</v>
      </c>
      <c r="V134" s="303">
        <f t="shared" si="61"/>
        <v>0.20507557111098643</v>
      </c>
      <c r="W134" s="304">
        <f t="shared" ref="W134:W197" si="73">IF(G134="","",IF(N134="",(G134-G133)/30,AH134/N134))</f>
        <v>-2.933333333333318E-2</v>
      </c>
      <c r="X134" s="304">
        <f t="shared" si="48"/>
        <v>-0.17592273197654673</v>
      </c>
      <c r="Y134" s="304">
        <f t="shared" ref="Y134:Y197" si="74">IF(W134="","",IF(F134="","",AH134*30/AI134))</f>
        <v>-0.91065884787858098</v>
      </c>
      <c r="Z134" s="304">
        <f t="shared" si="65"/>
        <v>0.9271041753179724</v>
      </c>
      <c r="AA134" s="308">
        <f t="shared" ref="AA134:AA197" si="75">+IF(Z134="","",IF(N134="",0,N134/AI134))</f>
        <v>0</v>
      </c>
      <c r="AB134" s="304" t="str">
        <f t="shared" si="55"/>
        <v/>
      </c>
      <c r="AC134" s="309"/>
      <c r="AD134" s="310">
        <f t="shared" ref="AD134:AE197" si="76">IF(F134&gt;0,RADIANS(F134),"")</f>
        <v>1.5988961277520053</v>
      </c>
      <c r="AE134" s="310">
        <f t="shared" si="76"/>
        <v>5.5885442648858428</v>
      </c>
      <c r="AF134" s="310">
        <f t="shared" ref="AF134:AF197" si="77">IF(F134="","",2/RADIANS(I134)*TAN(RADIANS(I134)/2))</f>
        <v>1.0000218193562997</v>
      </c>
      <c r="AG134" s="310">
        <f t="shared" ref="AG134:AG197" si="78">IF(S134="","",RADIANS(S134))</f>
        <v>1.5988961277520053</v>
      </c>
      <c r="AH134" s="310">
        <f t="shared" si="50"/>
        <v>-0.87999999999999545</v>
      </c>
      <c r="AI134" s="310">
        <f t="shared" si="51"/>
        <v>28.989999999999782</v>
      </c>
      <c r="AJ134" s="311">
        <f t="shared" si="52"/>
        <v>90.888120146684699</v>
      </c>
      <c r="AK134" s="311" cm="1">
        <f t="array" ref="AK134">IF(OR(E134="", H134=""), "",
  IFERROR(
     (
      INDEX($AM$3:$AM$22, MATCH(E134, $AL$3:$AL$22, 1)) +
      (E134 - INDEX($AL$3:$AL$22, MATCH(E134, $AL$3:$AL$22, 1))) *
      (INDEX($AM$3:$AM$22, MATCH(E134, $AL$3:$AL$22, 1)+1) - INDEX($AM$3:$AM$22, MATCH(E134, $AL$3:$AL$22, 1))) /
      (INDEX($AL$3:$AL$22, MATCH(E134, $AL$3:$AL$22, 1)+1) - INDEX($AL$3:$AL$22, MATCH(E134, $AL$3:$AL$22, 1)))
    ) - H134,
    ""
  )
)</f>
        <v>-0.70047556785448251</v>
      </c>
      <c r="AL134" s="338"/>
      <c r="AM134" s="339"/>
      <c r="AN134" s="340"/>
    </row>
    <row r="135" spans="1:40" s="315" customFormat="1" ht="15" customHeight="1" x14ac:dyDescent="0.35">
      <c r="A135" s="316">
        <f t="shared" si="69"/>
        <v>3</v>
      </c>
      <c r="B135" s="317">
        <f t="shared" si="69"/>
        <v>19</v>
      </c>
      <c r="C135" s="318">
        <f t="shared" si="59"/>
        <v>29.190000000000055</v>
      </c>
      <c r="D135" s="319">
        <v>3274.78</v>
      </c>
      <c r="E135" s="320">
        <f t="shared" si="56"/>
        <v>3255.78</v>
      </c>
      <c r="F135" s="321">
        <v>92.08</v>
      </c>
      <c r="G135" s="321">
        <v>320.02</v>
      </c>
      <c r="H135" s="322">
        <f t="shared" si="67"/>
        <v>2008.1985363356036</v>
      </c>
      <c r="I135" s="323">
        <f t="shared" ref="I135:I198" si="79">IF(OR(F135="",G135=""),"",DEGREES(ACOS(COS(AD135-AD134)-(SIN(AD135)*SIN(AD134)*(1-COS(AE135-AE134)))))*(30/AI135))</f>
        <v>0.51722058991833331</v>
      </c>
      <c r="J135" s="321" t="str">
        <f t="shared" si="57"/>
        <v/>
      </c>
      <c r="K135" s="323" t="str">
        <f t="shared" si="54"/>
        <v/>
      </c>
      <c r="L135" s="321"/>
      <c r="M135" s="333"/>
      <c r="N135" s="323" t="str">
        <f t="shared" si="62"/>
        <v/>
      </c>
      <c r="O135" s="323">
        <f t="shared" si="60"/>
        <v>0</v>
      </c>
      <c r="P135" s="324">
        <f t="shared" ref="P135:P198" si="80">IF(AND(ISNUMBER(C135),ISNUMBER(I135)),(IF(AND(I135&gt;0,G135&lt;&gt;G134),ACOS((C135*X135/30)/(C135*I135/30))*180/PI(),IF(AND(F135&gt;F134,G135=G134),"H/S",IF(AND(F135&lt;F134,G135=G134),"L/S","")))),"")</f>
        <v>20.945801669053694</v>
      </c>
      <c r="Q135" s="325" t="str">
        <f t="shared" ref="Q135:Q198" si="81">IF(ISNUMBER(P135),(IF(Y135&gt;0,"R","L")),"")</f>
        <v>L</v>
      </c>
      <c r="R135" s="323">
        <f t="shared" si="70"/>
        <v>9.1328567172303463E-2</v>
      </c>
      <c r="S135" s="323">
        <f t="shared" si="58"/>
        <v>92.08</v>
      </c>
      <c r="T135" s="323">
        <f t="shared" si="71"/>
        <v>2007.5089337093577</v>
      </c>
      <c r="U135" s="323">
        <f t="shared" si="72"/>
        <v>8.6517620655416835E-2</v>
      </c>
      <c r="V135" s="322">
        <f t="shared" si="61"/>
        <v>0.24054456433851176</v>
      </c>
      <c r="W135" s="323">
        <f t="shared" si="73"/>
        <v>-6.0000000000002274E-3</v>
      </c>
      <c r="X135" s="323">
        <f t="shared" ref="X135:X198" si="82">IF(V135="","",(F135-F134)*30/AI135)</f>
        <v>0.48304213771839466</v>
      </c>
      <c r="Y135" s="323">
        <f t="shared" si="74"/>
        <v>-0.18499486125386072</v>
      </c>
      <c r="Z135" s="323">
        <f t="shared" si="65"/>
        <v>0.51722058991833331</v>
      </c>
      <c r="AA135" s="326">
        <f t="shared" si="75"/>
        <v>0</v>
      </c>
      <c r="AB135" s="323" t="str">
        <f t="shared" si="55"/>
        <v/>
      </c>
      <c r="AC135" s="327"/>
      <c r="AD135" s="328">
        <f t="shared" si="76"/>
        <v>1.6070991752363786</v>
      </c>
      <c r="AE135" s="328">
        <f t="shared" si="76"/>
        <v>5.5854026722322532</v>
      </c>
      <c r="AF135" s="328">
        <f t="shared" si="77"/>
        <v>1.0000067909203829</v>
      </c>
      <c r="AG135" s="328">
        <f t="shared" si="78"/>
        <v>1.6070991752363786</v>
      </c>
      <c r="AH135" s="328">
        <f t="shared" ref="AH135:AH198" si="83">IF(G135="","",IF(G135&gt;G134,IF((G135-G134)&gt;180,(G135-G134)-360,G135-G134),IF((G135-G134)&lt;-180,(G135-G134)+360,G135-G134)))</f>
        <v>-0.18000000000000682</v>
      </c>
      <c r="AI135" s="328">
        <f t="shared" ref="AI135:AI198" si="84">+IF(E135="","",E135-E134)</f>
        <v>29.190000000000055</v>
      </c>
      <c r="AJ135" s="329">
        <f t="shared" ref="AJ135:AJ198" si="85">IFERROR(IF(E135="","",IF(E135&lt;$AL$3,AN$4,INDEX(AN$4:AN$22,MATCH(E135,AL$3:AL$22,1)))),"")</f>
        <v>90.888120146684699</v>
      </c>
      <c r="AK135" s="329" cm="1">
        <f t="array" ref="AK135">IF(OR(E135="", H135=""), "",
  IFERROR(
     (
      INDEX($AM$3:$AM$22, MATCH(E135, $AL$3:$AL$22, 1)) +
      (E135 - INDEX($AL$3:$AL$22, MATCH(E135, $AL$3:$AL$22, 1))) *
      (INDEX($AM$3:$AM$22, MATCH(E135, $AL$3:$AL$22, 1)+1) - INDEX($AM$3:$AM$22, MATCH(E135, $AL$3:$AL$22, 1))) /
      (INDEX($AL$3:$AL$22, MATCH(E135, $AL$3:$AL$22, 1)+1) - INDEX($AL$3:$AL$22, MATCH(E135, $AL$3:$AL$22, 1)))
    ) - H135,
    ""
  )
)</f>
        <v>-0.21312633560364702</v>
      </c>
      <c r="AL135" s="341"/>
      <c r="AM135" s="342"/>
      <c r="AN135" s="343"/>
    </row>
    <row r="136" spans="1:40" s="315" customFormat="1" ht="15" customHeight="1" x14ac:dyDescent="0.35">
      <c r="A136" s="297">
        <f t="shared" si="69"/>
        <v>3</v>
      </c>
      <c r="B136" s="298">
        <f t="shared" si="69"/>
        <v>19</v>
      </c>
      <c r="C136" s="299">
        <f t="shared" si="59"/>
        <v>29.079999999999927</v>
      </c>
      <c r="D136" s="300">
        <v>3303.86</v>
      </c>
      <c r="E136" s="301">
        <f t="shared" si="56"/>
        <v>3284.86</v>
      </c>
      <c r="F136" s="302">
        <v>92.62</v>
      </c>
      <c r="G136" s="302">
        <v>319.39999999999998</v>
      </c>
      <c r="H136" s="303">
        <f t="shared" si="67"/>
        <v>2007.0061476129297</v>
      </c>
      <c r="I136" s="304">
        <f t="shared" si="79"/>
        <v>0.84779641574475206</v>
      </c>
      <c r="J136" s="302">
        <f t="shared" si="57"/>
        <v>3303.86</v>
      </c>
      <c r="K136" s="304">
        <f t="shared" si="54"/>
        <v>3307.86</v>
      </c>
      <c r="L136" s="302">
        <v>4</v>
      </c>
      <c r="M136" s="305" t="s">
        <v>604</v>
      </c>
      <c r="N136" s="304" t="str">
        <f t="shared" si="62"/>
        <v/>
      </c>
      <c r="O136" s="304">
        <f t="shared" si="60"/>
        <v>0</v>
      </c>
      <c r="P136" s="306">
        <f t="shared" si="80"/>
        <v>48.921204036656242</v>
      </c>
      <c r="Q136" s="307" t="str">
        <f t="shared" si="81"/>
        <v>L</v>
      </c>
      <c r="R136" s="304">
        <f t="shared" si="70"/>
        <v>0.13218585103617284</v>
      </c>
      <c r="S136" s="304">
        <f t="shared" si="58"/>
        <v>92.62</v>
      </c>
      <c r="T136" s="304">
        <f t="shared" si="71"/>
        <v>2006.1376254674003</v>
      </c>
      <c r="U136" s="304">
        <f t="shared" si="72"/>
        <v>0.12424757377113745</v>
      </c>
      <c r="V136" s="303">
        <f t="shared" si="61"/>
        <v>0.29020671181649965</v>
      </c>
      <c r="W136" s="304">
        <f t="shared" si="73"/>
        <v>-2.0666666666666819E-2</v>
      </c>
      <c r="X136" s="304">
        <f t="shared" si="82"/>
        <v>0.55708390646493222</v>
      </c>
      <c r="Y136" s="304">
        <f t="shared" si="74"/>
        <v>-0.63961485557084541</v>
      </c>
      <c r="Z136" s="304">
        <f t="shared" si="65"/>
        <v>0.84779641574475206</v>
      </c>
      <c r="AA136" s="308">
        <f t="shared" si="75"/>
        <v>0</v>
      </c>
      <c r="AB136" s="304">
        <f t="shared" si="55"/>
        <v>25.050000000000182</v>
      </c>
      <c r="AC136" s="309"/>
      <c r="AD136" s="310">
        <f t="shared" si="76"/>
        <v>1.616523953197148</v>
      </c>
      <c r="AE136" s="310">
        <f t="shared" si="76"/>
        <v>5.5745816308698881</v>
      </c>
      <c r="AF136" s="310">
        <f t="shared" si="77"/>
        <v>1.0000182459361298</v>
      </c>
      <c r="AG136" s="310">
        <f t="shared" si="78"/>
        <v>1.616523953197148</v>
      </c>
      <c r="AH136" s="310">
        <f t="shared" si="83"/>
        <v>-0.62000000000000455</v>
      </c>
      <c r="AI136" s="310">
        <f t="shared" si="84"/>
        <v>29.079999999999927</v>
      </c>
      <c r="AJ136" s="311">
        <f t="shared" si="85"/>
        <v>90.888120146684699</v>
      </c>
      <c r="AK136" s="311" cm="1">
        <f t="array" ref="AK136">IF(OR(E136="", H136=""), "",
  IFERROR(
     (
      INDEX($AM$3:$AM$22, MATCH(E136, $AL$3:$AL$22, 1)) +
      (E136 - INDEX($AL$3:$AL$22, MATCH(E136, $AL$3:$AL$22, 1))) *
      (INDEX($AM$3:$AM$22, MATCH(E136, $AL$3:$AL$22, 1)+1) - INDEX($AM$3:$AM$22, MATCH(E136, $AL$3:$AL$22, 1))) /
      (INDEX($AL$3:$AL$22, MATCH(E136, $AL$3:$AL$22, 1)+1) - INDEX($AL$3:$AL$22, MATCH(E136, $AL$3:$AL$22, 1)))
    ) - H136,
    ""
  )
)</f>
        <v>0.52852238707032484</v>
      </c>
      <c r="AL136" s="338"/>
      <c r="AM136" s="339"/>
      <c r="AN136" s="340"/>
    </row>
    <row r="137" spans="1:40" s="315" customFormat="1" ht="15" customHeight="1" x14ac:dyDescent="0.35">
      <c r="A137" s="316">
        <f t="shared" si="69"/>
        <v>3</v>
      </c>
      <c r="B137" s="317">
        <f t="shared" si="69"/>
        <v>19</v>
      </c>
      <c r="C137" s="318">
        <f t="shared" si="59"/>
        <v>29.050000000000182</v>
      </c>
      <c r="D137" s="319">
        <v>3332.9100000000003</v>
      </c>
      <c r="E137" s="320">
        <f t="shared" si="56"/>
        <v>3313.9100000000003</v>
      </c>
      <c r="F137" s="321">
        <v>91.28</v>
      </c>
      <c r="G137" s="321">
        <v>321.62</v>
      </c>
      <c r="H137" s="322">
        <f t="shared" si="67"/>
        <v>2006.0176530808417</v>
      </c>
      <c r="I137" s="323">
        <f t="shared" si="79"/>
        <v>2.6766852552888567</v>
      </c>
      <c r="J137" s="321" t="str">
        <f t="shared" si="57"/>
        <v/>
      </c>
      <c r="K137" s="323" t="str">
        <f t="shared" si="54"/>
        <v/>
      </c>
      <c r="L137" s="321"/>
      <c r="M137" s="333"/>
      <c r="N137" s="323">
        <f t="shared" si="62"/>
        <v>4</v>
      </c>
      <c r="O137" s="323">
        <f t="shared" si="60"/>
        <v>0</v>
      </c>
      <c r="P137" s="324">
        <f t="shared" si="80"/>
        <v>121.13059957042898</v>
      </c>
      <c r="Q137" s="325" t="str">
        <f t="shared" si="81"/>
        <v>R</v>
      </c>
      <c r="R137" s="323">
        <f t="shared" si="70"/>
        <v>2.9415420891850327E-2</v>
      </c>
      <c r="S137" s="323">
        <f t="shared" si="58"/>
        <v>91.28</v>
      </c>
      <c r="T137" s="323">
        <f t="shared" si="71"/>
        <v>2005.5932243131638</v>
      </c>
      <c r="U137" s="323">
        <f t="shared" si="72"/>
        <v>2.8583479967271397E-2</v>
      </c>
      <c r="V137" s="322">
        <f t="shared" si="61"/>
        <v>-0.33500000000000085</v>
      </c>
      <c r="W137" s="323">
        <f t="shared" si="73"/>
        <v>0.55500000000000682</v>
      </c>
      <c r="X137" s="323">
        <f t="shared" si="82"/>
        <v>-1.3838209982788245</v>
      </c>
      <c r="Y137" s="323">
        <f t="shared" si="74"/>
        <v>2.2925989672977765</v>
      </c>
      <c r="Z137" s="323">
        <f t="shared" si="65"/>
        <v>19.439426666535443</v>
      </c>
      <c r="AA137" s="326">
        <f t="shared" si="75"/>
        <v>0.13769363166953441</v>
      </c>
      <c r="AB137" s="323" t="str">
        <f t="shared" si="55"/>
        <v/>
      </c>
      <c r="AC137" s="327" t="s">
        <v>605</v>
      </c>
      <c r="AD137" s="328">
        <f t="shared" si="76"/>
        <v>1.5931365412204241</v>
      </c>
      <c r="AE137" s="328">
        <f t="shared" si="76"/>
        <v>5.6133279402641625</v>
      </c>
      <c r="AF137" s="328">
        <f t="shared" si="77"/>
        <v>1.0001819126483846</v>
      </c>
      <c r="AG137" s="328">
        <f t="shared" si="78"/>
        <v>1.5931365412204241</v>
      </c>
      <c r="AH137" s="328">
        <f t="shared" si="83"/>
        <v>2.2200000000000273</v>
      </c>
      <c r="AI137" s="328">
        <f t="shared" si="84"/>
        <v>29.050000000000182</v>
      </c>
      <c r="AJ137" s="329">
        <f t="shared" si="85"/>
        <v>90.4583711254853</v>
      </c>
      <c r="AK137" s="329" cm="1">
        <f t="array" ref="AK137">IF(OR(E137="", H137=""), "",
  IFERROR(
     (
      INDEX($AM$3:$AM$22, MATCH(E137, $AL$3:$AL$22, 1)) +
      (E137 - INDEX($AL$3:$AL$22, MATCH(E137, $AL$3:$AL$22, 1))) *
      (INDEX($AM$3:$AM$22, MATCH(E137, $AL$3:$AL$22, 1)+1) - INDEX($AM$3:$AM$22, MATCH(E137, $AL$3:$AL$22, 1))) /
      (INDEX($AL$3:$AL$22, MATCH(E137, $AL$3:$AL$22, 1)+1) - INDEX($AL$3:$AL$22, MATCH(E137, $AL$3:$AL$22, 1)))
    ) - H137,
    ""
  )
)</f>
        <v>1.1710669191581928</v>
      </c>
      <c r="AL137" s="341"/>
      <c r="AM137" s="342"/>
      <c r="AN137" s="343"/>
    </row>
    <row r="138" spans="1:40" s="315" customFormat="1" ht="15" customHeight="1" x14ac:dyDescent="0.35">
      <c r="A138" s="297">
        <f t="shared" si="69"/>
        <v>3</v>
      </c>
      <c r="B138" s="298">
        <f t="shared" si="69"/>
        <v>19</v>
      </c>
      <c r="C138" s="299">
        <f t="shared" si="59"/>
        <v>28.990000000000236</v>
      </c>
      <c r="D138" s="300">
        <v>3361.9000000000005</v>
      </c>
      <c r="E138" s="301">
        <f t="shared" si="56"/>
        <v>3342.9000000000005</v>
      </c>
      <c r="F138" s="302">
        <v>92.27</v>
      </c>
      <c r="G138" s="302">
        <v>321.44</v>
      </c>
      <c r="H138" s="303">
        <f t="shared" si="67"/>
        <v>2005.1196982935489</v>
      </c>
      <c r="I138" s="304">
        <f t="shared" si="79"/>
        <v>1.0412708608990444</v>
      </c>
      <c r="J138" s="302">
        <f t="shared" si="57"/>
        <v>3361.9000000000005</v>
      </c>
      <c r="K138" s="304">
        <f t="shared" ref="K138:K201" si="86">IF(L138="","",J138+L138)</f>
        <v>3367.4000000000005</v>
      </c>
      <c r="L138" s="302">
        <v>5.5</v>
      </c>
      <c r="M138" s="305" t="s">
        <v>598</v>
      </c>
      <c r="N138" s="304" t="str">
        <f t="shared" si="62"/>
        <v/>
      </c>
      <c r="O138" s="304">
        <f t="shared" si="60"/>
        <v>0</v>
      </c>
      <c r="P138" s="306">
        <f t="shared" si="80"/>
        <v>10.299882014748411</v>
      </c>
      <c r="Q138" s="307" t="str">
        <f t="shared" si="81"/>
        <v>L</v>
      </c>
      <c r="R138" s="304">
        <f t="shared" si="70"/>
        <v>8.7139708168514185E-2</v>
      </c>
      <c r="S138" s="304">
        <f t="shared" si="58"/>
        <v>92.27</v>
      </c>
      <c r="T138" s="304">
        <f t="shared" si="71"/>
        <v>2004.3671347017739</v>
      </c>
      <c r="U138" s="304">
        <f t="shared" si="72"/>
        <v>8.309986858623844E-2</v>
      </c>
      <c r="V138" s="303">
        <f t="shared" si="61"/>
        <v>6.5250425385003516E-2</v>
      </c>
      <c r="W138" s="304">
        <f t="shared" si="73"/>
        <v>-6.0000000000002274E-3</v>
      </c>
      <c r="X138" s="304">
        <f t="shared" si="82"/>
        <v>1.0244912038633875</v>
      </c>
      <c r="Y138" s="304">
        <f t="shared" si="74"/>
        <v>-0.1862711279751694</v>
      </c>
      <c r="Z138" s="304">
        <f t="shared" si="65"/>
        <v>1.0412708608990444</v>
      </c>
      <c r="AA138" s="308">
        <f t="shared" si="75"/>
        <v>0</v>
      </c>
      <c r="AB138" s="304">
        <f t="shared" ref="AB138:AB201" si="87">IF(L138="","",C139-L138)</f>
        <v>23.539999999999964</v>
      </c>
      <c r="AC138" s="309"/>
      <c r="AD138" s="310">
        <f t="shared" si="76"/>
        <v>1.6104153008151678</v>
      </c>
      <c r="AE138" s="310">
        <f t="shared" si="76"/>
        <v>5.6101863476105729</v>
      </c>
      <c r="AF138" s="310">
        <f t="shared" si="77"/>
        <v>1.0000275242354097</v>
      </c>
      <c r="AG138" s="310">
        <f t="shared" si="78"/>
        <v>1.6104153008151678</v>
      </c>
      <c r="AH138" s="310">
        <f t="shared" si="83"/>
        <v>-0.18000000000000682</v>
      </c>
      <c r="AI138" s="310">
        <f t="shared" si="84"/>
        <v>28.990000000000236</v>
      </c>
      <c r="AJ138" s="311">
        <f t="shared" si="85"/>
        <v>90.4583711254853</v>
      </c>
      <c r="AK138" s="311" cm="1">
        <f t="array" ref="AK138">IF(OR(E138="", H138=""), "",
  IFERROR(
     (
      INDEX($AM$3:$AM$22, MATCH(E138, $AL$3:$AL$22, 1)) +
      (E138 - INDEX($AL$3:$AL$22, MATCH(E138, $AL$3:$AL$22, 1))) *
      (INDEX($AM$3:$AM$22, MATCH(E138, $AL$3:$AL$22, 1)+1) - INDEX($AM$3:$AM$22, MATCH(E138, $AL$3:$AL$22, 1))) /
      (INDEX($AL$3:$AL$22, MATCH(E138, $AL$3:$AL$22, 1)+1) - INDEX($AL$3:$AL$22, MATCH(E138, $AL$3:$AL$22, 1)))
    ) - H138,
    ""
  )
)</f>
        <v>1.8371017064509942</v>
      </c>
      <c r="AL138" s="338"/>
      <c r="AM138" s="339"/>
      <c r="AN138" s="340"/>
    </row>
    <row r="139" spans="1:40" s="315" customFormat="1" ht="15" customHeight="1" x14ac:dyDescent="0.35">
      <c r="A139" s="316">
        <f t="shared" si="69"/>
        <v>3</v>
      </c>
      <c r="B139" s="317">
        <f t="shared" si="69"/>
        <v>19</v>
      </c>
      <c r="C139" s="318">
        <f t="shared" si="59"/>
        <v>29.039999999999964</v>
      </c>
      <c r="D139" s="319">
        <v>3390.9400000000005</v>
      </c>
      <c r="E139" s="320">
        <f t="shared" ref="E139:E202" si="88">IF(D139&gt;0,D139-B139,"")</f>
        <v>3371.9400000000005</v>
      </c>
      <c r="F139" s="321">
        <v>90.68</v>
      </c>
      <c r="G139" s="321">
        <v>322.25</v>
      </c>
      <c r="H139" s="322">
        <f t="shared" si="67"/>
        <v>2004.3721865349532</v>
      </c>
      <c r="I139" s="323">
        <f t="shared" si="79"/>
        <v>1.8432841448195529</v>
      </c>
      <c r="J139" s="321">
        <f t="shared" ref="J139:J163" si="89">IF(L139="","",D139)</f>
        <v>3390.9400000000005</v>
      </c>
      <c r="K139" s="323">
        <f t="shared" si="86"/>
        <v>3393.9400000000005</v>
      </c>
      <c r="L139" s="321">
        <v>3</v>
      </c>
      <c r="M139" s="333" t="s">
        <v>584</v>
      </c>
      <c r="N139" s="323">
        <f t="shared" si="62"/>
        <v>5.5</v>
      </c>
      <c r="O139" s="323">
        <f t="shared" si="60"/>
        <v>0</v>
      </c>
      <c r="P139" s="324">
        <f t="shared" si="80"/>
        <v>153.01258595284585</v>
      </c>
      <c r="Q139" s="325" t="str">
        <f t="shared" si="81"/>
        <v>R</v>
      </c>
      <c r="R139" s="323">
        <f t="shared" si="70"/>
        <v>7.4602492375606825E-3</v>
      </c>
      <c r="S139" s="323">
        <f t="shared" ref="S139:S202" si="90">IF(V139="","",IF(AND(N139="",O139=""),F139,IF(O139="",O139*AVERAGE(V138,V137,V136)+F139,O139*V139+F139)))</f>
        <v>90.68</v>
      </c>
      <c r="T139" s="323">
        <f t="shared" si="71"/>
        <v>2004.1466952892811</v>
      </c>
      <c r="U139" s="323">
        <f t="shared" si="72"/>
        <v>7.3580071091141992E-3</v>
      </c>
      <c r="V139" s="322">
        <f t="shared" si="61"/>
        <v>-0.28909090909090712</v>
      </c>
      <c r="W139" s="323">
        <f t="shared" si="73"/>
        <v>0.14727272727272769</v>
      </c>
      <c r="X139" s="323">
        <f t="shared" si="82"/>
        <v>-1.6425619834710652</v>
      </c>
      <c r="Y139" s="323">
        <f t="shared" si="74"/>
        <v>0.83677685950413561</v>
      </c>
      <c r="Z139" s="323">
        <f t="shared" si="65"/>
        <v>9.7325402846472269</v>
      </c>
      <c r="AA139" s="326">
        <f t="shared" si="75"/>
        <v>0.18939393939393964</v>
      </c>
      <c r="AB139" s="323">
        <f t="shared" si="87"/>
        <v>25.959999999999582</v>
      </c>
      <c r="AC139" s="327"/>
      <c r="AD139" s="328">
        <f t="shared" si="76"/>
        <v>1.5826645657084581</v>
      </c>
      <c r="AE139" s="328">
        <f t="shared" si="76"/>
        <v>5.624323514551727</v>
      </c>
      <c r="AF139" s="328">
        <f t="shared" si="77"/>
        <v>1.0000862587212944</v>
      </c>
      <c r="AG139" s="328">
        <f t="shared" si="78"/>
        <v>1.5826645657084581</v>
      </c>
      <c r="AH139" s="328">
        <f t="shared" si="83"/>
        <v>0.81000000000000227</v>
      </c>
      <c r="AI139" s="328">
        <f t="shared" si="84"/>
        <v>29.039999999999964</v>
      </c>
      <c r="AJ139" s="329">
        <f t="shared" si="85"/>
        <v>90.4583711254853</v>
      </c>
      <c r="AK139" s="329" cm="1">
        <f t="array" ref="AK139">IF(OR(E139="", H139=""), "",
  IFERROR(
     (
      INDEX($AM$3:$AM$22, MATCH(E139, $AL$3:$AL$22, 1)) +
      (E139 - INDEX($AL$3:$AL$22, MATCH(E139, $AL$3:$AL$22, 1))) *
      (INDEX($AM$3:$AM$22, MATCH(E139, $AL$3:$AL$22, 1)+1) - INDEX($AM$3:$AM$22, MATCH(E139, $AL$3:$AL$22, 1))) /
      (INDEX($AL$3:$AL$22, MATCH(E139, $AL$3:$AL$22, 1)+1) - INDEX($AL$3:$AL$22, MATCH(E139, $AL$3:$AL$22, 1)))
    ) - H139,
    ""
  )
)</f>
        <v>2.3522934650468414</v>
      </c>
      <c r="AL139" s="341"/>
      <c r="AM139" s="342"/>
      <c r="AN139" s="343"/>
    </row>
    <row r="140" spans="1:40" s="315" customFormat="1" ht="15" customHeight="1" x14ac:dyDescent="0.35">
      <c r="A140" s="297">
        <f t="shared" si="69"/>
        <v>3</v>
      </c>
      <c r="B140" s="298">
        <f t="shared" si="69"/>
        <v>19</v>
      </c>
      <c r="C140" s="299">
        <f t="shared" ref="C140:C203" si="91">IF(D140&gt;0,D140-D139,"")</f>
        <v>28.959999999999582</v>
      </c>
      <c r="D140" s="300">
        <v>3419.9</v>
      </c>
      <c r="E140" s="301">
        <f t="shared" si="88"/>
        <v>3400.9</v>
      </c>
      <c r="F140" s="302">
        <v>88.78</v>
      </c>
      <c r="G140" s="302">
        <v>322.07</v>
      </c>
      <c r="H140" s="303">
        <f t="shared" si="67"/>
        <v>2004.5086568147335</v>
      </c>
      <c r="I140" s="304">
        <f t="shared" si="79"/>
        <v>1.9770438228815246</v>
      </c>
      <c r="J140" s="302" t="str">
        <f t="shared" si="89"/>
        <v/>
      </c>
      <c r="K140" s="304" t="str">
        <f t="shared" si="86"/>
        <v/>
      </c>
      <c r="L140" s="302"/>
      <c r="M140" s="305"/>
      <c r="N140" s="304">
        <f t="shared" si="62"/>
        <v>3</v>
      </c>
      <c r="O140" s="304">
        <f t="shared" si="60"/>
        <v>0</v>
      </c>
      <c r="P140" s="306">
        <f t="shared" si="80"/>
        <v>174.58843710162347</v>
      </c>
      <c r="Q140" s="307" t="str">
        <f t="shared" si="81"/>
        <v>L</v>
      </c>
      <c r="R140" s="304">
        <f t="shared" si="70"/>
        <v>2.4216510953565761E-2</v>
      </c>
      <c r="S140" s="304">
        <f t="shared" si="90"/>
        <v>88.78</v>
      </c>
      <c r="T140" s="304">
        <f t="shared" si="71"/>
        <v>2004.913193564736</v>
      </c>
      <c r="U140" s="304">
        <f t="shared" si="72"/>
        <v>2.4841014652134633E-2</v>
      </c>
      <c r="V140" s="303">
        <f t="shared" si="61"/>
        <v>-0.63333333333333519</v>
      </c>
      <c r="W140" s="304">
        <f t="shared" si="73"/>
        <v>-6.0000000000002274E-2</v>
      </c>
      <c r="X140" s="304">
        <f t="shared" si="82"/>
        <v>-1.9682320441989294</v>
      </c>
      <c r="Y140" s="304">
        <f t="shared" si="74"/>
        <v>-0.18646408839779982</v>
      </c>
      <c r="Z140" s="304">
        <f t="shared" si="65"/>
        <v>19.085063036882708</v>
      </c>
      <c r="AA140" s="308">
        <f t="shared" si="75"/>
        <v>0.10359116022099597</v>
      </c>
      <c r="AB140" s="304" t="str">
        <f t="shared" si="87"/>
        <v/>
      </c>
      <c r="AC140" s="309"/>
      <c r="AD140" s="310">
        <f t="shared" si="76"/>
        <v>1.5495033099205657</v>
      </c>
      <c r="AE140" s="310">
        <f t="shared" si="76"/>
        <v>5.6211819218981374</v>
      </c>
      <c r="AF140" s="310">
        <f t="shared" si="77"/>
        <v>1.000099233382203</v>
      </c>
      <c r="AG140" s="310">
        <f t="shared" si="78"/>
        <v>1.5495033099205657</v>
      </c>
      <c r="AH140" s="310">
        <f t="shared" si="83"/>
        <v>-0.18000000000000682</v>
      </c>
      <c r="AI140" s="310">
        <f t="shared" si="84"/>
        <v>28.959999999999582</v>
      </c>
      <c r="AJ140" s="311">
        <f t="shared" si="85"/>
        <v>90.4583711254853</v>
      </c>
      <c r="AK140" s="311" cm="1">
        <f t="array" ref="AK140">IF(OR(E140="", H140=""), "",
  IFERROR(
     (
      INDEX($AM$3:$AM$22, MATCH(E140, $AL$3:$AL$22, 1)) +
      (E140 - INDEX($AL$3:$AL$22, MATCH(E140, $AL$3:$AL$22, 1))) *
      (INDEX($AM$3:$AM$22, MATCH(E140, $AL$3:$AL$22, 1)+1) - INDEX($AM$3:$AM$22, MATCH(E140, $AL$3:$AL$22, 1))) /
      (INDEX($AL$3:$AL$22, MATCH(E140, $AL$3:$AL$22, 1)+1) - INDEX($AL$3:$AL$22, MATCH(E140, $AL$3:$AL$22, 1)))
    ) - H140,
    ""
  )
)</f>
        <v>1.9841431852664755</v>
      </c>
      <c r="AL140" s="338"/>
      <c r="AM140" s="339"/>
      <c r="AN140" s="340"/>
    </row>
    <row r="141" spans="1:40" s="315" customFormat="1" ht="15" customHeight="1" x14ac:dyDescent="0.35">
      <c r="A141" s="316">
        <f t="shared" si="69"/>
        <v>3</v>
      </c>
      <c r="B141" s="317">
        <f t="shared" si="69"/>
        <v>19</v>
      </c>
      <c r="C141" s="318">
        <f t="shared" si="91"/>
        <v>28.920000000000073</v>
      </c>
      <c r="D141" s="319">
        <v>3448.82</v>
      </c>
      <c r="E141" s="320">
        <f t="shared" si="88"/>
        <v>3429.82</v>
      </c>
      <c r="F141" s="321">
        <v>88.81</v>
      </c>
      <c r="G141" s="321">
        <v>321.63</v>
      </c>
      <c r="H141" s="322">
        <f t="shared" si="67"/>
        <v>2005.11683478805</v>
      </c>
      <c r="I141" s="323">
        <f t="shared" si="79"/>
        <v>0.45739051482088744</v>
      </c>
      <c r="J141" s="321" t="str">
        <f t="shared" si="89"/>
        <v/>
      </c>
      <c r="K141" s="323" t="str">
        <f t="shared" si="86"/>
        <v/>
      </c>
      <c r="L141" s="321"/>
      <c r="M141" s="333"/>
      <c r="N141" s="323" t="str">
        <f t="shared" si="62"/>
        <v/>
      </c>
      <c r="O141" s="323">
        <f t="shared" ref="O141:O204" si="92">SUM(IF(AND(D141&gt;K138,E141&lt;=J138),L138,0)+IF(AND(D141&gt;=K138,E141&lt;K138,E141&gt;J138),K138-E141,0)+IF(AND(D141&gt;J138,E141&lt;=J138,D141&lt;K138),D141-J138,0)+IF(AND(D141&lt;K138,E141&gt;J138,D141&gt;E141),D141-E141,0)+IF(AND(D141&gt;K139,E141&lt;=J139),L139,0)+IF(AND(D141&gt;=K139,E141&lt;K139,E141&gt;J139),K139-E141,0)+IF(AND(D141&gt;J139,E141&lt;J139,D141&lt;=K139),D141-J139,0)+IF(AND(D141&lt;K139,E141&gt;J139,D141&gt;E141),D141-E141,0)+IF(AND(D141&gt;K140,E141&lt;=J140),L140,0)+IF(AND(D141&gt;=K140,E141&lt;K140,E141&gt;J140),K140-E141,0)+IF(AND(D141&gt;J140,E141&lt;J140,D141&lt;=K140),D141-J140,0)+IF(AND(D141&lt;K140,E141&gt;J140,D141&gt;E141),D141-E141,0))</f>
        <v>0</v>
      </c>
      <c r="P141" s="324">
        <f t="shared" si="80"/>
        <v>86.098646096135553</v>
      </c>
      <c r="Q141" s="325" t="str">
        <f t="shared" si="81"/>
        <v>L</v>
      </c>
      <c r="R141" s="323">
        <f t="shared" si="70"/>
        <v>2.3945239171897403E-2</v>
      </c>
      <c r="S141" s="323">
        <f t="shared" si="90"/>
        <v>88.81</v>
      </c>
      <c r="T141" s="323">
        <f t="shared" si="71"/>
        <v>2005.5114253614925</v>
      </c>
      <c r="U141" s="323">
        <f t="shared" si="72"/>
        <v>2.4571445813838352E-2</v>
      </c>
      <c r="V141" s="322">
        <f t="shared" ref="V141:V204" si="93">IF(F141="","",IF(N141="",IF(O141="",(F141-F140)/30,AVERAGE(V140,V139,V138)),(F141-F140)/N141))</f>
        <v>-0.28572460567974628</v>
      </c>
      <c r="W141" s="323">
        <f t="shared" si="73"/>
        <v>-1.466666666666659E-2</v>
      </c>
      <c r="X141" s="323">
        <f t="shared" si="82"/>
        <v>3.1120331950208569E-2</v>
      </c>
      <c r="Y141" s="323">
        <f t="shared" si="74"/>
        <v>-0.45643153526970603</v>
      </c>
      <c r="Z141" s="323">
        <f t="shared" si="65"/>
        <v>0.45739051482088744</v>
      </c>
      <c r="AA141" s="326">
        <f t="shared" si="75"/>
        <v>0</v>
      </c>
      <c r="AB141" s="323" t="str">
        <f t="shared" si="87"/>
        <v/>
      </c>
      <c r="AC141" s="327"/>
      <c r="AD141" s="328">
        <f t="shared" si="76"/>
        <v>1.5500269086961642</v>
      </c>
      <c r="AE141" s="328">
        <f t="shared" si="76"/>
        <v>5.6135024731893619</v>
      </c>
      <c r="AF141" s="328">
        <f t="shared" si="77"/>
        <v>1.0000053106852789</v>
      </c>
      <c r="AG141" s="328">
        <f t="shared" si="78"/>
        <v>1.5500269086961642</v>
      </c>
      <c r="AH141" s="328">
        <f t="shared" si="83"/>
        <v>-0.43999999999999773</v>
      </c>
      <c r="AI141" s="328">
        <f t="shared" si="84"/>
        <v>28.920000000000073</v>
      </c>
      <c r="AJ141" s="329">
        <f t="shared" si="85"/>
        <v>90.4583711254853</v>
      </c>
      <c r="AK141" s="329" cm="1">
        <f t="array" ref="AK141">IF(OR(E141="", H141=""), "",
  IFERROR(
     (
      INDEX($AM$3:$AM$22, MATCH(E141, $AL$3:$AL$22, 1)) +
      (E141 - INDEX($AL$3:$AL$22, MATCH(E141, $AL$3:$AL$22, 1))) *
      (INDEX($AM$3:$AM$22, MATCH(E141, $AL$3:$AL$22, 1)+1) - INDEX($AM$3:$AM$22, MATCH(E141, $AL$3:$AL$22, 1))) /
      (INDEX($AL$3:$AL$22, MATCH(E141, $AL$3:$AL$22, 1)+1) - INDEX($AL$3:$AL$22, MATCH(E141, $AL$3:$AL$22, 1)))
    ) - H141,
    ""
  )
)</f>
        <v>1.1446052119499655</v>
      </c>
      <c r="AL141" s="341"/>
      <c r="AM141" s="342"/>
      <c r="AN141" s="343"/>
    </row>
    <row r="142" spans="1:40" s="315" customFormat="1" ht="15" customHeight="1" x14ac:dyDescent="0.35">
      <c r="A142" s="297">
        <f t="shared" si="69"/>
        <v>3</v>
      </c>
      <c r="B142" s="298">
        <f t="shared" si="69"/>
        <v>19</v>
      </c>
      <c r="C142" s="299">
        <f t="shared" si="91"/>
        <v>28.929999999999836</v>
      </c>
      <c r="D142" s="300">
        <v>3477.75</v>
      </c>
      <c r="E142" s="301">
        <f t="shared" si="88"/>
        <v>3458.75</v>
      </c>
      <c r="F142" s="302">
        <v>88.45</v>
      </c>
      <c r="G142" s="302">
        <v>321.07</v>
      </c>
      <c r="H142" s="303">
        <f t="shared" si="67"/>
        <v>2005.8085144149775</v>
      </c>
      <c r="I142" s="304">
        <f t="shared" si="79"/>
        <v>0.6902149185090497</v>
      </c>
      <c r="J142" s="302">
        <f t="shared" si="89"/>
        <v>3477.75</v>
      </c>
      <c r="K142" s="304">
        <f t="shared" si="86"/>
        <v>3482.75</v>
      </c>
      <c r="L142" s="302">
        <v>5</v>
      </c>
      <c r="M142" s="305" t="s">
        <v>589</v>
      </c>
      <c r="N142" s="304" t="str">
        <f t="shared" ref="N142:N201" si="94">IF(SUM(IF(AND(E142&gt;K138,E141&lt;=J138),L138,0)+IF(AND(E142&gt;=K138,E141&lt;K138,E141&gt;J138),K138-E141,0)+IF(AND(E142&gt;J138,E141&lt;=J138,E142&lt;K138),E142-J138,0)+IF(AND(E142&lt;K138,E141&gt;J138,E142&gt;E141),E142-E141,0)+IF(AND(E142&gt;K139,E141&lt;=J139),L139,0)+IF(AND(E142&gt;=K139,E141&lt;K139,E141&gt;J139),K139-E141,0)+IF(AND(E142&gt;J139,E141&lt;=J139,E142&lt;K139),E142-J139,0)+IF(AND(E142&lt;K139,E141&gt;J139,E142&gt;E141),E142-E141,0)+IF(AND(E142&gt;K140,E141&lt;=J140),L140,0)+IF(AND(E142&gt;=K140,E141&lt;K140,E141&gt;J140),K140-E141,0)+IF(AND(E142&gt;J140,E141&lt;J140,E142&lt;=K140),E142-J140,0)+IF(AND(E142&lt;K140,E141&gt;J140,E142&gt;E141),E142-E141,0)+IF(AND(E142&gt;K141,E141&lt;=J141),L141,0)+IF(AND(E142&gt;=K141,E141&lt;K141,E141&gt;J141),K141-E141,0)+IF(AND(E142&gt;J141,E141&lt;J141,E142&lt;=K141),E142-J141,0)+IF(AND(E142&lt;K141,E141&gt;J141,E142&gt;E141),E142-E141,0))=0,"",SUM(IF(AND(E142&gt;K138,E141&lt;=J138),L138,0)+IF(AND(E142&gt;=K138,E141&lt;K138,E141&gt;J138),K138-E141,0)+IF(AND(E142&gt;J138,E141&lt;=J138,E142&lt;K138),E142-J138,0)+IF(AND(E142&lt;K138,E141&gt;J138,E142&gt;E141),E142-E141,0)+IF(AND(E142&gt;K139,E141&lt;=J139),L139,0)+IF(AND(E142&gt;=K139,E141&lt;K139,E141&gt;J139),K139-E141,0)+IF(AND(E142&gt;J139,E141&lt;=J139,E142&lt;K139),E142-J139,0)+IF(AND(E142&lt;K139,E141&gt;J139,E142&gt;E141),E142-E141,0)+IF(AND(E142&gt;K140,E141&lt;=J140),L140,0)+IF(AND(E142&gt;=K140,E141&lt;K140,E141&gt;J140),K140-E141,0)+IF(AND(E142&gt;J140,E141&lt;J140,E142&lt;=K140),E142-J140,0)+IF(AND(E142&lt;K140,E141&gt;J140,E142&gt;E141),E142-E141,0)+IF(AND(E142&gt;K141,E141&lt;=J141),L141,0)+IF(AND(E142&gt;=K141,E141&lt;K141,E141&gt;J141),K141-E141,0)+IF(AND(E142&gt;J141,E141&lt;J141,E142&lt;=K141),E142-J141,0)+IF(AND(E142&lt;K141,E141&gt;J141,E142&gt;E141),E142-E141,0)))</f>
        <v/>
      </c>
      <c r="O142" s="304">
        <f t="shared" si="92"/>
        <v>0</v>
      </c>
      <c r="P142" s="306">
        <f t="shared" si="80"/>
        <v>122.74272082799386</v>
      </c>
      <c r="Q142" s="307" t="str">
        <f t="shared" si="81"/>
        <v>L</v>
      </c>
      <c r="R142" s="304">
        <f t="shared" si="70"/>
        <v>4.2523179674377486E-2</v>
      </c>
      <c r="S142" s="304">
        <f t="shared" si="90"/>
        <v>88.45</v>
      </c>
      <c r="T142" s="304">
        <f t="shared" si="71"/>
        <v>2006.3224511874687</v>
      </c>
      <c r="U142" s="304">
        <f t="shared" si="72"/>
        <v>4.4053850380173433E-2</v>
      </c>
      <c r="V142" s="303">
        <f t="shared" si="93"/>
        <v>-0.40271628270132953</v>
      </c>
      <c r="W142" s="304">
        <f t="shared" si="73"/>
        <v>-1.8666666666666741E-2</v>
      </c>
      <c r="X142" s="304">
        <f t="shared" si="82"/>
        <v>-0.37331489802972845</v>
      </c>
      <c r="Y142" s="304">
        <f t="shared" si="74"/>
        <v>-0.58071206360180305</v>
      </c>
      <c r="Z142" s="304">
        <f t="shared" si="65"/>
        <v>0.6902149185090497</v>
      </c>
      <c r="AA142" s="308">
        <f t="shared" si="75"/>
        <v>0</v>
      </c>
      <c r="AB142" s="304">
        <f t="shared" si="87"/>
        <v>24.059999999999945</v>
      </c>
      <c r="AC142" s="309"/>
      <c r="AD142" s="310">
        <f t="shared" si="76"/>
        <v>1.5437437233889846</v>
      </c>
      <c r="AE142" s="310">
        <f t="shared" si="76"/>
        <v>5.6037286293781934</v>
      </c>
      <c r="AF142" s="310">
        <f t="shared" si="77"/>
        <v>1.0000120934016115</v>
      </c>
      <c r="AG142" s="310">
        <f t="shared" si="78"/>
        <v>1.5437437233889846</v>
      </c>
      <c r="AH142" s="310">
        <f t="shared" si="83"/>
        <v>-0.56000000000000227</v>
      </c>
      <c r="AI142" s="310">
        <f t="shared" si="84"/>
        <v>28.929999999999836</v>
      </c>
      <c r="AJ142" s="311">
        <f t="shared" si="85"/>
        <v>90.4583711254853</v>
      </c>
      <c r="AK142" s="311" cm="1">
        <f t="array" ref="AK142">IF(OR(E142="", H142=""), "",
  IFERROR(
     (
      INDEX($AM$3:$AM$22, MATCH(E142, $AL$3:$AL$22, 1)) +
      (E142 - INDEX($AL$3:$AL$22, MATCH(E142, $AL$3:$AL$22, 1))) *
      (INDEX($AM$3:$AM$22, MATCH(E142, $AL$3:$AL$22, 1)+1) - INDEX($AM$3:$AM$22, MATCH(E142, $AL$3:$AL$22, 1))) /
      (INDEX($AL$3:$AL$22, MATCH(E142, $AL$3:$AL$22, 1)+1) - INDEX($AL$3:$AL$22, MATCH(E142, $AL$3:$AL$22, 1)))
    ) - H142,
    ""
  )
)</f>
        <v>0.22148558502249216</v>
      </c>
      <c r="AL142" s="338"/>
      <c r="AM142" s="339"/>
      <c r="AN142" s="340"/>
    </row>
    <row r="143" spans="1:40" s="315" customFormat="1" ht="15" customHeight="1" x14ac:dyDescent="0.35">
      <c r="A143" s="316">
        <f t="shared" si="69"/>
        <v>3</v>
      </c>
      <c r="B143" s="317">
        <f t="shared" si="69"/>
        <v>19</v>
      </c>
      <c r="C143" s="318">
        <f t="shared" si="91"/>
        <v>29.059999999999945</v>
      </c>
      <c r="D143" s="319">
        <v>3506.81</v>
      </c>
      <c r="E143" s="320">
        <f t="shared" si="88"/>
        <v>3487.81</v>
      </c>
      <c r="F143" s="321">
        <v>91.61</v>
      </c>
      <c r="G143" s="321">
        <v>321.93</v>
      </c>
      <c r="H143" s="322">
        <f t="shared" si="67"/>
        <v>2005.7932986352539</v>
      </c>
      <c r="I143" s="323">
        <f t="shared" si="79"/>
        <v>3.3808394271372637</v>
      </c>
      <c r="J143" s="321" t="str">
        <f t="shared" si="89"/>
        <v/>
      </c>
      <c r="K143" s="323" t="str">
        <f t="shared" si="86"/>
        <v/>
      </c>
      <c r="L143" s="321"/>
      <c r="M143" s="333"/>
      <c r="N143" s="323">
        <f t="shared" si="94"/>
        <v>5</v>
      </c>
      <c r="O143" s="323">
        <f t="shared" si="92"/>
        <v>0</v>
      </c>
      <c r="P143" s="324">
        <f t="shared" si="80"/>
        <v>15.222587783166448</v>
      </c>
      <c r="Q143" s="325" t="str">
        <f t="shared" si="81"/>
        <v>R</v>
      </c>
      <c r="R143" s="323">
        <f t="shared" si="70"/>
        <v>4.5831648060677153E-2</v>
      </c>
      <c r="S143" s="323">
        <f t="shared" si="90"/>
        <v>91.61</v>
      </c>
      <c r="T143" s="323">
        <f t="shared" si="71"/>
        <v>2005.2594726749317</v>
      </c>
      <c r="U143" s="323">
        <f t="shared" si="72"/>
        <v>4.4236779577951552E-2</v>
      </c>
      <c r="V143" s="322">
        <f t="shared" si="93"/>
        <v>0.63199999999999934</v>
      </c>
      <c r="W143" s="323">
        <f t="shared" si="73"/>
        <v>0.17200000000000273</v>
      </c>
      <c r="X143" s="323">
        <f t="shared" si="82"/>
        <v>3.2622161046111517</v>
      </c>
      <c r="Y143" s="323">
        <f t="shared" si="74"/>
        <v>0.88781830695115138</v>
      </c>
      <c r="Z143" s="323">
        <f t="shared" si="65"/>
        <v>19.649438750521739</v>
      </c>
      <c r="AA143" s="326">
        <f t="shared" si="75"/>
        <v>0.172057811424639</v>
      </c>
      <c r="AB143" s="323" t="str">
        <f t="shared" si="87"/>
        <v/>
      </c>
      <c r="AC143" s="327" t="s">
        <v>606</v>
      </c>
      <c r="AD143" s="328">
        <f t="shared" si="76"/>
        <v>1.5988961277520053</v>
      </c>
      <c r="AE143" s="328">
        <f t="shared" si="76"/>
        <v>5.6187384609453455</v>
      </c>
      <c r="AF143" s="328">
        <f t="shared" si="77"/>
        <v>1.0002902510621317</v>
      </c>
      <c r="AG143" s="328">
        <f t="shared" si="78"/>
        <v>1.5988961277520053</v>
      </c>
      <c r="AH143" s="328">
        <f t="shared" si="83"/>
        <v>0.86000000000001364</v>
      </c>
      <c r="AI143" s="328">
        <f t="shared" si="84"/>
        <v>29.059999999999945</v>
      </c>
      <c r="AJ143" s="329">
        <f t="shared" si="85"/>
        <v>90.4583711254853</v>
      </c>
      <c r="AK143" s="329" cm="1">
        <f t="array" ref="AK143">IF(OR(E143="", H143=""), "",
  IFERROR(
     (
      INDEX($AM$3:$AM$22, MATCH(E143, $AL$3:$AL$22, 1)) +
      (E143 - INDEX($AL$3:$AL$22, MATCH(E143, $AL$3:$AL$22, 1))) *
      (INDEX($AM$3:$AM$22, MATCH(E143, $AL$3:$AL$22, 1)+1) - INDEX($AM$3:$AM$22, MATCH(E143, $AL$3:$AL$22, 1))) /
      (INDEX($AL$3:$AL$22, MATCH(E143, $AL$3:$AL$22, 1)+1) - INDEX($AL$3:$AL$22, MATCH(E143, $AL$3:$AL$22, 1)))
    ) - H143,
    ""
  )
)</f>
        <v>4.2213647461721848E-3</v>
      </c>
      <c r="AL143" s="341"/>
      <c r="AM143" s="342"/>
      <c r="AN143" s="343"/>
    </row>
    <row r="144" spans="1:40" s="315" customFormat="1" ht="15" customHeight="1" x14ac:dyDescent="0.35">
      <c r="A144" s="297">
        <f t="shared" si="69"/>
        <v>3</v>
      </c>
      <c r="B144" s="298">
        <f t="shared" si="69"/>
        <v>19</v>
      </c>
      <c r="C144" s="299">
        <f t="shared" si="91"/>
        <v>27.900000000000091</v>
      </c>
      <c r="D144" s="300">
        <v>3534.71</v>
      </c>
      <c r="E144" s="301">
        <f t="shared" si="88"/>
        <v>3515.71</v>
      </c>
      <c r="F144" s="302">
        <v>92.25</v>
      </c>
      <c r="G144" s="302">
        <v>321.73</v>
      </c>
      <c r="H144" s="303">
        <f t="shared" si="67"/>
        <v>2004.8536689113116</v>
      </c>
      <c r="I144" s="304">
        <f t="shared" si="79"/>
        <v>0.72095488309074385</v>
      </c>
      <c r="J144" s="302">
        <f t="shared" si="89"/>
        <v>3534.71</v>
      </c>
      <c r="K144" s="304">
        <f t="shared" si="86"/>
        <v>3537.71</v>
      </c>
      <c r="L144" s="302">
        <v>3</v>
      </c>
      <c r="M144" s="305" t="s">
        <v>584</v>
      </c>
      <c r="N144" s="304" t="str">
        <f t="shared" si="94"/>
        <v/>
      </c>
      <c r="O144" s="304">
        <f t="shared" si="92"/>
        <v>0</v>
      </c>
      <c r="P144" s="306">
        <f t="shared" si="80"/>
        <v>17.344685638189688</v>
      </c>
      <c r="Q144" s="307" t="str">
        <f t="shared" si="81"/>
        <v>L</v>
      </c>
      <c r="R144" s="304">
        <f t="shared" si="70"/>
        <v>8.4164793356173037E-2</v>
      </c>
      <c r="S144" s="304">
        <f t="shared" si="90"/>
        <v>92.25</v>
      </c>
      <c r="T144" s="304">
        <f t="shared" si="71"/>
        <v>2004.1077324118894</v>
      </c>
      <c r="U144" s="304">
        <f t="shared" si="72"/>
        <v>8.0358064475788027E-2</v>
      </c>
      <c r="V144" s="303">
        <f t="shared" si="93"/>
        <v>-1.8813629460358822E-2</v>
      </c>
      <c r="W144" s="304">
        <f t="shared" si="73"/>
        <v>-6.6666666666662881E-3</v>
      </c>
      <c r="X144" s="304">
        <f t="shared" si="82"/>
        <v>0.68817204301075108</v>
      </c>
      <c r="Y144" s="304">
        <f t="shared" si="74"/>
        <v>-0.21505376344084728</v>
      </c>
      <c r="Z144" s="304">
        <f t="shared" si="65"/>
        <v>0.72095488309074385</v>
      </c>
      <c r="AA144" s="308">
        <f t="shared" si="75"/>
        <v>0</v>
      </c>
      <c r="AB144" s="304">
        <f t="shared" si="87"/>
        <v>24.9699999999998</v>
      </c>
      <c r="AC144" s="309"/>
      <c r="AD144" s="310">
        <f t="shared" si="76"/>
        <v>1.610066234964769</v>
      </c>
      <c r="AE144" s="310">
        <f t="shared" si="76"/>
        <v>5.615247802441357</v>
      </c>
      <c r="AF144" s="310">
        <f t="shared" si="77"/>
        <v>1.0000131946094775</v>
      </c>
      <c r="AG144" s="310">
        <f t="shared" si="78"/>
        <v>1.610066234964769</v>
      </c>
      <c r="AH144" s="310">
        <f t="shared" si="83"/>
        <v>-0.19999999999998863</v>
      </c>
      <c r="AI144" s="310">
        <f t="shared" si="84"/>
        <v>27.900000000000091</v>
      </c>
      <c r="AJ144" s="311">
        <f t="shared" si="85"/>
        <v>90.783066697878567</v>
      </c>
      <c r="AK144" s="311" cm="1">
        <f t="array" ref="AK144">IF(OR(E144="", H144=""), "",
  IFERROR(
     (
      INDEX($AM$3:$AM$22, MATCH(E144, $AL$3:$AL$22, 1)) +
      (E144 - INDEX($AL$3:$AL$22, MATCH(E144, $AL$3:$AL$22, 1))) *
      (INDEX($AM$3:$AM$22, MATCH(E144, $AL$3:$AL$22, 1)+1) - INDEX($AM$3:$AM$22, MATCH(E144, $AL$3:$AL$22, 1))) /
      (INDEX($AL$3:$AL$22, MATCH(E144, $AL$3:$AL$22, 1)+1) - INDEX($AL$3:$AL$22, MATCH(E144, $AL$3:$AL$22, 1)))
    ) - H144,
    ""
  )
)</f>
        <v>0.63162775535511173</v>
      </c>
      <c r="AL144" s="338"/>
      <c r="AM144" s="339"/>
      <c r="AN144" s="340"/>
    </row>
    <row r="145" spans="1:40" s="315" customFormat="1" ht="15" customHeight="1" x14ac:dyDescent="0.35">
      <c r="A145" s="316">
        <f t="shared" ref="A145:B160" si="95">+A144</f>
        <v>3</v>
      </c>
      <c r="B145" s="317">
        <f t="shared" si="95"/>
        <v>19</v>
      </c>
      <c r="C145" s="318">
        <f t="shared" si="91"/>
        <v>27.9699999999998</v>
      </c>
      <c r="D145" s="319">
        <v>3562.68</v>
      </c>
      <c r="E145" s="320">
        <f t="shared" si="88"/>
        <v>3543.68</v>
      </c>
      <c r="F145" s="321">
        <v>90.28</v>
      </c>
      <c r="G145" s="321">
        <v>321.26</v>
      </c>
      <c r="H145" s="322">
        <f t="shared" si="67"/>
        <v>2004.2361858115753</v>
      </c>
      <c r="I145" s="323">
        <f t="shared" si="79"/>
        <v>2.1722468484275184</v>
      </c>
      <c r="J145" s="321" t="str">
        <f t="shared" si="89"/>
        <v/>
      </c>
      <c r="K145" s="323" t="str">
        <f t="shared" si="86"/>
        <v/>
      </c>
      <c r="L145" s="321"/>
      <c r="M145" s="333"/>
      <c r="N145" s="323">
        <f t="shared" si="94"/>
        <v>3</v>
      </c>
      <c r="O145" s="323">
        <f t="shared" si="92"/>
        <v>0</v>
      </c>
      <c r="P145" s="324">
        <f t="shared" si="80"/>
        <v>166.58508197634043</v>
      </c>
      <c r="Q145" s="325" t="str">
        <f t="shared" si="81"/>
        <v>L</v>
      </c>
      <c r="R145" s="323">
        <f t="shared" si="70"/>
        <v>1.2543862220139549E-3</v>
      </c>
      <c r="S145" s="323">
        <f t="shared" si="90"/>
        <v>90.28</v>
      </c>
      <c r="T145" s="323">
        <f t="shared" si="71"/>
        <v>2004.1433346649487</v>
      </c>
      <c r="U145" s="323">
        <f t="shared" si="72"/>
        <v>1.2473087736576043E-3</v>
      </c>
      <c r="V145" s="322">
        <f t="shared" si="93"/>
        <v>-0.65666666666666629</v>
      </c>
      <c r="W145" s="323">
        <f t="shared" si="73"/>
        <v>-0.15666666666667575</v>
      </c>
      <c r="X145" s="323">
        <f t="shared" si="82"/>
        <v>-2.1129781909188554</v>
      </c>
      <c r="Y145" s="323">
        <f t="shared" si="74"/>
        <v>-0.50411154808726921</v>
      </c>
      <c r="Z145" s="323">
        <f t="shared" si="65"/>
        <v>20.252581450172418</v>
      </c>
      <c r="AA145" s="326">
        <f t="shared" si="75"/>
        <v>0.10725777618877445</v>
      </c>
      <c r="AB145" s="323" t="str">
        <f t="shared" si="87"/>
        <v/>
      </c>
      <c r="AC145" s="327"/>
      <c r="AD145" s="328">
        <f t="shared" si="76"/>
        <v>1.5756832487004808</v>
      </c>
      <c r="AE145" s="328">
        <f t="shared" si="76"/>
        <v>5.6070447549569833</v>
      </c>
      <c r="AF145" s="328">
        <f t="shared" si="77"/>
        <v>1.00011979929717</v>
      </c>
      <c r="AG145" s="328">
        <f t="shared" si="78"/>
        <v>1.5756832487004808</v>
      </c>
      <c r="AH145" s="328">
        <f t="shared" si="83"/>
        <v>-0.47000000000002728</v>
      </c>
      <c r="AI145" s="328">
        <f t="shared" si="84"/>
        <v>27.9699999999998</v>
      </c>
      <c r="AJ145" s="329">
        <f t="shared" si="85"/>
        <v>90.783066697878567</v>
      </c>
      <c r="AK145" s="329" cm="1">
        <f t="array" ref="AK145">IF(OR(E145="", H145=""), "",
  IFERROR(
     (
      INDEX($AM$3:$AM$22, MATCH(E145, $AL$3:$AL$22, 1)) +
      (E145 - INDEX($AL$3:$AL$22, MATCH(E145, $AL$3:$AL$22, 1))) *
      (INDEX($AM$3:$AM$22, MATCH(E145, $AL$3:$AL$22, 1)+1) - INDEX($AM$3:$AM$22, MATCH(E145, $AL$3:$AL$22, 1))) /
      (INDEX($AL$3:$AL$22, MATCH(E145, $AL$3:$AL$22, 1)+1) - INDEX($AL$3:$AL$22, MATCH(E145, $AL$3:$AL$22, 1)))
    ) - H145,
    ""
  )
)</f>
        <v>0.86685418842466788</v>
      </c>
      <c r="AL145" s="341"/>
      <c r="AM145" s="342"/>
      <c r="AN145" s="343"/>
    </row>
    <row r="146" spans="1:40" s="315" customFormat="1" ht="15" customHeight="1" x14ac:dyDescent="0.35">
      <c r="A146" s="297">
        <f t="shared" si="95"/>
        <v>3</v>
      </c>
      <c r="B146" s="298">
        <f t="shared" si="95"/>
        <v>19</v>
      </c>
      <c r="C146" s="299">
        <f t="shared" si="91"/>
        <v>28.210000000000036</v>
      </c>
      <c r="D146" s="300">
        <v>3590.89</v>
      </c>
      <c r="E146" s="301">
        <f t="shared" si="88"/>
        <v>3571.89</v>
      </c>
      <c r="F146" s="302">
        <v>90.88</v>
      </c>
      <c r="G146" s="302">
        <v>321</v>
      </c>
      <c r="H146" s="303">
        <f t="shared" si="67"/>
        <v>2003.9506234071678</v>
      </c>
      <c r="I146" s="304">
        <f t="shared" si="79"/>
        <v>0.6953975965115925</v>
      </c>
      <c r="J146" s="302" t="str">
        <f t="shared" si="89"/>
        <v/>
      </c>
      <c r="K146" s="304" t="str">
        <f t="shared" si="86"/>
        <v/>
      </c>
      <c r="L146" s="302"/>
      <c r="M146" s="305"/>
      <c r="N146" s="304" t="str">
        <f t="shared" si="94"/>
        <v/>
      </c>
      <c r="O146" s="304">
        <f t="shared" si="92"/>
        <v>0</v>
      </c>
      <c r="P146" s="306">
        <f t="shared" si="80"/>
        <v>23.427526267472608</v>
      </c>
      <c r="Q146" s="307" t="str">
        <f t="shared" si="81"/>
        <v>L</v>
      </c>
      <c r="R146" s="304">
        <f t="shared" si="70"/>
        <v>1.217753668033157E-2</v>
      </c>
      <c r="S146" s="304">
        <f t="shared" si="90"/>
        <v>90.88</v>
      </c>
      <c r="T146" s="304">
        <f t="shared" si="71"/>
        <v>2003.6588158292436</v>
      </c>
      <c r="U146" s="304">
        <f t="shared" si="72"/>
        <v>1.1967781715864326E-2</v>
      </c>
      <c r="V146" s="303">
        <f t="shared" si="93"/>
        <v>-1.4493432042341917E-2</v>
      </c>
      <c r="W146" s="304">
        <f t="shared" si="73"/>
        <v>-8.6666666666663627E-3</v>
      </c>
      <c r="X146" s="304">
        <f t="shared" si="82"/>
        <v>0.63807160581353439</v>
      </c>
      <c r="Y146" s="304">
        <f t="shared" si="74"/>
        <v>-0.27649769585252454</v>
      </c>
      <c r="Z146" s="304">
        <f t="shared" si="65"/>
        <v>0.6953975965115925</v>
      </c>
      <c r="AA146" s="308">
        <f t="shared" si="75"/>
        <v>0</v>
      </c>
      <c r="AB146" s="304" t="str">
        <f t="shared" si="87"/>
        <v/>
      </c>
      <c r="AC146" s="309"/>
      <c r="AD146" s="310">
        <f t="shared" si="76"/>
        <v>1.5861552242124466</v>
      </c>
      <c r="AE146" s="310">
        <f t="shared" si="76"/>
        <v>5.6025068989017974</v>
      </c>
      <c r="AF146" s="310">
        <f t="shared" si="77"/>
        <v>1.0000122756997414</v>
      </c>
      <c r="AG146" s="310">
        <f t="shared" si="78"/>
        <v>1.5861552242124466</v>
      </c>
      <c r="AH146" s="310">
        <f t="shared" si="83"/>
        <v>-0.25999999999999091</v>
      </c>
      <c r="AI146" s="310">
        <f t="shared" si="84"/>
        <v>28.210000000000036</v>
      </c>
      <c r="AJ146" s="311">
        <f t="shared" si="85"/>
        <v>90.783066697878567</v>
      </c>
      <c r="AK146" s="311" cm="1">
        <f t="array" ref="AK146">IF(OR(E146="", H146=""), "",
  IFERROR(
     (
      INDEX($AM$3:$AM$22, MATCH(E146, $AL$3:$AL$22, 1)) +
      (E146 - INDEX($AL$3:$AL$22, MATCH(E146, $AL$3:$AL$22, 1))) *
      (INDEX($AM$3:$AM$22, MATCH(E146, $AL$3:$AL$22, 1)+1) - INDEX($AM$3:$AM$22, MATCH(E146, $AL$3:$AL$22, 1))) /
      (INDEX($AL$3:$AL$22, MATCH(E146, $AL$3:$AL$22, 1)+1) - INDEX($AL$3:$AL$22, MATCH(E146, $AL$3:$AL$22, 1)))
    ) - H146,
    ""
  )
)</f>
        <v>0.76687992616552947</v>
      </c>
      <c r="AL146" s="338"/>
      <c r="AM146" s="339"/>
      <c r="AN146" s="340"/>
    </row>
    <row r="147" spans="1:40" s="315" customFormat="1" ht="15" customHeight="1" x14ac:dyDescent="0.35">
      <c r="A147" s="316">
        <f t="shared" si="95"/>
        <v>3</v>
      </c>
      <c r="B147" s="317">
        <f t="shared" si="95"/>
        <v>19</v>
      </c>
      <c r="C147" s="318">
        <f t="shared" si="91"/>
        <v>27.789999999999964</v>
      </c>
      <c r="D147" s="319">
        <v>3618.68</v>
      </c>
      <c r="E147" s="320">
        <f t="shared" si="88"/>
        <v>3599.68</v>
      </c>
      <c r="F147" s="321">
        <v>89.52</v>
      </c>
      <c r="G147" s="321">
        <v>319.60000000000002</v>
      </c>
      <c r="H147" s="322">
        <f t="shared" si="67"/>
        <v>2003.8536182043388</v>
      </c>
      <c r="I147" s="323">
        <f t="shared" si="79"/>
        <v>2.1070060850772676</v>
      </c>
      <c r="J147" s="321" t="str">
        <f t="shared" si="89"/>
        <v/>
      </c>
      <c r="K147" s="323" t="str">
        <f t="shared" si="86"/>
        <v/>
      </c>
      <c r="L147" s="321"/>
      <c r="M147" s="333"/>
      <c r="N147" s="323" t="str">
        <f t="shared" si="94"/>
        <v/>
      </c>
      <c r="O147" s="323">
        <f t="shared" si="92"/>
        <v>0</v>
      </c>
      <c r="P147" s="324">
        <f t="shared" si="80"/>
        <v>134.17053128720352</v>
      </c>
      <c r="Q147" s="325" t="str">
        <f t="shared" si="81"/>
        <v>L</v>
      </c>
      <c r="R147" s="323">
        <f t="shared" si="70"/>
        <v>3.6021314949032882E-3</v>
      </c>
      <c r="S147" s="323">
        <f t="shared" si="90"/>
        <v>89.52</v>
      </c>
      <c r="T147" s="323">
        <f t="shared" si="71"/>
        <v>2004.0127903702194</v>
      </c>
      <c r="U147" s="323">
        <f t="shared" si="72"/>
        <v>3.6366978315341969E-3</v>
      </c>
      <c r="V147" s="322">
        <f t="shared" si="93"/>
        <v>-0.22999124272312232</v>
      </c>
      <c r="W147" s="323">
        <f t="shared" si="73"/>
        <v>-4.6666666666665906E-2</v>
      </c>
      <c r="X147" s="323">
        <f t="shared" si="82"/>
        <v>-1.4681540122346182</v>
      </c>
      <c r="Y147" s="323">
        <f t="shared" si="74"/>
        <v>-1.5113350125944358</v>
      </c>
      <c r="Z147" s="323">
        <f t="shared" si="65"/>
        <v>2.1070060850772676</v>
      </c>
      <c r="AA147" s="326">
        <f t="shared" si="75"/>
        <v>0</v>
      </c>
      <c r="AB147" s="323" t="str">
        <f t="shared" si="87"/>
        <v/>
      </c>
      <c r="AC147" s="327"/>
      <c r="AD147" s="328">
        <f t="shared" si="76"/>
        <v>1.5624187463853236</v>
      </c>
      <c r="AE147" s="328">
        <f t="shared" si="76"/>
        <v>5.5780722893738774</v>
      </c>
      <c r="AF147" s="328">
        <f t="shared" si="77"/>
        <v>1.0001127103515461</v>
      </c>
      <c r="AG147" s="328">
        <f t="shared" si="78"/>
        <v>1.5624187463853236</v>
      </c>
      <c r="AH147" s="328">
        <f t="shared" si="83"/>
        <v>-1.3999999999999773</v>
      </c>
      <c r="AI147" s="328">
        <f t="shared" si="84"/>
        <v>27.789999999999964</v>
      </c>
      <c r="AJ147" s="329">
        <f t="shared" si="85"/>
        <v>90.783066697878567</v>
      </c>
      <c r="AK147" s="329" cm="1">
        <f t="array" ref="AK147">IF(OR(E147="", H147=""), "",
  IFERROR(
     (
      INDEX($AM$3:$AM$22, MATCH(E147, $AL$3:$AL$22, 1)) +
      (E147 - INDEX($AL$3:$AL$22, MATCH(E147, $AL$3:$AL$22, 1))) *
      (INDEX($AM$3:$AM$22, MATCH(E147, $AL$3:$AL$22, 1)+1) - INDEX($AM$3:$AM$22, MATCH(E147, $AL$3:$AL$22, 1))) /
      (INDEX($AL$3:$AL$22, MATCH(E147, $AL$3:$AL$22, 1)+1) - INDEX($AL$3:$AL$22, MATCH(E147, $AL$3:$AL$22, 1)))
    ) - H147,
    ""
  )
)</f>
        <v>0.48408846232791802</v>
      </c>
      <c r="AL147" s="341"/>
      <c r="AM147" s="342"/>
      <c r="AN147" s="343"/>
    </row>
    <row r="148" spans="1:40" s="315" customFormat="1" ht="15" customHeight="1" x14ac:dyDescent="0.35">
      <c r="A148" s="297">
        <f t="shared" si="95"/>
        <v>3</v>
      </c>
      <c r="B148" s="298">
        <f t="shared" si="95"/>
        <v>19</v>
      </c>
      <c r="C148" s="299">
        <f t="shared" si="91"/>
        <v>28.340000000000146</v>
      </c>
      <c r="D148" s="300">
        <v>3647.02</v>
      </c>
      <c r="E148" s="301">
        <f t="shared" si="88"/>
        <v>3628.02</v>
      </c>
      <c r="F148" s="302">
        <v>89.42</v>
      </c>
      <c r="G148" s="302">
        <v>319.37</v>
      </c>
      <c r="H148" s="303">
        <f t="shared" si="67"/>
        <v>2004.1157664100688</v>
      </c>
      <c r="I148" s="304">
        <f t="shared" si="79"/>
        <v>0.26547954116868022</v>
      </c>
      <c r="J148" s="302">
        <f t="shared" si="89"/>
        <v>3647.02</v>
      </c>
      <c r="K148" s="304">
        <f t="shared" si="86"/>
        <v>3652.02</v>
      </c>
      <c r="L148" s="302">
        <v>5</v>
      </c>
      <c r="M148" s="305" t="s">
        <v>583</v>
      </c>
      <c r="N148" s="304" t="str">
        <f t="shared" si="94"/>
        <v/>
      </c>
      <c r="O148" s="304">
        <f t="shared" si="92"/>
        <v>0</v>
      </c>
      <c r="P148" s="306">
        <f t="shared" si="80"/>
        <v>113.49946471026448</v>
      </c>
      <c r="Q148" s="307" t="str">
        <f t="shared" si="81"/>
        <v>L</v>
      </c>
      <c r="R148" s="304">
        <f t="shared" si="70"/>
        <v>5.3429872106533121E-3</v>
      </c>
      <c r="S148" s="304">
        <f t="shared" si="90"/>
        <v>89.42</v>
      </c>
      <c r="T148" s="304">
        <f t="shared" si="71"/>
        <v>2004.3080984087835</v>
      </c>
      <c r="U148" s="304">
        <f t="shared" si="72"/>
        <v>5.4060631753329817E-3</v>
      </c>
      <c r="V148" s="303">
        <f t="shared" si="93"/>
        <v>-0.30038378047737685</v>
      </c>
      <c r="W148" s="304">
        <f t="shared" si="73"/>
        <v>-7.6666666666672734E-3</v>
      </c>
      <c r="X148" s="304">
        <f t="shared" si="82"/>
        <v>-0.10585744530698003</v>
      </c>
      <c r="Y148" s="304">
        <f t="shared" si="74"/>
        <v>-0.24347212420608716</v>
      </c>
      <c r="Z148" s="304">
        <f t="shared" si="65"/>
        <v>0.26547954116868022</v>
      </c>
      <c r="AA148" s="308">
        <f t="shared" si="75"/>
        <v>0</v>
      </c>
      <c r="AB148" s="304">
        <f t="shared" si="87"/>
        <v>23.039999999999964</v>
      </c>
      <c r="AC148" s="309"/>
      <c r="AD148" s="310">
        <f t="shared" si="76"/>
        <v>1.5606734171333294</v>
      </c>
      <c r="AE148" s="310">
        <f t="shared" si="76"/>
        <v>5.5740580320942907</v>
      </c>
      <c r="AF148" s="310">
        <f t="shared" si="77"/>
        <v>1.00000178910792</v>
      </c>
      <c r="AG148" s="310">
        <f t="shared" si="78"/>
        <v>1.5606734171333294</v>
      </c>
      <c r="AH148" s="310">
        <f t="shared" si="83"/>
        <v>-0.23000000000001819</v>
      </c>
      <c r="AI148" s="310">
        <f t="shared" si="84"/>
        <v>28.340000000000146</v>
      </c>
      <c r="AJ148" s="311">
        <f t="shared" si="85"/>
        <v>90.783066697878567</v>
      </c>
      <c r="AK148" s="311" cm="1">
        <f t="array" ref="AK148">IF(OR(E148="", H148=""), "",
  IFERROR(
     (
      INDEX($AM$3:$AM$22, MATCH(E148, $AL$3:$AL$22, 1)) +
      (E148 - INDEX($AL$3:$AL$22, MATCH(E148, $AL$3:$AL$22, 1))) *
      (INDEX($AM$3:$AM$22, MATCH(E148, $AL$3:$AL$22, 1)+1) - INDEX($AM$3:$AM$22, MATCH(E148, $AL$3:$AL$22, 1))) /
      (INDEX($AL$3:$AL$22, MATCH(E148, $AL$3:$AL$22, 1)+1) - INDEX($AL$3:$AL$22, MATCH(E148, $AL$3:$AL$22, 1)))
    ) - H148,
    ""
  )
)</f>
        <v>-0.1653730767354773</v>
      </c>
      <c r="AL148" s="338"/>
      <c r="AM148" s="339"/>
      <c r="AN148" s="340"/>
    </row>
    <row r="149" spans="1:40" s="315" customFormat="1" ht="15" customHeight="1" x14ac:dyDescent="0.35">
      <c r="A149" s="316">
        <f t="shared" si="95"/>
        <v>3</v>
      </c>
      <c r="B149" s="317">
        <f t="shared" si="95"/>
        <v>19</v>
      </c>
      <c r="C149" s="318">
        <f t="shared" si="91"/>
        <v>28.039999999999964</v>
      </c>
      <c r="D149" s="319">
        <v>3675.06</v>
      </c>
      <c r="E149" s="320">
        <f t="shared" si="88"/>
        <v>3656.06</v>
      </c>
      <c r="F149" s="321">
        <v>90.93</v>
      </c>
      <c r="G149" s="321">
        <v>322.14999999999998</v>
      </c>
      <c r="H149" s="322">
        <f t="shared" si="67"/>
        <v>2004.0301232368331</v>
      </c>
      <c r="I149" s="323">
        <f t="shared" si="79"/>
        <v>3.3846710868411827</v>
      </c>
      <c r="J149" s="321" t="str">
        <f t="shared" si="89"/>
        <v/>
      </c>
      <c r="K149" s="323" t="str">
        <f t="shared" si="86"/>
        <v/>
      </c>
      <c r="L149" s="321"/>
      <c r="M149" s="333"/>
      <c r="N149" s="323">
        <f t="shared" si="94"/>
        <v>5</v>
      </c>
      <c r="O149" s="323">
        <f t="shared" si="92"/>
        <v>0</v>
      </c>
      <c r="P149" s="324">
        <f t="shared" si="80"/>
        <v>61.489910789082174</v>
      </c>
      <c r="Q149" s="325" t="str">
        <f t="shared" si="81"/>
        <v>R</v>
      </c>
      <c r="R149" s="323">
        <f t="shared" si="70"/>
        <v>1.366588305073438E-2</v>
      </c>
      <c r="S149" s="323">
        <f t="shared" si="90"/>
        <v>90.93</v>
      </c>
      <c r="T149" s="323">
        <f t="shared" si="71"/>
        <v>2003.7217370998426</v>
      </c>
      <c r="U149" s="323">
        <f t="shared" si="72"/>
        <v>1.3416190952234071E-2</v>
      </c>
      <c r="V149" s="322">
        <f t="shared" si="93"/>
        <v>0.30200000000000105</v>
      </c>
      <c r="W149" s="323">
        <f t="shared" si="73"/>
        <v>0.5559999999999945</v>
      </c>
      <c r="X149" s="323">
        <f t="shared" si="82"/>
        <v>1.6155492154065696</v>
      </c>
      <c r="Y149" s="323">
        <f t="shared" si="74"/>
        <v>2.9743223965762944</v>
      </c>
      <c r="Z149" s="323">
        <f t="shared" si="65"/>
        <v>18.981235455005326</v>
      </c>
      <c r="AA149" s="326">
        <f t="shared" si="75"/>
        <v>0.17831669044222562</v>
      </c>
      <c r="AB149" s="323" t="str">
        <f t="shared" si="87"/>
        <v/>
      </c>
      <c r="AC149" s="327"/>
      <c r="AD149" s="328">
        <f t="shared" si="76"/>
        <v>1.5870278888384439</v>
      </c>
      <c r="AE149" s="328">
        <f t="shared" si="76"/>
        <v>5.6225781852997319</v>
      </c>
      <c r="AF149" s="328">
        <f t="shared" si="77"/>
        <v>1.0002909095743191</v>
      </c>
      <c r="AG149" s="328">
        <f t="shared" si="78"/>
        <v>1.5870278888384439</v>
      </c>
      <c r="AH149" s="328">
        <f t="shared" si="83"/>
        <v>2.7799999999999727</v>
      </c>
      <c r="AI149" s="328">
        <f t="shared" si="84"/>
        <v>28.039999999999964</v>
      </c>
      <c r="AJ149" s="329">
        <f t="shared" si="85"/>
        <v>90.783066697878567</v>
      </c>
      <c r="AK149" s="329" cm="1">
        <f t="array" ref="AK149">IF(OR(E149="", H149=""), "",
  IFERROR(
     (
      INDEX($AM$3:$AM$22, MATCH(E149, $AL$3:$AL$22, 1)) +
      (E149 - INDEX($AL$3:$AL$22, MATCH(E149, $AL$3:$AL$22, 1))) *
      (INDEX($AM$3:$AM$22, MATCH(E149, $AL$3:$AL$22, 1)+1) - INDEX($AM$3:$AM$22, MATCH(E149, $AL$3:$AL$22, 1))) /
      (INDEX($AL$3:$AL$22, MATCH(E149, $AL$3:$AL$22, 1)+1) - INDEX($AL$3:$AL$22, MATCH(E149, $AL$3:$AL$22, 1)))
    ) - H149,
    ""
  )
)</f>
        <v>-0.46294323683309813</v>
      </c>
      <c r="AL149" s="341"/>
      <c r="AM149" s="342"/>
      <c r="AN149" s="343"/>
    </row>
    <row r="150" spans="1:40" s="315" customFormat="1" ht="15" customHeight="1" x14ac:dyDescent="0.35">
      <c r="A150" s="297">
        <f t="shared" si="95"/>
        <v>3</v>
      </c>
      <c r="B150" s="298">
        <f t="shared" si="95"/>
        <v>19</v>
      </c>
      <c r="C150" s="299">
        <f t="shared" si="91"/>
        <v>28.230000000000018</v>
      </c>
      <c r="D150" s="300">
        <v>3703.29</v>
      </c>
      <c r="E150" s="301">
        <f t="shared" si="88"/>
        <v>3684.29</v>
      </c>
      <c r="F150" s="302">
        <v>91.01</v>
      </c>
      <c r="G150" s="302">
        <v>321.87</v>
      </c>
      <c r="H150" s="303">
        <f t="shared" si="67"/>
        <v>2003.5522208121567</v>
      </c>
      <c r="I150" s="304">
        <f t="shared" si="79"/>
        <v>0.3094216711970354</v>
      </c>
      <c r="J150" s="302" t="str">
        <f t="shared" si="89"/>
        <v/>
      </c>
      <c r="K150" s="304" t="str">
        <f t="shared" si="86"/>
        <v/>
      </c>
      <c r="L150" s="302"/>
      <c r="M150" s="305"/>
      <c r="N150" s="304" t="str">
        <f t="shared" si="94"/>
        <v/>
      </c>
      <c r="O150" s="304">
        <f t="shared" si="92"/>
        <v>0</v>
      </c>
      <c r="P150" s="306">
        <f t="shared" si="80"/>
        <v>74.052433711170707</v>
      </c>
      <c r="Q150" s="307" t="str">
        <f t="shared" si="81"/>
        <v>L</v>
      </c>
      <c r="R150" s="304">
        <f t="shared" si="70"/>
        <v>1.5666223070778584E-2</v>
      </c>
      <c r="S150" s="304">
        <f t="shared" si="90"/>
        <v>91.01</v>
      </c>
      <c r="T150" s="304">
        <f t="shared" si="71"/>
        <v>2003.2173094743989</v>
      </c>
      <c r="U150" s="304">
        <f t="shared" si="72"/>
        <v>1.5364382816617722E-2</v>
      </c>
      <c r="V150" s="303">
        <f t="shared" si="93"/>
        <v>-7.6125007733499381E-2</v>
      </c>
      <c r="W150" s="304">
        <f t="shared" si="73"/>
        <v>-9.3333333333324234E-3</v>
      </c>
      <c r="X150" s="304">
        <f t="shared" si="82"/>
        <v>8.5015940488839786E-2</v>
      </c>
      <c r="Y150" s="304">
        <f t="shared" si="74"/>
        <v>-0.29755579171091662</v>
      </c>
      <c r="Z150" s="304">
        <f t="shared" si="65"/>
        <v>0.3094216711970354</v>
      </c>
      <c r="AA150" s="308">
        <f t="shared" si="75"/>
        <v>0</v>
      </c>
      <c r="AB150" s="304" t="str">
        <f t="shared" si="87"/>
        <v/>
      </c>
      <c r="AC150" s="309"/>
      <c r="AD150" s="310">
        <f t="shared" si="76"/>
        <v>1.5884241522400393</v>
      </c>
      <c r="AE150" s="310">
        <f t="shared" si="76"/>
        <v>5.6176912633941489</v>
      </c>
      <c r="AF150" s="310">
        <f t="shared" si="77"/>
        <v>1.0000024303913488</v>
      </c>
      <c r="AG150" s="310">
        <f t="shared" si="78"/>
        <v>1.5884241522400393</v>
      </c>
      <c r="AH150" s="310">
        <f t="shared" si="83"/>
        <v>-0.27999999999997272</v>
      </c>
      <c r="AI150" s="310">
        <f t="shared" si="84"/>
        <v>28.230000000000018</v>
      </c>
      <c r="AJ150" s="311">
        <f t="shared" si="85"/>
        <v>90.783066697878567</v>
      </c>
      <c r="AK150" s="311" cm="1">
        <f t="array" ref="AK150">IF(OR(E150="", H150=""), "",
  IFERROR(
     (
      INDEX($AM$3:$AM$22, MATCH(E150, $AL$3:$AL$22, 1)) +
      (E150 - INDEX($AL$3:$AL$22, MATCH(E150, $AL$3:$AL$22, 1))) *
      (INDEX($AM$3:$AM$22, MATCH(E150, $AL$3:$AL$22, 1)+1) - INDEX($AM$3:$AM$22, MATCH(E150, $AL$3:$AL$22, 1))) /
      (INDEX($AL$3:$AL$22, MATCH(E150, $AL$3:$AL$22, 1)+1) - INDEX($AL$3:$AL$22, MATCH(E150, $AL$3:$AL$22, 1)))
    ) - H150,
    ""
  )
)</f>
        <v>-0.37085081215673199</v>
      </c>
      <c r="AL150" s="338"/>
      <c r="AM150" s="339"/>
      <c r="AN150" s="340"/>
    </row>
    <row r="151" spans="1:40" s="315" customFormat="1" ht="15" customHeight="1" x14ac:dyDescent="0.35">
      <c r="A151" s="316">
        <f t="shared" si="95"/>
        <v>3</v>
      </c>
      <c r="B151" s="317">
        <f t="shared" si="95"/>
        <v>19</v>
      </c>
      <c r="C151" s="318">
        <f t="shared" si="91"/>
        <v>27.75</v>
      </c>
      <c r="D151" s="319">
        <v>3731.04</v>
      </c>
      <c r="E151" s="320">
        <f t="shared" si="88"/>
        <v>3712.04</v>
      </c>
      <c r="F151" s="321">
        <v>90.93</v>
      </c>
      <c r="G151" s="321">
        <v>321.32</v>
      </c>
      <c r="H151" s="322">
        <f t="shared" si="67"/>
        <v>2003.0824442522996</v>
      </c>
      <c r="I151" s="323">
        <f t="shared" si="79"/>
        <v>0.60076723047633118</v>
      </c>
      <c r="J151" s="321" t="str">
        <f t="shared" si="89"/>
        <v/>
      </c>
      <c r="K151" s="323" t="str">
        <f t="shared" si="86"/>
        <v/>
      </c>
      <c r="L151" s="321"/>
      <c r="M151" s="333"/>
      <c r="N151" s="323" t="str">
        <f t="shared" si="94"/>
        <v/>
      </c>
      <c r="O151" s="323">
        <f t="shared" si="92"/>
        <v>0</v>
      </c>
      <c r="P151" s="324">
        <f t="shared" si="80"/>
        <v>98.277063204237407</v>
      </c>
      <c r="Q151" s="325" t="str">
        <f t="shared" si="81"/>
        <v>L</v>
      </c>
      <c r="R151" s="323">
        <f t="shared" si="70"/>
        <v>1.2926574989792529E-2</v>
      </c>
      <c r="S151" s="323">
        <f t="shared" si="90"/>
        <v>90.93</v>
      </c>
      <c r="T151" s="323">
        <f t="shared" si="71"/>
        <v>2002.7740581153091</v>
      </c>
      <c r="U151" s="323">
        <f t="shared" si="72"/>
        <v>1.2702947169652265E-2</v>
      </c>
      <c r="V151" s="322">
        <f t="shared" si="93"/>
        <v>-2.4836262736958398E-2</v>
      </c>
      <c r="W151" s="323">
        <f t="shared" si="73"/>
        <v>-1.8333333333333712E-2</v>
      </c>
      <c r="X151" s="323">
        <f t="shared" si="82"/>
        <v>-8.6486486486484646E-2</v>
      </c>
      <c r="Y151" s="323">
        <f t="shared" si="74"/>
        <v>-0.59459459459460684</v>
      </c>
      <c r="Z151" s="323">
        <f t="shared" si="65"/>
        <v>0.60076723047633118</v>
      </c>
      <c r="AA151" s="326">
        <f t="shared" si="75"/>
        <v>0</v>
      </c>
      <c r="AB151" s="323" t="str">
        <f t="shared" si="87"/>
        <v/>
      </c>
      <c r="AC151" s="327"/>
      <c r="AD151" s="328">
        <f t="shared" si="76"/>
        <v>1.5870278888384439</v>
      </c>
      <c r="AE151" s="328">
        <f t="shared" si="76"/>
        <v>5.6080919525081798</v>
      </c>
      <c r="AF151" s="328">
        <f t="shared" si="77"/>
        <v>1.0000091620094429</v>
      </c>
      <c r="AG151" s="328">
        <f t="shared" si="78"/>
        <v>1.5870278888384439</v>
      </c>
      <c r="AH151" s="328">
        <f t="shared" si="83"/>
        <v>-0.55000000000001137</v>
      </c>
      <c r="AI151" s="328">
        <f t="shared" si="84"/>
        <v>27.75</v>
      </c>
      <c r="AJ151" s="329">
        <f t="shared" si="85"/>
        <v>90.783066697878567</v>
      </c>
      <c r="AK151" s="329" cm="1">
        <f t="array" ref="AK151">IF(OR(E151="", H151=""), "",
  IFERROR(
     (
      INDEX($AM$3:$AM$22, MATCH(E151, $AL$3:$AL$22, 1)) +
      (E151 - INDEX($AL$3:$AL$22, MATCH(E151, $AL$3:$AL$22, 1))) *
      (INDEX($AM$3:$AM$22, MATCH(E151, $AL$3:$AL$22, 1)+1) - INDEX($AM$3:$AM$22, MATCH(E151, $AL$3:$AL$22, 1))) /
      (INDEX($AL$3:$AL$22, MATCH(E151, $AL$3:$AL$22, 1)+1) - INDEX($AL$3:$AL$22, MATCH(E151, $AL$3:$AL$22, 1)))
    ) - H151,
    ""
  )
)</f>
        <v>-0.2803242522995788</v>
      </c>
      <c r="AL151" s="341"/>
      <c r="AM151" s="342"/>
      <c r="AN151" s="343"/>
    </row>
    <row r="152" spans="1:40" s="315" customFormat="1" ht="15" customHeight="1" x14ac:dyDescent="0.35">
      <c r="A152" s="297">
        <f t="shared" si="95"/>
        <v>3</v>
      </c>
      <c r="B152" s="298">
        <f t="shared" si="95"/>
        <v>19</v>
      </c>
      <c r="C152" s="299">
        <f t="shared" si="91"/>
        <v>28.050000000000182</v>
      </c>
      <c r="D152" s="300">
        <v>3759.09</v>
      </c>
      <c r="E152" s="301">
        <f t="shared" si="88"/>
        <v>3740.09</v>
      </c>
      <c r="F152" s="302">
        <v>89.67</v>
      </c>
      <c r="G152" s="302">
        <v>320.01</v>
      </c>
      <c r="H152" s="303">
        <f t="shared" si="67"/>
        <v>2002.9355754668284</v>
      </c>
      <c r="I152" s="304">
        <f t="shared" si="79"/>
        <v>1.9439319242935096</v>
      </c>
      <c r="J152" s="302" t="str">
        <f t="shared" si="89"/>
        <v/>
      </c>
      <c r="K152" s="304" t="str">
        <f t="shared" si="86"/>
        <v/>
      </c>
      <c r="L152" s="302"/>
      <c r="M152" s="305"/>
      <c r="N152" s="304" t="str">
        <f t="shared" si="94"/>
        <v/>
      </c>
      <c r="O152" s="304">
        <f t="shared" si="92"/>
        <v>0</v>
      </c>
      <c r="P152" s="306">
        <f t="shared" si="80"/>
        <v>133.88640604852301</v>
      </c>
      <c r="Q152" s="307" t="str">
        <f t="shared" si="81"/>
        <v>L</v>
      </c>
      <c r="R152" s="304">
        <f t="shared" si="70"/>
        <v>1.614090203840787E-3</v>
      </c>
      <c r="S152" s="304">
        <f t="shared" si="90"/>
        <v>89.67</v>
      </c>
      <c r="T152" s="304">
        <f t="shared" si="71"/>
        <v>2003.0450070059003</v>
      </c>
      <c r="U152" s="304">
        <f t="shared" si="72"/>
        <v>1.6241518640913251E-3</v>
      </c>
      <c r="V152" s="303">
        <f t="shared" si="93"/>
        <v>6.701290984318109E-2</v>
      </c>
      <c r="W152" s="304">
        <f t="shared" si="73"/>
        <v>-4.3666666666666742E-2</v>
      </c>
      <c r="X152" s="304">
        <f t="shared" si="82"/>
        <v>-1.3475935828876973</v>
      </c>
      <c r="Y152" s="304">
        <f t="shared" si="74"/>
        <v>-1.4010695187165709</v>
      </c>
      <c r="Z152" s="304">
        <f t="shared" si="65"/>
        <v>1.9439319242935096</v>
      </c>
      <c r="AA152" s="308">
        <f t="shared" si="75"/>
        <v>0</v>
      </c>
      <c r="AB152" s="304" t="str">
        <f t="shared" si="87"/>
        <v/>
      </c>
      <c r="AC152" s="309"/>
      <c r="AD152" s="310">
        <f t="shared" si="76"/>
        <v>1.5650367402633154</v>
      </c>
      <c r="AE152" s="310">
        <f t="shared" si="76"/>
        <v>5.5852281393070538</v>
      </c>
      <c r="AF152" s="310">
        <f t="shared" si="77"/>
        <v>1.0000959368794988</v>
      </c>
      <c r="AG152" s="310">
        <f t="shared" si="78"/>
        <v>1.5650367402633154</v>
      </c>
      <c r="AH152" s="310">
        <f t="shared" si="83"/>
        <v>-1.3100000000000023</v>
      </c>
      <c r="AI152" s="310">
        <f t="shared" si="84"/>
        <v>28.050000000000182</v>
      </c>
      <c r="AJ152" s="311">
        <f t="shared" si="85"/>
        <v>90.783066697878567</v>
      </c>
      <c r="AK152" s="311" cm="1">
        <f t="array" ref="AK152">IF(OR(E152="", H152=""), "",
  IFERROR(
     (
      INDEX($AM$3:$AM$22, MATCH(E152, $AL$3:$AL$22, 1)) +
      (E152 - INDEX($AL$3:$AL$22, MATCH(E152, $AL$3:$AL$22, 1))) *
      (INDEX($AM$3:$AM$22, MATCH(E152, $AL$3:$AL$22, 1)+1) - INDEX($AM$3:$AM$22, MATCH(E152, $AL$3:$AL$22, 1))) /
      (INDEX($AL$3:$AL$22, MATCH(E152, $AL$3:$AL$22, 1)+1) - INDEX($AL$3:$AL$22, MATCH(E152, $AL$3:$AL$22, 1)))
    ) - H152,
    ""
  )
)</f>
        <v>-0.51680546682837303</v>
      </c>
      <c r="AL152" s="338"/>
      <c r="AM152" s="339"/>
      <c r="AN152" s="340"/>
    </row>
    <row r="153" spans="1:40" s="315" customFormat="1" ht="15" customHeight="1" x14ac:dyDescent="0.35">
      <c r="A153" s="316">
        <f t="shared" si="95"/>
        <v>3</v>
      </c>
      <c r="B153" s="317">
        <f t="shared" si="95"/>
        <v>19</v>
      </c>
      <c r="C153" s="318">
        <f t="shared" si="91"/>
        <v>27.899999999999636</v>
      </c>
      <c r="D153" s="319">
        <v>3786.99</v>
      </c>
      <c r="E153" s="320">
        <f t="shared" si="88"/>
        <v>3767.99</v>
      </c>
      <c r="F153" s="321">
        <v>89.52</v>
      </c>
      <c r="G153" s="321">
        <v>319.49</v>
      </c>
      <c r="H153" s="322">
        <f t="shared" si="67"/>
        <v>2003.1327873033706</v>
      </c>
      <c r="I153" s="323">
        <f t="shared" si="79"/>
        <v>0.58192445210210131</v>
      </c>
      <c r="J153" s="321" t="str">
        <f t="shared" si="89"/>
        <v/>
      </c>
      <c r="K153" s="323" t="str">
        <f t="shared" si="86"/>
        <v/>
      </c>
      <c r="L153" s="321"/>
      <c r="M153" s="333"/>
      <c r="N153" s="323" t="str">
        <f t="shared" si="94"/>
        <v/>
      </c>
      <c r="O153" s="323">
        <f t="shared" si="92"/>
        <v>0</v>
      </c>
      <c r="P153" s="324">
        <f t="shared" si="80"/>
        <v>106.09120189903625</v>
      </c>
      <c r="Q153" s="325" t="str">
        <f t="shared" si="81"/>
        <v>L</v>
      </c>
      <c r="R153" s="323">
        <f t="shared" si="70"/>
        <v>3.4534799764284483E-3</v>
      </c>
      <c r="S153" s="323">
        <f t="shared" si="90"/>
        <v>89.52</v>
      </c>
      <c r="T153" s="323">
        <f t="shared" si="71"/>
        <v>2003.2919594692512</v>
      </c>
      <c r="U153" s="323">
        <f t="shared" si="72"/>
        <v>3.4852396598366768E-3</v>
      </c>
      <c r="V153" s="322">
        <f t="shared" si="93"/>
        <v>-1.1316120209092229E-2</v>
      </c>
      <c r="W153" s="323">
        <f t="shared" si="73"/>
        <v>-1.7333333333332725E-2</v>
      </c>
      <c r="X153" s="323">
        <f t="shared" si="82"/>
        <v>-0.16129032258065337</v>
      </c>
      <c r="Y153" s="323">
        <f t="shared" si="74"/>
        <v>-0.55913978494622429</v>
      </c>
      <c r="Z153" s="323">
        <f t="shared" si="65"/>
        <v>0.58192445210210131</v>
      </c>
      <c r="AA153" s="326">
        <f t="shared" si="75"/>
        <v>0</v>
      </c>
      <c r="AB153" s="323" t="str">
        <f t="shared" si="87"/>
        <v/>
      </c>
      <c r="AC153" s="327"/>
      <c r="AD153" s="328">
        <f t="shared" si="76"/>
        <v>1.5624187463853236</v>
      </c>
      <c r="AE153" s="328">
        <f t="shared" si="76"/>
        <v>5.5761524271966838</v>
      </c>
      <c r="AF153" s="328">
        <f t="shared" si="77"/>
        <v>1.0000085962924468</v>
      </c>
      <c r="AG153" s="328">
        <f t="shared" si="78"/>
        <v>1.5624187463853236</v>
      </c>
      <c r="AH153" s="328">
        <f t="shared" si="83"/>
        <v>-0.51999999999998181</v>
      </c>
      <c r="AI153" s="328">
        <f t="shared" si="84"/>
        <v>27.899999999999636</v>
      </c>
      <c r="AJ153" s="329">
        <f t="shared" si="85"/>
        <v>90.783066697878567</v>
      </c>
      <c r="AK153" s="329" cm="1">
        <f t="array" ref="AK153">IF(OR(E153="", H153=""), "",
  IFERROR(
     (
      INDEX($AM$3:$AM$22, MATCH(E153, $AL$3:$AL$22, 1)) +
      (E153 - INDEX($AL$3:$AL$22, MATCH(E153, $AL$3:$AL$22, 1))) *
      (INDEX($AM$3:$AM$22, MATCH(E153, $AL$3:$AL$22, 1)+1) - INDEX($AM$3:$AM$22, MATCH(E153, $AL$3:$AL$22, 1))) /
      (INDEX($AL$3:$AL$22, MATCH(E153, $AL$3:$AL$22, 1)+1) - INDEX($AL$3:$AL$22, MATCH(E153, $AL$3:$AL$22, 1)))
    ) - H153,
    ""
  )
)</f>
        <v>-1.0953173033706207</v>
      </c>
      <c r="AL153" s="341"/>
      <c r="AM153" s="342"/>
      <c r="AN153" s="343"/>
    </row>
    <row r="154" spans="1:40" s="315" customFormat="1" ht="15" customHeight="1" x14ac:dyDescent="0.35">
      <c r="A154" s="297">
        <f t="shared" si="95"/>
        <v>3</v>
      </c>
      <c r="B154" s="298">
        <f t="shared" si="95"/>
        <v>19</v>
      </c>
      <c r="C154" s="299">
        <f t="shared" si="91"/>
        <v>27.2800000000002</v>
      </c>
      <c r="D154" s="300">
        <v>3814.27</v>
      </c>
      <c r="E154" s="301">
        <f t="shared" si="88"/>
        <v>3795.27</v>
      </c>
      <c r="F154" s="302">
        <v>89.7</v>
      </c>
      <c r="G154" s="302">
        <v>319</v>
      </c>
      <c r="H154" s="303">
        <f t="shared" si="67"/>
        <v>2003.3184749392515</v>
      </c>
      <c r="I154" s="304">
        <f t="shared" si="79"/>
        <v>0.57405184864802161</v>
      </c>
      <c r="J154" s="302">
        <f t="shared" si="89"/>
        <v>3814.27</v>
      </c>
      <c r="K154" s="304">
        <f t="shared" si="86"/>
        <v>3818.27</v>
      </c>
      <c r="L154" s="302">
        <v>4</v>
      </c>
      <c r="M154" s="305" t="s">
        <v>583</v>
      </c>
      <c r="N154" s="304" t="str">
        <f t="shared" si="94"/>
        <v/>
      </c>
      <c r="O154" s="304">
        <f t="shared" si="92"/>
        <v>0</v>
      </c>
      <c r="P154" s="306">
        <f t="shared" si="80"/>
        <v>69.828909336662818</v>
      </c>
      <c r="Q154" s="307" t="str">
        <f t="shared" si="81"/>
        <v>L</v>
      </c>
      <c r="R154" s="304">
        <f t="shared" si="70"/>
        <v>1.3635154646707748E-3</v>
      </c>
      <c r="S154" s="304">
        <f t="shared" si="90"/>
        <v>89.7</v>
      </c>
      <c r="T154" s="304">
        <f t="shared" si="71"/>
        <v>2003.4179582520485</v>
      </c>
      <c r="U154" s="304">
        <f t="shared" si="72"/>
        <v>1.3714101629531594E-3</v>
      </c>
      <c r="V154" s="303">
        <f t="shared" si="93"/>
        <v>1.0286842299043487E-2</v>
      </c>
      <c r="W154" s="304">
        <f t="shared" si="73"/>
        <v>-1.6333333333333637E-2</v>
      </c>
      <c r="X154" s="304">
        <f t="shared" si="82"/>
        <v>0.19794721407625238</v>
      </c>
      <c r="Y154" s="304">
        <f t="shared" si="74"/>
        <v>-0.53885630498534332</v>
      </c>
      <c r="Z154" s="304">
        <f t="shared" si="65"/>
        <v>0.57405184864802161</v>
      </c>
      <c r="AA154" s="308">
        <f t="shared" si="75"/>
        <v>0</v>
      </c>
      <c r="AB154" s="304">
        <f t="shared" si="87"/>
        <v>23.789999999999964</v>
      </c>
      <c r="AC154" s="309" t="s">
        <v>607</v>
      </c>
      <c r="AD154" s="310">
        <f t="shared" si="76"/>
        <v>1.5655603390389137</v>
      </c>
      <c r="AE154" s="310">
        <f t="shared" si="76"/>
        <v>5.5676003138619112</v>
      </c>
      <c r="AF154" s="310">
        <f t="shared" si="77"/>
        <v>1.000008365272417</v>
      </c>
      <c r="AG154" s="310">
        <f t="shared" si="78"/>
        <v>1.5655603390389137</v>
      </c>
      <c r="AH154" s="310">
        <f t="shared" si="83"/>
        <v>-0.49000000000000909</v>
      </c>
      <c r="AI154" s="310">
        <f t="shared" si="84"/>
        <v>27.2800000000002</v>
      </c>
      <c r="AJ154" s="311">
        <f t="shared" si="85"/>
        <v>90.783066697878567</v>
      </c>
      <c r="AK154" s="311" cm="1">
        <f t="array" ref="AK154">IF(OR(E154="", H154=""), "",
  IFERROR(
     (
      INDEX($AM$3:$AM$22, MATCH(E154, $AL$3:$AL$22, 1)) +
      (E154 - INDEX($AL$3:$AL$22, MATCH(E154, $AL$3:$AL$22, 1))) *
      (INDEX($AM$3:$AM$22, MATCH(E154, $AL$3:$AL$22, 1)+1) - INDEX($AM$3:$AM$22, MATCH(E154, $AL$3:$AL$22, 1))) /
      (INDEX($AL$3:$AL$22, MATCH(E154, $AL$3:$AL$22, 1)+1) - INDEX($AL$3:$AL$22, MATCH(E154, $AL$3:$AL$22, 1)))
    ) - H154,
    ""
  )
)</f>
        <v>-1.6538316059181852</v>
      </c>
      <c r="AL154" s="338"/>
      <c r="AM154" s="339"/>
      <c r="AN154" s="340"/>
    </row>
    <row r="155" spans="1:40" s="315" customFormat="1" ht="15" customHeight="1" x14ac:dyDescent="0.35">
      <c r="A155" s="316">
        <f t="shared" si="95"/>
        <v>3</v>
      </c>
      <c r="B155" s="317">
        <f t="shared" si="95"/>
        <v>19</v>
      </c>
      <c r="C155" s="318">
        <f t="shared" si="91"/>
        <v>27.789999999999964</v>
      </c>
      <c r="D155" s="319">
        <v>3842.06</v>
      </c>
      <c r="E155" s="320">
        <f t="shared" si="88"/>
        <v>3823.06</v>
      </c>
      <c r="F155" s="321">
        <v>91.42</v>
      </c>
      <c r="G155" s="321">
        <v>321.56</v>
      </c>
      <c r="H155" s="322">
        <f t="shared" si="67"/>
        <v>2003.0468641441944</v>
      </c>
      <c r="I155" s="323">
        <f t="shared" si="79"/>
        <v>3.3292246007394963</v>
      </c>
      <c r="J155" s="321" t="str">
        <f t="shared" si="89"/>
        <v/>
      </c>
      <c r="K155" s="323" t="str">
        <f t="shared" si="86"/>
        <v/>
      </c>
      <c r="L155" s="321"/>
      <c r="M155" s="333"/>
      <c r="N155" s="323">
        <f t="shared" si="94"/>
        <v>4</v>
      </c>
      <c r="O155" s="323">
        <f t="shared" si="92"/>
        <v>0</v>
      </c>
      <c r="P155" s="324">
        <f t="shared" si="80"/>
        <v>56.101570054486174</v>
      </c>
      <c r="Q155" s="325" t="str">
        <f t="shared" si="81"/>
        <v>R</v>
      </c>
      <c r="R155" s="323">
        <f t="shared" si="70"/>
        <v>3.00746347038661E-2</v>
      </c>
      <c r="S155" s="323">
        <f t="shared" si="90"/>
        <v>91.42</v>
      </c>
      <c r="T155" s="323">
        <f t="shared" si="71"/>
        <v>2002.5760225163472</v>
      </c>
      <c r="U155" s="323">
        <f t="shared" si="72"/>
        <v>2.9288992912329136E-2</v>
      </c>
      <c r="V155" s="322">
        <f t="shared" si="93"/>
        <v>0.42999999999999972</v>
      </c>
      <c r="W155" s="323">
        <f t="shared" si="73"/>
        <v>0.64000000000000057</v>
      </c>
      <c r="X155" s="323">
        <f t="shared" si="82"/>
        <v>1.856783015473193</v>
      </c>
      <c r="Y155" s="323">
        <f t="shared" si="74"/>
        <v>2.7635840230298729</v>
      </c>
      <c r="Z155" s="323">
        <f t="shared" si="65"/>
        <v>23.129787913637621</v>
      </c>
      <c r="AA155" s="326">
        <f t="shared" si="75"/>
        <v>0.1439366678661391</v>
      </c>
      <c r="AB155" s="323" t="str">
        <f t="shared" si="87"/>
        <v/>
      </c>
      <c r="AC155" s="327"/>
      <c r="AD155" s="328">
        <f t="shared" si="76"/>
        <v>1.595580002173216</v>
      </c>
      <c r="AE155" s="328">
        <f t="shared" si="76"/>
        <v>5.612280742712966</v>
      </c>
      <c r="AF155" s="328">
        <f t="shared" si="77"/>
        <v>1.0002814532938191</v>
      </c>
      <c r="AG155" s="328">
        <f t="shared" si="78"/>
        <v>1.595580002173216</v>
      </c>
      <c r="AH155" s="328">
        <f t="shared" si="83"/>
        <v>2.5600000000000023</v>
      </c>
      <c r="AI155" s="328">
        <f t="shared" si="84"/>
        <v>27.789999999999964</v>
      </c>
      <c r="AJ155" s="329">
        <f t="shared" si="85"/>
        <v>90.114591635420666</v>
      </c>
      <c r="AK155" s="329" cm="1">
        <f t="array" ref="AK155">IF(OR(E155="", H155=""), "",
  IFERROR(
     (
      INDEX($AM$3:$AM$22, MATCH(E155, $AL$3:$AL$22, 1)) +
      (E155 - INDEX($AL$3:$AL$22, MATCH(E155, $AL$3:$AL$22, 1))) *
      (INDEX($AM$3:$AM$22, MATCH(E155, $AL$3:$AL$22, 1)+1) - INDEX($AM$3:$AM$22, MATCH(E155, $AL$3:$AL$22, 1))) /
      (INDEX($AL$3:$AL$22, MATCH(E155, $AL$3:$AL$22, 1)+1) - INDEX($AL$3:$AL$22, MATCH(E155, $AL$3:$AL$22, 1)))
    ) - H155,
    ""
  )
)</f>
        <v>-1.4929841441944518</v>
      </c>
      <c r="AL155" s="341"/>
      <c r="AM155" s="342"/>
      <c r="AN155" s="343"/>
    </row>
    <row r="156" spans="1:40" s="315" customFormat="1" ht="15" customHeight="1" x14ac:dyDescent="0.35">
      <c r="A156" s="297">
        <f t="shared" si="95"/>
        <v>3</v>
      </c>
      <c r="B156" s="298">
        <f t="shared" si="95"/>
        <v>19</v>
      </c>
      <c r="C156" s="299">
        <f t="shared" si="91"/>
        <v>28.269999999999982</v>
      </c>
      <c r="D156" s="300">
        <v>3870.33</v>
      </c>
      <c r="E156" s="301">
        <f t="shared" si="88"/>
        <v>3851.33</v>
      </c>
      <c r="F156" s="302">
        <v>91.62</v>
      </c>
      <c r="G156" s="302">
        <v>321.23</v>
      </c>
      <c r="H156" s="303">
        <f t="shared" si="67"/>
        <v>2002.2969771507737</v>
      </c>
      <c r="I156" s="304">
        <f t="shared" si="79"/>
        <v>0.40938399485035215</v>
      </c>
      <c r="J156" s="302" t="str">
        <f t="shared" si="89"/>
        <v/>
      </c>
      <c r="K156" s="304" t="str">
        <f t="shared" si="86"/>
        <v/>
      </c>
      <c r="L156" s="302"/>
      <c r="M156" s="305"/>
      <c r="N156" s="304" t="str">
        <f t="shared" si="94"/>
        <v/>
      </c>
      <c r="O156" s="304">
        <f t="shared" si="92"/>
        <v>0</v>
      </c>
      <c r="P156" s="306">
        <f t="shared" si="80"/>
        <v>58.772645675908258</v>
      </c>
      <c r="Q156" s="307" t="str">
        <f t="shared" si="81"/>
        <v>L</v>
      </c>
      <c r="R156" s="304">
        <f t="shared" si="70"/>
        <v>3.7538670790549872E-2</v>
      </c>
      <c r="S156" s="304">
        <f t="shared" si="90"/>
        <v>91.62</v>
      </c>
      <c r="T156" s="304">
        <f t="shared" si="71"/>
        <v>2001.7598363821385</v>
      </c>
      <c r="U156" s="304">
        <f t="shared" si="72"/>
        <v>3.6468427936455668E-2</v>
      </c>
      <c r="V156" s="303">
        <f t="shared" si="93"/>
        <v>0.14299024069665031</v>
      </c>
      <c r="W156" s="304">
        <f t="shared" si="73"/>
        <v>-1.099999999999947E-2</v>
      </c>
      <c r="X156" s="304">
        <f t="shared" si="82"/>
        <v>0.21223912274496248</v>
      </c>
      <c r="Y156" s="304">
        <f t="shared" si="74"/>
        <v>-0.3501945525291662</v>
      </c>
      <c r="Z156" s="304">
        <f t="shared" si="65"/>
        <v>0.40938399485035215</v>
      </c>
      <c r="AA156" s="308">
        <f t="shared" si="75"/>
        <v>0</v>
      </c>
      <c r="AB156" s="304" t="str">
        <f t="shared" si="87"/>
        <v/>
      </c>
      <c r="AC156" s="309"/>
      <c r="AD156" s="310">
        <f t="shared" si="76"/>
        <v>1.5990706606772047</v>
      </c>
      <c r="AE156" s="310">
        <f t="shared" si="76"/>
        <v>5.606521156181385</v>
      </c>
      <c r="AF156" s="310">
        <f t="shared" si="77"/>
        <v>1.000004254391238</v>
      </c>
      <c r="AG156" s="310">
        <f t="shared" si="78"/>
        <v>1.5990706606772047</v>
      </c>
      <c r="AH156" s="310">
        <f t="shared" si="83"/>
        <v>-0.32999999999998408</v>
      </c>
      <c r="AI156" s="310">
        <f t="shared" si="84"/>
        <v>28.269999999999982</v>
      </c>
      <c r="AJ156" s="311">
        <f t="shared" si="85"/>
        <v>90.114591635420666</v>
      </c>
      <c r="AK156" s="311" cm="1">
        <f t="array" ref="AK156">IF(OR(E156="", H156=""), "",
  IFERROR(
     (
      INDEX($AM$3:$AM$22, MATCH(E156, $AL$3:$AL$22, 1)) +
      (E156 - INDEX($AL$3:$AL$22, MATCH(E156, $AL$3:$AL$22, 1))) *
      (INDEX($AM$3:$AM$22, MATCH(E156, $AL$3:$AL$22, 1)+1) - INDEX($AM$3:$AM$22, MATCH(E156, $AL$3:$AL$22, 1))) /
      (INDEX($AL$3:$AL$22, MATCH(E156, $AL$3:$AL$22, 1)+1) - INDEX($AL$3:$AL$22, MATCH(E156, $AL$3:$AL$22, 1)))
    ) - H156,
    ""
  )
)</f>
        <v>-0.79963715077383313</v>
      </c>
      <c r="AL156" s="338"/>
      <c r="AM156" s="339"/>
      <c r="AN156" s="340"/>
    </row>
    <row r="157" spans="1:40" s="315" customFormat="1" ht="15" customHeight="1" x14ac:dyDescent="0.35">
      <c r="A157" s="316">
        <f t="shared" si="95"/>
        <v>3</v>
      </c>
      <c r="B157" s="317">
        <f t="shared" si="95"/>
        <v>19</v>
      </c>
      <c r="C157" s="318">
        <f t="shared" si="91"/>
        <v>28.050000000000182</v>
      </c>
      <c r="D157" s="319">
        <v>3898.38</v>
      </c>
      <c r="E157" s="320">
        <f t="shared" si="88"/>
        <v>3879.38</v>
      </c>
      <c r="F157" s="321">
        <v>91.71</v>
      </c>
      <c r="G157" s="321">
        <v>320.63</v>
      </c>
      <c r="H157" s="322">
        <f t="shared" si="67"/>
        <v>2001.4819663866158</v>
      </c>
      <c r="I157" s="323">
        <f t="shared" si="79"/>
        <v>0.64862232119953045</v>
      </c>
      <c r="J157" s="321" t="str">
        <f t="shared" si="89"/>
        <v/>
      </c>
      <c r="K157" s="323" t="str">
        <f t="shared" si="86"/>
        <v/>
      </c>
      <c r="L157" s="321"/>
      <c r="M157" s="333"/>
      <c r="N157" s="323" t="str">
        <f t="shared" si="94"/>
        <v/>
      </c>
      <c r="O157" s="323">
        <f t="shared" si="92"/>
        <v>0</v>
      </c>
      <c r="P157" s="324">
        <f t="shared" si="80"/>
        <v>81.465683292823414</v>
      </c>
      <c r="Q157" s="325" t="str">
        <f t="shared" si="81"/>
        <v>L</v>
      </c>
      <c r="R157" s="323">
        <f t="shared" si="70"/>
        <v>4.0042149174990105E-2</v>
      </c>
      <c r="S157" s="323">
        <f t="shared" si="90"/>
        <v>91.71</v>
      </c>
      <c r="T157" s="323">
        <f t="shared" si="71"/>
        <v>2000.9149930915808</v>
      </c>
      <c r="U157" s="323">
        <f t="shared" si="72"/>
        <v>3.8888843546820935E-2</v>
      </c>
      <c r="V157" s="322">
        <f t="shared" si="93"/>
        <v>0.19442569433189785</v>
      </c>
      <c r="W157" s="323">
        <f t="shared" si="73"/>
        <v>-2.0000000000000757E-2</v>
      </c>
      <c r="X157" s="323">
        <f t="shared" si="82"/>
        <v>9.6256684491966435E-2</v>
      </c>
      <c r="Y157" s="323">
        <f t="shared" si="74"/>
        <v>-0.64171122994654417</v>
      </c>
      <c r="Z157" s="323">
        <f t="shared" ref="Z157:Z220" si="96">IF(V157="","",IF(N157="",I157,AI157/N157*I157))</f>
        <v>0.64862232119953045</v>
      </c>
      <c r="AA157" s="326">
        <f t="shared" si="75"/>
        <v>0</v>
      </c>
      <c r="AB157" s="323" t="str">
        <f t="shared" si="87"/>
        <v/>
      </c>
      <c r="AC157" s="327"/>
      <c r="AD157" s="328">
        <f t="shared" si="76"/>
        <v>1.6006414570039995</v>
      </c>
      <c r="AE157" s="328">
        <f t="shared" si="76"/>
        <v>5.5960491806694188</v>
      </c>
      <c r="AF157" s="328">
        <f t="shared" si="77"/>
        <v>1.0000106797929988</v>
      </c>
      <c r="AG157" s="328">
        <f t="shared" si="78"/>
        <v>1.6006414570039995</v>
      </c>
      <c r="AH157" s="328">
        <f t="shared" si="83"/>
        <v>-0.60000000000002274</v>
      </c>
      <c r="AI157" s="328">
        <f t="shared" si="84"/>
        <v>28.050000000000182</v>
      </c>
      <c r="AJ157" s="329">
        <f t="shared" si="85"/>
        <v>90.114591635420666</v>
      </c>
      <c r="AK157" s="329" cm="1">
        <f t="array" ref="AK157">IF(OR(E157="", H157=""), "",
  IFERROR(
     (
      INDEX($AM$3:$AM$22, MATCH(E157, $AL$3:$AL$22, 1)) +
      (E157 - INDEX($AL$3:$AL$22, MATCH(E157, $AL$3:$AL$22, 1))) *
      (INDEX($AM$3:$AM$22, MATCH(E157, $AL$3:$AL$22, 1)+1) - INDEX($AM$3:$AM$22, MATCH(E157, $AL$3:$AL$22, 1))) /
      (INDEX($AL$3:$AL$22, MATCH(E157, $AL$3:$AL$22, 1)+1) - INDEX($AL$3:$AL$22, MATCH(E157, $AL$3:$AL$22, 1)))
    ) - H157,
    ""
  )
)</f>
        <v>-4.0726386615915544E-2</v>
      </c>
      <c r="AL157" s="341"/>
      <c r="AM157" s="342"/>
      <c r="AN157" s="343"/>
    </row>
    <row r="158" spans="1:40" s="315" customFormat="1" ht="15" customHeight="1" x14ac:dyDescent="0.35">
      <c r="A158" s="297">
        <f t="shared" si="95"/>
        <v>3</v>
      </c>
      <c r="B158" s="298">
        <f t="shared" si="95"/>
        <v>19</v>
      </c>
      <c r="C158" s="299">
        <f t="shared" si="91"/>
        <v>28.230000000000018</v>
      </c>
      <c r="D158" s="300">
        <v>3926.61</v>
      </c>
      <c r="E158" s="301">
        <f t="shared" si="88"/>
        <v>3907.61</v>
      </c>
      <c r="F158" s="302">
        <v>91.94</v>
      </c>
      <c r="G158" s="302">
        <v>319.98</v>
      </c>
      <c r="H158" s="303">
        <f t="shared" si="67"/>
        <v>2000.5829291594673</v>
      </c>
      <c r="I158" s="304">
        <f t="shared" si="79"/>
        <v>0.73239249590989819</v>
      </c>
      <c r="J158" s="302">
        <f t="shared" si="89"/>
        <v>3926.61</v>
      </c>
      <c r="K158" s="304">
        <f t="shared" si="86"/>
        <v>3929.61</v>
      </c>
      <c r="L158" s="302">
        <v>3</v>
      </c>
      <c r="M158" s="305" t="s">
        <v>598</v>
      </c>
      <c r="N158" s="304" t="str">
        <f t="shared" si="94"/>
        <v/>
      </c>
      <c r="O158" s="304">
        <f t="shared" si="92"/>
        <v>0</v>
      </c>
      <c r="P158" s="306">
        <f t="shared" si="80"/>
        <v>70.504714653116551</v>
      </c>
      <c r="Q158" s="307" t="str">
        <f t="shared" si="81"/>
        <v>L</v>
      </c>
      <c r="R158" s="304">
        <f t="shared" si="70"/>
        <v>4.9222317543837449E-2</v>
      </c>
      <c r="S158" s="304">
        <f t="shared" si="90"/>
        <v>91.94</v>
      </c>
      <c r="T158" s="304">
        <f t="shared" si="71"/>
        <v>1999.9397237149735</v>
      </c>
      <c r="U158" s="304">
        <f t="shared" si="72"/>
        <v>4.7689905188938592E-2</v>
      </c>
      <c r="V158" s="303">
        <f t="shared" si="93"/>
        <v>0.25580531167618265</v>
      </c>
      <c r="W158" s="304">
        <f t="shared" si="73"/>
        <v>-2.1666666666665908E-2</v>
      </c>
      <c r="X158" s="304">
        <f t="shared" si="82"/>
        <v>0.24442082890542383</v>
      </c>
      <c r="Y158" s="304">
        <f t="shared" si="74"/>
        <v>-0.69075451647181385</v>
      </c>
      <c r="Z158" s="304">
        <f t="shared" si="96"/>
        <v>0.73239249590989819</v>
      </c>
      <c r="AA158" s="308">
        <f t="shared" si="75"/>
        <v>0</v>
      </c>
      <c r="AB158" s="304">
        <f t="shared" si="87"/>
        <v>24.440000000000055</v>
      </c>
      <c r="AC158" s="309"/>
      <c r="AD158" s="310">
        <f t="shared" si="76"/>
        <v>1.6046557142835864</v>
      </c>
      <c r="AE158" s="310">
        <f t="shared" si="76"/>
        <v>5.5847045405314564</v>
      </c>
      <c r="AF158" s="310">
        <f t="shared" si="77"/>
        <v>1.0000136165898823</v>
      </c>
      <c r="AG158" s="310">
        <f t="shared" si="78"/>
        <v>1.6046557142835864</v>
      </c>
      <c r="AH158" s="310">
        <f t="shared" si="83"/>
        <v>-0.64999999999997726</v>
      </c>
      <c r="AI158" s="310">
        <f t="shared" si="84"/>
        <v>28.230000000000018</v>
      </c>
      <c r="AJ158" s="311">
        <f t="shared" si="85"/>
        <v>90.114591635420666</v>
      </c>
      <c r="AK158" s="311" cm="1">
        <f t="array" ref="AK158">IF(OR(E158="", H158=""), "",
  IFERROR(
     (
      INDEX($AM$3:$AM$22, MATCH(E158, $AL$3:$AL$22, 1)) +
      (E158 - INDEX($AL$3:$AL$22, MATCH(E158, $AL$3:$AL$22, 1))) *
      (INDEX($AM$3:$AM$22, MATCH(E158, $AL$3:$AL$22, 1)+1) - INDEX($AM$3:$AM$22, MATCH(E158, $AL$3:$AL$22, 1))) /
      (INDEX($AL$3:$AL$22, MATCH(E158, $AL$3:$AL$22, 1)+1) - INDEX($AL$3:$AL$22, MATCH(E158, $AL$3:$AL$22, 1)))
    ) - H158,
    ""
  )
)</f>
        <v>0.80185084053255196</v>
      </c>
      <c r="AL158" s="338"/>
      <c r="AM158" s="339"/>
      <c r="AN158" s="340"/>
    </row>
    <row r="159" spans="1:40" s="315" customFormat="1" ht="15" customHeight="1" x14ac:dyDescent="0.35">
      <c r="A159" s="316">
        <f t="shared" si="95"/>
        <v>3</v>
      </c>
      <c r="B159" s="317">
        <f t="shared" si="95"/>
        <v>19</v>
      </c>
      <c r="C159" s="318">
        <f t="shared" si="91"/>
        <v>27.440000000000055</v>
      </c>
      <c r="D159" s="319">
        <v>3954.05</v>
      </c>
      <c r="E159" s="320">
        <f t="shared" si="88"/>
        <v>3935.05</v>
      </c>
      <c r="F159" s="321">
        <v>89.79</v>
      </c>
      <c r="G159" s="321">
        <v>320.13</v>
      </c>
      <c r="H159" s="322">
        <f t="shared" si="67"/>
        <v>2000.1686805260376</v>
      </c>
      <c r="I159" s="323">
        <f t="shared" si="79"/>
        <v>2.3562949021024364</v>
      </c>
      <c r="J159" s="321" t="str">
        <f t="shared" si="89"/>
        <v/>
      </c>
      <c r="K159" s="323" t="str">
        <f t="shared" si="86"/>
        <v/>
      </c>
      <c r="L159" s="321"/>
      <c r="M159" s="333"/>
      <c r="N159" s="323">
        <f t="shared" si="94"/>
        <v>3</v>
      </c>
      <c r="O159" s="323">
        <f t="shared" si="92"/>
        <v>0</v>
      </c>
      <c r="P159" s="324">
        <f t="shared" si="80"/>
        <v>176.00977377131852</v>
      </c>
      <c r="Q159" s="325" t="str">
        <f t="shared" si="81"/>
        <v>R</v>
      </c>
      <c r="R159" s="323">
        <f t="shared" si="70"/>
        <v>5.6512211743501336E-4</v>
      </c>
      <c r="S159" s="323">
        <f t="shared" si="90"/>
        <v>89.79</v>
      </c>
      <c r="T159" s="323">
        <f t="shared" si="71"/>
        <v>2000.2383190072758</v>
      </c>
      <c r="U159" s="323">
        <f t="shared" si="72"/>
        <v>5.670548776028168E-4</v>
      </c>
      <c r="V159" s="322">
        <f t="shared" si="93"/>
        <v>-0.71666666666666379</v>
      </c>
      <c r="W159" s="323">
        <f t="shared" si="73"/>
        <v>4.9999999999992419E-2</v>
      </c>
      <c r="X159" s="323">
        <f t="shared" si="82"/>
        <v>-2.3505830903789948</v>
      </c>
      <c r="Y159" s="323">
        <f t="shared" si="74"/>
        <v>0.16399416909618472</v>
      </c>
      <c r="Z159" s="323">
        <f t="shared" si="96"/>
        <v>21.552244037896994</v>
      </c>
      <c r="AA159" s="326">
        <f t="shared" si="75"/>
        <v>0.10932944606413972</v>
      </c>
      <c r="AB159" s="323" t="str">
        <f t="shared" si="87"/>
        <v/>
      </c>
      <c r="AC159" s="327"/>
      <c r="AD159" s="328">
        <f t="shared" si="76"/>
        <v>1.5671311353657087</v>
      </c>
      <c r="AE159" s="328">
        <f t="shared" si="76"/>
        <v>5.5873225344094468</v>
      </c>
      <c r="AF159" s="328">
        <f t="shared" si="77"/>
        <v>1.0001409633570342</v>
      </c>
      <c r="AG159" s="328">
        <f t="shared" si="78"/>
        <v>1.5671311353657087</v>
      </c>
      <c r="AH159" s="328">
        <f t="shared" si="83"/>
        <v>0.14999999999997726</v>
      </c>
      <c r="AI159" s="328">
        <f t="shared" si="84"/>
        <v>27.440000000000055</v>
      </c>
      <c r="AJ159" s="329">
        <f t="shared" si="85"/>
        <v>90.114591635420666</v>
      </c>
      <c r="AK159" s="329" cm="1">
        <f t="array" ref="AK159">IF(OR(E159="", H159=""), "",
  IFERROR(
     (
      INDEX($AM$3:$AM$22, MATCH(E159, $AL$3:$AL$22, 1)) +
      (E159 - INDEX($AL$3:$AL$22, MATCH(E159, $AL$3:$AL$22, 1))) *
      (INDEX($AM$3:$AM$22, MATCH(E159, $AL$3:$AL$22, 1)+1) - INDEX($AM$3:$AM$22, MATCH(E159, $AL$3:$AL$22, 1))) /
      (INDEX($AL$3:$AL$22, MATCH(E159, $AL$3:$AL$22, 1)+1) - INDEX($AL$3:$AL$22, MATCH(E159, $AL$3:$AL$22, 1)))
    ) - H159,
    ""
  )
)</f>
        <v>1.1612194739623192</v>
      </c>
      <c r="AL159" s="341"/>
      <c r="AM159" s="342"/>
      <c r="AN159" s="343"/>
    </row>
    <row r="160" spans="1:40" s="315" customFormat="1" ht="15" customHeight="1" x14ac:dyDescent="0.35">
      <c r="A160" s="297">
        <f t="shared" si="95"/>
        <v>3</v>
      </c>
      <c r="B160" s="298">
        <f t="shared" si="95"/>
        <v>19</v>
      </c>
      <c r="C160" s="299">
        <f t="shared" si="91"/>
        <v>28.4699999999998</v>
      </c>
      <c r="D160" s="300">
        <v>3982.52</v>
      </c>
      <c r="E160" s="301">
        <f t="shared" si="88"/>
        <v>3963.52</v>
      </c>
      <c r="F160" s="302">
        <v>88.96</v>
      </c>
      <c r="G160" s="302">
        <v>319.42</v>
      </c>
      <c r="H160" s="303">
        <f t="shared" si="67"/>
        <v>2000.4792338908769</v>
      </c>
      <c r="I160" s="304">
        <f t="shared" si="79"/>
        <v>1.1509103252921511</v>
      </c>
      <c r="J160" s="302" t="str">
        <f t="shared" si="89"/>
        <v/>
      </c>
      <c r="K160" s="304" t="str">
        <f t="shared" si="86"/>
        <v/>
      </c>
      <c r="L160" s="302"/>
      <c r="M160" s="305"/>
      <c r="N160" s="304" t="str">
        <f t="shared" si="94"/>
        <v/>
      </c>
      <c r="O160" s="304">
        <f t="shared" si="92"/>
        <v>0</v>
      </c>
      <c r="P160" s="306">
        <f t="shared" si="80"/>
        <v>139.45753428766346</v>
      </c>
      <c r="Q160" s="307" t="str">
        <f t="shared" si="81"/>
        <v>L</v>
      </c>
      <c r="R160" s="304">
        <f t="shared" si="70"/>
        <v>1.4073783244140032E-2</v>
      </c>
      <c r="S160" s="304">
        <f t="shared" si="90"/>
        <v>88.96</v>
      </c>
      <c r="T160" s="304">
        <f t="shared" si="71"/>
        <v>2000.8240920133674</v>
      </c>
      <c r="U160" s="304">
        <f t="shared" si="72"/>
        <v>1.4319206031765884E-2</v>
      </c>
      <c r="V160" s="303">
        <f t="shared" si="93"/>
        <v>-8.8811886886194416E-2</v>
      </c>
      <c r="W160" s="304">
        <f t="shared" si="73"/>
        <v>-2.3666666666665986E-2</v>
      </c>
      <c r="X160" s="304">
        <f t="shared" si="82"/>
        <v>-0.87460484720760623</v>
      </c>
      <c r="Y160" s="304">
        <f t="shared" si="74"/>
        <v>-0.74815595363538934</v>
      </c>
      <c r="Z160" s="304">
        <f t="shared" si="96"/>
        <v>1.1509103252921511</v>
      </c>
      <c r="AA160" s="308">
        <f t="shared" si="75"/>
        <v>0</v>
      </c>
      <c r="AB160" s="304" t="str">
        <f t="shared" si="87"/>
        <v/>
      </c>
      <c r="AC160" s="309"/>
      <c r="AD160" s="310">
        <f t="shared" si="76"/>
        <v>1.5526449025741555</v>
      </c>
      <c r="AE160" s="310">
        <f t="shared" si="76"/>
        <v>5.5749306967202878</v>
      </c>
      <c r="AF160" s="310">
        <f t="shared" si="77"/>
        <v>1.0000336259053102</v>
      </c>
      <c r="AG160" s="310">
        <f t="shared" si="78"/>
        <v>1.5526449025741555</v>
      </c>
      <c r="AH160" s="310">
        <f t="shared" si="83"/>
        <v>-0.70999999999997954</v>
      </c>
      <c r="AI160" s="310">
        <f t="shared" si="84"/>
        <v>28.4699999999998</v>
      </c>
      <c r="AJ160" s="311">
        <f t="shared" si="85"/>
        <v>90.114591635420666</v>
      </c>
      <c r="AK160" s="311" cm="1">
        <f t="array" ref="AK160">IF(OR(E160="", H160=""), "",
  IFERROR(
     (
      INDEX($AM$3:$AM$22, MATCH(E160, $AL$3:$AL$22, 1)) +
      (E160 - INDEX($AL$3:$AL$22, MATCH(E160, $AL$3:$AL$22, 1))) *
      (INDEX($AM$3:$AM$22, MATCH(E160, $AL$3:$AL$22, 1)+1) - INDEX($AM$3:$AM$22, MATCH(E160, $AL$3:$AL$22, 1))) /
      (INDEX($AL$3:$AL$22, MATCH(E160, $AL$3:$AL$22, 1)+1) - INDEX($AL$3:$AL$22, MATCH(E160, $AL$3:$AL$22, 1)))
    ) - H160,
    ""
  )
)</f>
        <v>0.79372610912309938</v>
      </c>
      <c r="AL160" s="338"/>
      <c r="AM160" s="339"/>
      <c r="AN160" s="340"/>
    </row>
    <row r="161" spans="1:40" s="315" customFormat="1" ht="15" customHeight="1" x14ac:dyDescent="0.35">
      <c r="A161" s="316">
        <f t="shared" ref="A161:B176" si="97">+A160</f>
        <v>3</v>
      </c>
      <c r="B161" s="317">
        <f t="shared" si="97"/>
        <v>19</v>
      </c>
      <c r="C161" s="318">
        <f t="shared" si="91"/>
        <v>28.25</v>
      </c>
      <c r="D161" s="319">
        <v>4010.77</v>
      </c>
      <c r="E161" s="320">
        <f t="shared" si="88"/>
        <v>3991.77</v>
      </c>
      <c r="F161" s="321">
        <v>90.61</v>
      </c>
      <c r="G161" s="321">
        <v>321.04000000000002</v>
      </c>
      <c r="H161" s="322">
        <f t="shared" si="67"/>
        <v>2000.5852405775406</v>
      </c>
      <c r="I161" s="323">
        <f t="shared" si="79"/>
        <v>2.4555284267148938</v>
      </c>
      <c r="J161" s="321">
        <f t="shared" si="89"/>
        <v>4010.77</v>
      </c>
      <c r="K161" s="323">
        <f t="shared" si="86"/>
        <v>4013.77</v>
      </c>
      <c r="L161" s="321">
        <v>3</v>
      </c>
      <c r="M161" s="333" t="s">
        <v>590</v>
      </c>
      <c r="N161" s="323" t="str">
        <f t="shared" si="94"/>
        <v/>
      </c>
      <c r="O161" s="323">
        <f t="shared" si="92"/>
        <v>0</v>
      </c>
      <c r="P161" s="324">
        <f t="shared" si="80"/>
        <v>44.473173854225472</v>
      </c>
      <c r="Q161" s="325" t="str">
        <f t="shared" si="81"/>
        <v>R</v>
      </c>
      <c r="R161" s="323">
        <f t="shared" si="70"/>
        <v>4.8674983140578141E-3</v>
      </c>
      <c r="S161" s="323">
        <f t="shared" si="90"/>
        <v>90.61</v>
      </c>
      <c r="T161" s="323">
        <f t="shared" si="71"/>
        <v>2000.3829607386256</v>
      </c>
      <c r="U161" s="323">
        <f t="shared" si="72"/>
        <v>4.8187969803878536E-3</v>
      </c>
      <c r="V161" s="322">
        <f t="shared" si="93"/>
        <v>-0.18322441395889189</v>
      </c>
      <c r="W161" s="323">
        <f t="shared" si="73"/>
        <v>5.4000000000000152E-2</v>
      </c>
      <c r="X161" s="323">
        <f t="shared" si="82"/>
        <v>1.752212389380537</v>
      </c>
      <c r="Y161" s="323">
        <f t="shared" si="74"/>
        <v>1.7203539823008898</v>
      </c>
      <c r="Z161" s="323">
        <f t="shared" si="96"/>
        <v>2.4555284267148938</v>
      </c>
      <c r="AA161" s="326">
        <f t="shared" si="75"/>
        <v>0</v>
      </c>
      <c r="AB161" s="323">
        <f t="shared" si="87"/>
        <v>25.130000000000109</v>
      </c>
      <c r="AC161" s="327"/>
      <c r="AD161" s="328">
        <f t="shared" si="76"/>
        <v>1.581442835232062</v>
      </c>
      <c r="AE161" s="328">
        <f t="shared" si="76"/>
        <v>5.603205030602596</v>
      </c>
      <c r="AF161" s="328">
        <f t="shared" si="77"/>
        <v>1.0001530887218126</v>
      </c>
      <c r="AG161" s="328">
        <f t="shared" si="78"/>
        <v>1.581442835232062</v>
      </c>
      <c r="AH161" s="328">
        <f t="shared" si="83"/>
        <v>1.6200000000000045</v>
      </c>
      <c r="AI161" s="328">
        <f t="shared" si="84"/>
        <v>28.25</v>
      </c>
      <c r="AJ161" s="329">
        <f t="shared" si="85"/>
        <v>90.114591635420666</v>
      </c>
      <c r="AK161" s="329" cm="1">
        <f t="array" ref="AK161">IF(OR(E161="", H161=""), "",
  IFERROR(
     (
      INDEX($AM$3:$AM$22, MATCH(E161, $AL$3:$AL$22, 1)) +
      (E161 - INDEX($AL$3:$AL$22, MATCH(E161, $AL$3:$AL$22, 1))) *
      (INDEX($AM$3:$AM$22, MATCH(E161, $AL$3:$AL$22, 1)+1) - INDEX($AM$3:$AM$22, MATCH(E161, $AL$3:$AL$22, 1))) /
      (INDEX($AL$3:$AL$22, MATCH(E161, $AL$3:$AL$22, 1)+1) - INDEX($AL$3:$AL$22, MATCH(E161, $AL$3:$AL$22, 1)))
    ) - H161,
    ""
  )
)</f>
        <v>0.63121942245925311</v>
      </c>
      <c r="AL161" s="341"/>
      <c r="AM161" s="342"/>
      <c r="AN161" s="343"/>
    </row>
    <row r="162" spans="1:40" s="315" customFormat="1" ht="15" customHeight="1" x14ac:dyDescent="0.35">
      <c r="A162" s="297">
        <f t="shared" si="97"/>
        <v>3</v>
      </c>
      <c r="B162" s="298">
        <f t="shared" si="97"/>
        <v>19</v>
      </c>
      <c r="C162" s="299">
        <f t="shared" si="91"/>
        <v>28.130000000000109</v>
      </c>
      <c r="D162" s="300">
        <v>4038.9</v>
      </c>
      <c r="E162" s="301">
        <f t="shared" si="88"/>
        <v>4019.9</v>
      </c>
      <c r="F162" s="302">
        <v>91.28</v>
      </c>
      <c r="G162" s="302">
        <v>320.72000000000003</v>
      </c>
      <c r="H162" s="303">
        <f t="shared" si="67"/>
        <v>2000.1213033553599</v>
      </c>
      <c r="I162" s="304">
        <f t="shared" si="79"/>
        <v>0.79183389415476024</v>
      </c>
      <c r="J162" s="302" t="str">
        <f t="shared" si="89"/>
        <v/>
      </c>
      <c r="K162" s="304" t="str">
        <f t="shared" si="86"/>
        <v/>
      </c>
      <c r="L162" s="302"/>
      <c r="M162" s="305"/>
      <c r="N162" s="304">
        <f t="shared" si="94"/>
        <v>3</v>
      </c>
      <c r="O162" s="304">
        <f t="shared" si="92"/>
        <v>0</v>
      </c>
      <c r="P162" s="306">
        <f t="shared" si="80"/>
        <v>25.526540191604042</v>
      </c>
      <c r="Q162" s="307" t="str">
        <f t="shared" si="81"/>
        <v>L</v>
      </c>
      <c r="R162" s="304">
        <f t="shared" si="70"/>
        <v>2.0945955675860221E-2</v>
      </c>
      <c r="S162" s="304">
        <f t="shared" si="90"/>
        <v>91.28</v>
      </c>
      <c r="T162" s="304">
        <f t="shared" si="71"/>
        <v>1999.696874587682</v>
      </c>
      <c r="U162" s="304">
        <f t="shared" si="72"/>
        <v>2.0520657258519114E-2</v>
      </c>
      <c r="V162" s="303">
        <f t="shared" si="93"/>
        <v>0.22333333333333391</v>
      </c>
      <c r="W162" s="304">
        <f t="shared" si="73"/>
        <v>-0.1066666666666644</v>
      </c>
      <c r="X162" s="304">
        <f t="shared" si="82"/>
        <v>0.71453963739779502</v>
      </c>
      <c r="Y162" s="304">
        <f t="shared" si="74"/>
        <v>-0.34127266263774469</v>
      </c>
      <c r="Z162" s="304">
        <f t="shared" si="96"/>
        <v>7.4247624808578303</v>
      </c>
      <c r="AA162" s="308">
        <f t="shared" si="75"/>
        <v>0.10664770707429749</v>
      </c>
      <c r="AB162" s="304" t="str">
        <f t="shared" si="87"/>
        <v/>
      </c>
      <c r="AC162" s="309"/>
      <c r="AD162" s="310">
        <f t="shared" si="76"/>
        <v>1.5931365412204241</v>
      </c>
      <c r="AE162" s="310">
        <f t="shared" si="76"/>
        <v>5.5976199769962145</v>
      </c>
      <c r="AF162" s="310">
        <f t="shared" si="77"/>
        <v>1.0000159165874343</v>
      </c>
      <c r="AG162" s="310">
        <f t="shared" si="78"/>
        <v>1.5931365412204241</v>
      </c>
      <c r="AH162" s="310">
        <f t="shared" si="83"/>
        <v>-0.31999999999999318</v>
      </c>
      <c r="AI162" s="310">
        <f t="shared" si="84"/>
        <v>28.130000000000109</v>
      </c>
      <c r="AJ162" s="311">
        <f t="shared" si="85"/>
        <v>90.114591635420666</v>
      </c>
      <c r="AK162" s="311" cm="1">
        <f t="array" ref="AK162">IF(OR(E162="", H162=""), "",
  IFERROR(
     (
      INDEX($AM$3:$AM$22, MATCH(E162, $AL$3:$AL$22, 1)) +
      (E162 - INDEX($AL$3:$AL$22, MATCH(E162, $AL$3:$AL$22, 1))) *
      (INDEX($AM$3:$AM$22, MATCH(E162, $AL$3:$AL$22, 1)+1) - INDEX($AM$3:$AM$22, MATCH(E162, $AL$3:$AL$22, 1))) /
      (INDEX($AL$3:$AL$22, MATCH(E162, $AL$3:$AL$22, 1)+1) - INDEX($AL$3:$AL$22, MATCH(E162, $AL$3:$AL$22, 1)))
    ) - H162,
    ""
  )
)</f>
        <v>1.0388966446398626</v>
      </c>
      <c r="AL162" s="338"/>
      <c r="AM162" s="339"/>
      <c r="AN162" s="340"/>
    </row>
    <row r="163" spans="1:40" s="315" customFormat="1" ht="15" customHeight="1" x14ac:dyDescent="0.35">
      <c r="A163" s="316">
        <f t="shared" si="97"/>
        <v>3</v>
      </c>
      <c r="B163" s="317">
        <f t="shared" si="97"/>
        <v>19</v>
      </c>
      <c r="C163" s="318">
        <f t="shared" si="91"/>
        <v>27.710000000000036</v>
      </c>
      <c r="D163" s="319">
        <v>4066.61</v>
      </c>
      <c r="E163" s="320">
        <f t="shared" si="88"/>
        <v>4047.61</v>
      </c>
      <c r="F163" s="321">
        <v>91.67</v>
      </c>
      <c r="G163" s="321">
        <v>320.41000000000003</v>
      </c>
      <c r="H163" s="322">
        <f t="shared" si="67"/>
        <v>1999.4080268116036</v>
      </c>
      <c r="I163" s="323">
        <f t="shared" si="79"/>
        <v>0.53929895275282769</v>
      </c>
      <c r="J163" s="321" t="str">
        <f t="shared" si="89"/>
        <v/>
      </c>
      <c r="K163" s="323" t="str">
        <f t="shared" si="86"/>
        <v/>
      </c>
      <c r="L163" s="321"/>
      <c r="M163" s="333"/>
      <c r="N163" s="323" t="str">
        <f t="shared" si="94"/>
        <v/>
      </c>
      <c r="O163" s="323">
        <f t="shared" si="92"/>
        <v>0</v>
      </c>
      <c r="P163" s="324">
        <f t="shared" si="80"/>
        <v>38.470895394970583</v>
      </c>
      <c r="Q163" s="325" t="str">
        <f t="shared" si="81"/>
        <v>L</v>
      </c>
      <c r="R163" s="323">
        <f t="shared" si="70"/>
        <v>3.445334684914271E-2</v>
      </c>
      <c r="S163" s="323">
        <f t="shared" si="90"/>
        <v>91.67</v>
      </c>
      <c r="T163" s="323">
        <f t="shared" si="71"/>
        <v>1998.8543122488563</v>
      </c>
      <c r="U163" s="323">
        <f t="shared" si="72"/>
        <v>3.3576054757760182E-2</v>
      </c>
      <c r="V163" s="322">
        <f t="shared" si="93"/>
        <v>-1.6234322503917462E-2</v>
      </c>
      <c r="W163" s="323">
        <f t="shared" si="73"/>
        <v>-1.033333333333341E-2</v>
      </c>
      <c r="X163" s="323">
        <f t="shared" si="82"/>
        <v>0.4222302417899676</v>
      </c>
      <c r="Y163" s="323">
        <f t="shared" si="74"/>
        <v>-0.33561891014074541</v>
      </c>
      <c r="Z163" s="323">
        <f t="shared" si="96"/>
        <v>0.53929895275282769</v>
      </c>
      <c r="AA163" s="326">
        <f t="shared" si="75"/>
        <v>0</v>
      </c>
      <c r="AB163" s="323" t="str">
        <f t="shared" si="87"/>
        <v/>
      </c>
      <c r="AC163" s="327" t="s">
        <v>608</v>
      </c>
      <c r="AD163" s="328">
        <f t="shared" si="76"/>
        <v>1.5999433253032018</v>
      </c>
      <c r="AE163" s="328">
        <f t="shared" si="76"/>
        <v>5.5922094563150315</v>
      </c>
      <c r="AF163" s="328">
        <f t="shared" si="77"/>
        <v>1.0000073830615792</v>
      </c>
      <c r="AG163" s="328">
        <f t="shared" si="78"/>
        <v>1.5999433253032018</v>
      </c>
      <c r="AH163" s="328">
        <f t="shared" si="83"/>
        <v>-0.31000000000000227</v>
      </c>
      <c r="AI163" s="328">
        <f t="shared" si="84"/>
        <v>27.710000000000036</v>
      </c>
      <c r="AJ163" s="329">
        <f t="shared" si="85"/>
        <v>90.114591635420666</v>
      </c>
      <c r="AK163" s="329" cm="1">
        <f t="array" ref="AK163">IF(OR(E163="", H163=""), "",
  IFERROR(
     (
      INDEX($AM$3:$AM$22, MATCH(E163, $AL$3:$AL$22, 1)) +
      (E163 - INDEX($AL$3:$AL$22, MATCH(E163, $AL$3:$AL$22, 1))) *
      (INDEX($AM$3:$AM$22, MATCH(E163, $AL$3:$AL$22, 1)+1) - INDEX($AM$3:$AM$22, MATCH(E163, $AL$3:$AL$22, 1))) /
      (INDEX($AL$3:$AL$22, MATCH(E163, $AL$3:$AL$22, 1)+1) - INDEX($AL$3:$AL$22, MATCH(E163, $AL$3:$AL$22, 1)))
    ) - H163,
    ""
  )
)</f>
        <v>1.6967531883963147</v>
      </c>
      <c r="AL163" s="341"/>
      <c r="AM163" s="342"/>
      <c r="AN163" s="343"/>
    </row>
    <row r="164" spans="1:40" s="315" customFormat="1" ht="15" customHeight="1" x14ac:dyDescent="0.35">
      <c r="A164" s="297">
        <f t="shared" si="97"/>
        <v>3</v>
      </c>
      <c r="B164" s="298">
        <f t="shared" si="97"/>
        <v>19</v>
      </c>
      <c r="C164" s="299">
        <f t="shared" si="91"/>
        <v>29.059999999999945</v>
      </c>
      <c r="D164" s="300">
        <v>4095.67</v>
      </c>
      <c r="E164" s="301">
        <f t="shared" si="88"/>
        <v>4076.67</v>
      </c>
      <c r="F164" s="302">
        <v>92.24</v>
      </c>
      <c r="G164" s="302">
        <v>319.97000000000003</v>
      </c>
      <c r="H164" s="303">
        <f t="shared" si="67"/>
        <v>1998.416657514947</v>
      </c>
      <c r="I164" s="304">
        <f t="shared" si="79"/>
        <v>0.74319875423074733</v>
      </c>
      <c r="J164" s="302">
        <v>4100</v>
      </c>
      <c r="K164" s="304">
        <f t="shared" si="86"/>
        <v>4103</v>
      </c>
      <c r="L164" s="302">
        <v>3</v>
      </c>
      <c r="M164" s="305" t="s">
        <v>598</v>
      </c>
      <c r="N164" s="304" t="str">
        <f t="shared" si="94"/>
        <v/>
      </c>
      <c r="O164" s="304">
        <f t="shared" si="92"/>
        <v>0</v>
      </c>
      <c r="P164" s="306">
        <f t="shared" si="80"/>
        <v>37.649371340102064</v>
      </c>
      <c r="Q164" s="307" t="str">
        <f t="shared" si="81"/>
        <v>L</v>
      </c>
      <c r="R164" s="304">
        <f t="shared" si="70"/>
        <v>5.9212630040602988E-2</v>
      </c>
      <c r="S164" s="304">
        <f t="shared" si="90"/>
        <v>92.24</v>
      </c>
      <c r="T164" s="304">
        <f t="shared" si="71"/>
        <v>1997.6740345958353</v>
      </c>
      <c r="U164" s="304">
        <f t="shared" si="72"/>
        <v>5.7294601491146797E-2</v>
      </c>
      <c r="V164" s="303">
        <f t="shared" si="93"/>
        <v>7.9581989568415223E-3</v>
      </c>
      <c r="W164" s="304">
        <f t="shared" si="73"/>
        <v>-1.466666666666659E-2</v>
      </c>
      <c r="X164" s="304">
        <f t="shared" si="82"/>
        <v>0.58843771507225839</v>
      </c>
      <c r="Y164" s="304">
        <f t="shared" si="74"/>
        <v>-0.4542326221610446</v>
      </c>
      <c r="Z164" s="304">
        <f t="shared" si="96"/>
        <v>0.74319875423074733</v>
      </c>
      <c r="AA164" s="308">
        <f t="shared" si="75"/>
        <v>0</v>
      </c>
      <c r="AB164" s="304">
        <f t="shared" si="87"/>
        <v>26.019999999999527</v>
      </c>
      <c r="AC164" s="309"/>
      <c r="AD164" s="310">
        <f t="shared" si="76"/>
        <v>1.6098917020395695</v>
      </c>
      <c r="AE164" s="310">
        <f t="shared" si="76"/>
        <v>5.584530007606257</v>
      </c>
      <c r="AF164" s="310">
        <f t="shared" si="77"/>
        <v>1.0000140213794479</v>
      </c>
      <c r="AG164" s="310">
        <f t="shared" si="78"/>
        <v>1.6098917020395695</v>
      </c>
      <c r="AH164" s="310">
        <f t="shared" si="83"/>
        <v>-0.43999999999999773</v>
      </c>
      <c r="AI164" s="310">
        <f t="shared" si="84"/>
        <v>29.059999999999945</v>
      </c>
      <c r="AJ164" s="311">
        <f t="shared" si="85"/>
        <v>90.286480091240904</v>
      </c>
      <c r="AK164" s="311" cm="1">
        <f t="array" ref="AK164">IF(OR(E164="", H164=""), "",
  IFERROR(
     (
      INDEX($AM$3:$AM$22, MATCH(E164, $AL$3:$AL$22, 1)) +
      (E164 - INDEX($AL$3:$AL$22, MATCH(E164, $AL$3:$AL$22, 1))) *
      (INDEX($AM$3:$AM$22, MATCH(E164, $AL$3:$AL$22, 1)+1) - INDEX($AM$3:$AM$22, MATCH(E164, $AL$3:$AL$22, 1))) /
      (INDEX($AL$3:$AL$22, MATCH(E164, $AL$3:$AL$22, 1)+1) - INDEX($AL$3:$AL$22, MATCH(E164, $AL$3:$AL$22, 1)))
    ) - H164,
    ""
  )
)</f>
        <v>2.5499924850528259</v>
      </c>
      <c r="AL164" s="338"/>
      <c r="AM164" s="339"/>
      <c r="AN164" s="340"/>
    </row>
    <row r="165" spans="1:40" s="315" customFormat="1" ht="15" customHeight="1" x14ac:dyDescent="0.35">
      <c r="A165" s="316">
        <f t="shared" si="97"/>
        <v>3</v>
      </c>
      <c r="B165" s="317">
        <f t="shared" si="97"/>
        <v>19</v>
      </c>
      <c r="C165" s="318">
        <f t="shared" si="91"/>
        <v>29.019999999999527</v>
      </c>
      <c r="D165" s="319">
        <v>4124.6899999999996</v>
      </c>
      <c r="E165" s="320">
        <f t="shared" si="88"/>
        <v>4105.6899999999996</v>
      </c>
      <c r="F165" s="321">
        <v>91.5</v>
      </c>
      <c r="G165" s="321">
        <v>321.08</v>
      </c>
      <c r="H165" s="322">
        <f t="shared" si="67"/>
        <v>1997.4696808518984</v>
      </c>
      <c r="I165" s="323">
        <f t="shared" si="79"/>
        <v>1.3785896289357709</v>
      </c>
      <c r="J165" s="321">
        <f t="shared" ref="J165:J171" si="98">IF(L165="","",D165)</f>
        <v>4124.6899999999996</v>
      </c>
      <c r="K165" s="323">
        <f t="shared" si="86"/>
        <v>4128.6899999999996</v>
      </c>
      <c r="L165" s="321">
        <v>4</v>
      </c>
      <c r="M165" s="333" t="s">
        <v>598</v>
      </c>
      <c r="N165" s="323">
        <f t="shared" si="94"/>
        <v>3</v>
      </c>
      <c r="O165" s="323">
        <f t="shared" si="92"/>
        <v>0</v>
      </c>
      <c r="P165" s="324">
        <f t="shared" si="80"/>
        <v>123.70434073991511</v>
      </c>
      <c r="Q165" s="325" t="str">
        <f t="shared" si="81"/>
        <v>R</v>
      </c>
      <c r="R165" s="323">
        <f t="shared" si="70"/>
        <v>2.5466936415592795E-2</v>
      </c>
      <c r="S165" s="323">
        <f t="shared" si="90"/>
        <v>91.5</v>
      </c>
      <c r="T165" s="323">
        <f t="shared" si="71"/>
        <v>1996.9723188340488</v>
      </c>
      <c r="U165" s="323">
        <f t="shared" si="72"/>
        <v>2.4930858126947224E-2</v>
      </c>
      <c r="V165" s="322">
        <f t="shared" si="93"/>
        <v>-0.24666666666666495</v>
      </c>
      <c r="W165" s="323">
        <f t="shared" si="73"/>
        <v>0.36999999999998562</v>
      </c>
      <c r="X165" s="323">
        <f t="shared" si="82"/>
        <v>-0.76498966230186793</v>
      </c>
      <c r="Y165" s="323">
        <f t="shared" si="74"/>
        <v>1.1474844934527653</v>
      </c>
      <c r="Z165" s="323">
        <f t="shared" si="96"/>
        <v>13.335557010571806</v>
      </c>
      <c r="AA165" s="326">
        <f t="shared" si="75"/>
        <v>0.10337698139214503</v>
      </c>
      <c r="AB165" s="323">
        <f t="shared" si="87"/>
        <v>25.110000000000582</v>
      </c>
      <c r="AC165" s="327"/>
      <c r="AD165" s="328">
        <f t="shared" si="76"/>
        <v>1.5969762655748114</v>
      </c>
      <c r="AE165" s="328">
        <f t="shared" si="76"/>
        <v>5.6039031623033928</v>
      </c>
      <c r="AF165" s="328">
        <f t="shared" si="77"/>
        <v>1.000048246814734</v>
      </c>
      <c r="AG165" s="328">
        <f t="shared" si="78"/>
        <v>1.5969762655748114</v>
      </c>
      <c r="AH165" s="328">
        <f t="shared" si="83"/>
        <v>1.1099999999999568</v>
      </c>
      <c r="AI165" s="328">
        <f t="shared" si="84"/>
        <v>29.019999999999527</v>
      </c>
      <c r="AJ165" s="329">
        <f t="shared" si="85"/>
        <v>90.286480091240904</v>
      </c>
      <c r="AK165" s="329" cm="1">
        <f t="array" ref="AK165">IF(OR(E165="", H165=""), "",
  IFERROR(
     (
      INDEX($AM$3:$AM$22, MATCH(E165, $AL$3:$AL$22, 1)) +
      (E165 - INDEX($AL$3:$AL$22, MATCH(E165, $AL$3:$AL$22, 1))) *
      (INDEX($AM$3:$AM$22, MATCH(E165, $AL$3:$AL$22, 1)+1) - INDEX($AM$3:$AM$22, MATCH(E165, $AL$3:$AL$22, 1))) /
      (INDEX($AL$3:$AL$22, MATCH(E165, $AL$3:$AL$22, 1)+1) - INDEX($AL$3:$AL$22, MATCH(E165, $AL$3:$AL$22, 1)))
    ) - H165,
    ""
  )
)</f>
        <v>3.3518691481015139</v>
      </c>
      <c r="AL165" s="341"/>
      <c r="AM165" s="342"/>
      <c r="AN165" s="343"/>
    </row>
    <row r="166" spans="1:40" s="315" customFormat="1" ht="15" customHeight="1" x14ac:dyDescent="0.35">
      <c r="A166" s="297">
        <f t="shared" si="97"/>
        <v>3</v>
      </c>
      <c r="B166" s="298">
        <f t="shared" si="97"/>
        <v>19</v>
      </c>
      <c r="C166" s="299">
        <f t="shared" si="91"/>
        <v>29.110000000000582</v>
      </c>
      <c r="D166" s="300">
        <v>4153.8</v>
      </c>
      <c r="E166" s="301">
        <f t="shared" si="88"/>
        <v>4134.8</v>
      </c>
      <c r="F166" s="302">
        <v>89.9</v>
      </c>
      <c r="G166" s="302">
        <v>320.49</v>
      </c>
      <c r="H166" s="303">
        <f t="shared" si="67"/>
        <v>1997.1140439575843</v>
      </c>
      <c r="I166" s="304">
        <f t="shared" si="79"/>
        <v>1.7574304552350506</v>
      </c>
      <c r="J166" s="302">
        <f t="shared" si="98"/>
        <v>4153.8</v>
      </c>
      <c r="K166" s="304">
        <f t="shared" si="86"/>
        <v>4157.8</v>
      </c>
      <c r="L166" s="302">
        <v>4</v>
      </c>
      <c r="M166" s="305" t="s">
        <v>604</v>
      </c>
      <c r="N166" s="304">
        <f t="shared" si="94"/>
        <v>4</v>
      </c>
      <c r="O166" s="304">
        <f t="shared" si="92"/>
        <v>0</v>
      </c>
      <c r="P166" s="306">
        <f t="shared" si="80"/>
        <v>159.76054016622697</v>
      </c>
      <c r="Q166" s="307" t="str">
        <f t="shared" si="81"/>
        <v>L</v>
      </c>
      <c r="R166" s="304">
        <f t="shared" si="70"/>
        <v>1.1147879412393358E-4</v>
      </c>
      <c r="S166" s="304">
        <f t="shared" si="90"/>
        <v>89.9</v>
      </c>
      <c r="T166" s="304">
        <f t="shared" si="71"/>
        <v>1997.1472051965363</v>
      </c>
      <c r="U166" s="304">
        <f t="shared" si="72"/>
        <v>1.1163642032418011E-4</v>
      </c>
      <c r="V166" s="303">
        <f t="shared" si="93"/>
        <v>-0.39999999999999858</v>
      </c>
      <c r="W166" s="304">
        <f t="shared" si="73"/>
        <v>-0.14749999999999375</v>
      </c>
      <c r="X166" s="304">
        <f t="shared" si="82"/>
        <v>-1.6489178976296417</v>
      </c>
      <c r="Y166" s="304">
        <f t="shared" si="74"/>
        <v>-0.60803847475090678</v>
      </c>
      <c r="Z166" s="304">
        <f t="shared" si="96"/>
        <v>12.789700137973336</v>
      </c>
      <c r="AA166" s="308">
        <f t="shared" si="75"/>
        <v>0.13740982480247063</v>
      </c>
      <c r="AB166" s="304">
        <f t="shared" si="87"/>
        <v>25.010000000000218</v>
      </c>
      <c r="AC166" s="309"/>
      <c r="AD166" s="310">
        <f t="shared" si="76"/>
        <v>1.5690509975429023</v>
      </c>
      <c r="AE166" s="310">
        <f t="shared" si="76"/>
        <v>5.5936057197166269</v>
      </c>
      <c r="AF166" s="310">
        <f t="shared" si="77"/>
        <v>1.0000784098543645</v>
      </c>
      <c r="AG166" s="310">
        <f t="shared" si="78"/>
        <v>1.5690509975429023</v>
      </c>
      <c r="AH166" s="310">
        <f t="shared" si="83"/>
        <v>-0.58999999999997499</v>
      </c>
      <c r="AI166" s="310">
        <f t="shared" si="84"/>
        <v>29.110000000000582</v>
      </c>
      <c r="AJ166" s="311">
        <f t="shared" si="85"/>
        <v>90.286480091240904</v>
      </c>
      <c r="AK166" s="311" cm="1">
        <f t="array" ref="AK166">IF(OR(E166="", H166=""), "",
  IFERROR(
     (
      INDEX($AM$3:$AM$22, MATCH(E166, $AL$3:$AL$22, 1)) +
      (E166 - INDEX($AL$3:$AL$22, MATCH(E166, $AL$3:$AL$22, 1))) *
      (INDEX($AM$3:$AM$22, MATCH(E166, $AL$3:$AL$22, 1)+1) - INDEX($AM$3:$AM$22, MATCH(E166, $AL$3:$AL$22, 1))) /
      (INDEX($AL$3:$AL$22, MATCH(E166, $AL$3:$AL$22, 1)+1) - INDEX($AL$3:$AL$22, MATCH(E166, $AL$3:$AL$22, 1)))
    ) - H166,
    ""
  )
)</f>
        <v>3.5619560424156589</v>
      </c>
      <c r="AL166" s="338"/>
      <c r="AM166" s="339"/>
      <c r="AN166" s="340"/>
    </row>
    <row r="167" spans="1:40" s="315" customFormat="1" ht="15" customHeight="1" x14ac:dyDescent="0.35">
      <c r="A167" s="316">
        <f t="shared" si="97"/>
        <v>3</v>
      </c>
      <c r="B167" s="317">
        <f t="shared" si="97"/>
        <v>19</v>
      </c>
      <c r="C167" s="318">
        <f t="shared" si="91"/>
        <v>29.010000000000218</v>
      </c>
      <c r="D167" s="319">
        <v>4182.8100000000004</v>
      </c>
      <c r="E167" s="320">
        <f t="shared" si="88"/>
        <v>4163.8100000000004</v>
      </c>
      <c r="F167" s="321">
        <v>88.93</v>
      </c>
      <c r="G167" s="321">
        <v>321.3</v>
      </c>
      <c r="H167" s="322">
        <f t="shared" si="67"/>
        <v>1997.4102360206605</v>
      </c>
      <c r="I167" s="323">
        <f t="shared" si="79"/>
        <v>1.3068163293104222</v>
      </c>
      <c r="J167" s="321" t="str">
        <f t="shared" si="98"/>
        <v/>
      </c>
      <c r="K167" s="323" t="str">
        <f t="shared" si="86"/>
        <v/>
      </c>
      <c r="L167" s="321"/>
      <c r="M167" s="333"/>
      <c r="N167" s="323">
        <f t="shared" si="94"/>
        <v>4</v>
      </c>
      <c r="O167" s="323">
        <f t="shared" si="92"/>
        <v>0</v>
      </c>
      <c r="P167" s="324">
        <f t="shared" si="80"/>
        <v>140.1381845823945</v>
      </c>
      <c r="Q167" s="325" t="str">
        <f t="shared" si="81"/>
        <v>R</v>
      </c>
      <c r="R167" s="323">
        <f t="shared" si="70"/>
        <v>1.2925853254293088E-2</v>
      </c>
      <c r="S167" s="323">
        <f t="shared" si="90"/>
        <v>88.93</v>
      </c>
      <c r="T167" s="323">
        <f t="shared" si="71"/>
        <v>1997.7650408333386</v>
      </c>
      <c r="U167" s="323">
        <f t="shared" si="72"/>
        <v>1.3126692454798E-2</v>
      </c>
      <c r="V167" s="322">
        <f t="shared" si="93"/>
        <v>-0.24249999999999972</v>
      </c>
      <c r="W167" s="323">
        <f t="shared" si="73"/>
        <v>0.20250000000000057</v>
      </c>
      <c r="X167" s="323">
        <f t="shared" si="82"/>
        <v>-1.0031023784901671</v>
      </c>
      <c r="Y167" s="323">
        <f t="shared" si="74"/>
        <v>0.8376421923474624</v>
      </c>
      <c r="Z167" s="323">
        <f t="shared" si="96"/>
        <v>9.4776854283239089</v>
      </c>
      <c r="AA167" s="326">
        <f t="shared" si="75"/>
        <v>0.13788348845225681</v>
      </c>
      <c r="AB167" s="323" t="str">
        <f t="shared" si="87"/>
        <v/>
      </c>
      <c r="AC167" s="327"/>
      <c r="AD167" s="328">
        <f t="shared" si="76"/>
        <v>1.5521213037985573</v>
      </c>
      <c r="AE167" s="328">
        <f t="shared" si="76"/>
        <v>5.607742886657781</v>
      </c>
      <c r="AF167" s="328">
        <f t="shared" si="77"/>
        <v>1.0000433536021227</v>
      </c>
      <c r="AG167" s="328">
        <f t="shared" si="78"/>
        <v>1.5521213037985573</v>
      </c>
      <c r="AH167" s="328">
        <f t="shared" si="83"/>
        <v>0.81000000000000227</v>
      </c>
      <c r="AI167" s="328">
        <f t="shared" si="84"/>
        <v>29.010000000000218</v>
      </c>
      <c r="AJ167" s="329">
        <f t="shared" si="85"/>
        <v>90.286480091240904</v>
      </c>
      <c r="AK167" s="329" cm="1">
        <f t="array" ref="AK167">IF(OR(E167="", H167=""), "",
  IFERROR(
     (
      INDEX($AM$3:$AM$22, MATCH(E167, $AL$3:$AL$22, 1)) +
      (E167 - INDEX($AL$3:$AL$22, MATCH(E167, $AL$3:$AL$22, 1))) *
      (INDEX($AM$3:$AM$22, MATCH(E167, $AL$3:$AL$22, 1)+1) - INDEX($AM$3:$AM$22, MATCH(E167, $AL$3:$AL$22, 1))) /
      (INDEX($AL$3:$AL$22, MATCH(E167, $AL$3:$AL$22, 1)+1) - INDEX($AL$3:$AL$22, MATCH(E167, $AL$3:$AL$22, 1)))
    ) - H167,
    ""
  )
)</f>
        <v>3.1207139793393708</v>
      </c>
      <c r="AL167" s="341"/>
      <c r="AM167" s="342"/>
      <c r="AN167" s="343"/>
    </row>
    <row r="168" spans="1:40" s="315" customFormat="1" ht="15" customHeight="1" x14ac:dyDescent="0.35">
      <c r="A168" s="297">
        <f t="shared" si="97"/>
        <v>3</v>
      </c>
      <c r="B168" s="298">
        <f t="shared" si="97"/>
        <v>19</v>
      </c>
      <c r="C168" s="299">
        <f t="shared" si="91"/>
        <v>28.960000000000036</v>
      </c>
      <c r="D168" s="300">
        <v>4211.7700000000004</v>
      </c>
      <c r="E168" s="301">
        <f t="shared" si="88"/>
        <v>4192.7700000000004</v>
      </c>
      <c r="F168" s="302">
        <v>88.73</v>
      </c>
      <c r="G168" s="302">
        <v>321.13</v>
      </c>
      <c r="H168" s="303">
        <f t="shared" si="67"/>
        <v>1998.0015683230858</v>
      </c>
      <c r="I168" s="304">
        <f t="shared" si="79"/>
        <v>0.27189062755261484</v>
      </c>
      <c r="J168" s="302" t="str">
        <f t="shared" si="98"/>
        <v/>
      </c>
      <c r="K168" s="304" t="str">
        <f t="shared" si="86"/>
        <v/>
      </c>
      <c r="L168" s="302"/>
      <c r="M168" s="305"/>
      <c r="N168" s="304" t="str">
        <f t="shared" si="94"/>
        <v/>
      </c>
      <c r="O168" s="304">
        <f t="shared" si="92"/>
        <v>0</v>
      </c>
      <c r="P168" s="306">
        <f t="shared" si="80"/>
        <v>139.64137304591873</v>
      </c>
      <c r="Q168" s="307" t="str">
        <f t="shared" si="81"/>
        <v>L</v>
      </c>
      <c r="R168" s="304">
        <f t="shared" si="70"/>
        <v>1.86858120564618E-2</v>
      </c>
      <c r="S168" s="304">
        <f t="shared" si="90"/>
        <v>88.73</v>
      </c>
      <c r="T168" s="304">
        <f t="shared" si="71"/>
        <v>1998.4226817862175</v>
      </c>
      <c r="U168" s="304">
        <f t="shared" si="72"/>
        <v>1.9040627140534193E-2</v>
      </c>
      <c r="V168" s="303">
        <f t="shared" si="93"/>
        <v>-0.29638888888888776</v>
      </c>
      <c r="W168" s="304">
        <f t="shared" si="73"/>
        <v>-5.666666666667197E-3</v>
      </c>
      <c r="X168" s="304">
        <f t="shared" si="82"/>
        <v>-0.20718232044199164</v>
      </c>
      <c r="Y168" s="304">
        <f t="shared" si="74"/>
        <v>-0.17610497237570688</v>
      </c>
      <c r="Z168" s="304">
        <f t="shared" si="96"/>
        <v>0.27189062755261484</v>
      </c>
      <c r="AA168" s="308">
        <f t="shared" si="75"/>
        <v>0</v>
      </c>
      <c r="AB168" s="304" t="str">
        <f t="shared" si="87"/>
        <v/>
      </c>
      <c r="AC168" s="309"/>
      <c r="AD168" s="310">
        <f t="shared" si="76"/>
        <v>1.5486306452945686</v>
      </c>
      <c r="AE168" s="310">
        <f t="shared" si="76"/>
        <v>5.6047758269293908</v>
      </c>
      <c r="AF168" s="310">
        <f t="shared" si="77"/>
        <v>1.0000018765621022</v>
      </c>
      <c r="AG168" s="310">
        <f t="shared" si="78"/>
        <v>1.5486306452945686</v>
      </c>
      <c r="AH168" s="310">
        <f t="shared" si="83"/>
        <v>-0.17000000000001592</v>
      </c>
      <c r="AI168" s="310">
        <f t="shared" si="84"/>
        <v>28.960000000000036</v>
      </c>
      <c r="AJ168" s="311">
        <f t="shared" si="85"/>
        <v>90.286480091240904</v>
      </c>
      <c r="AK168" s="311" cm="1">
        <f t="array" ref="AK168">IF(OR(E168="", H168=""), "",
  IFERROR(
     (
      INDEX($AM$3:$AM$22, MATCH(E168, $AL$3:$AL$22, 1)) +
      (E168 - INDEX($AL$3:$AL$22, MATCH(E168, $AL$3:$AL$22, 1))) *
      (INDEX($AM$3:$AM$22, MATCH(E168, $AL$3:$AL$22, 1)+1) - INDEX($AM$3:$AM$22, MATCH(E168, $AL$3:$AL$22, 1))) /
      (INDEX($AL$3:$AL$22, MATCH(E168, $AL$3:$AL$22, 1)+1) - INDEX($AL$3:$AL$22, MATCH(E168, $AL$3:$AL$22, 1)))
    ) - H168,
    ""
  )
)</f>
        <v>2.3845816769139674</v>
      </c>
      <c r="AL168" s="338"/>
      <c r="AM168" s="339"/>
      <c r="AN168" s="340"/>
    </row>
    <row r="169" spans="1:40" s="315" customFormat="1" ht="15" customHeight="1" x14ac:dyDescent="0.35">
      <c r="A169" s="316">
        <f t="shared" si="97"/>
        <v>3</v>
      </c>
      <c r="B169" s="317">
        <f t="shared" si="97"/>
        <v>19</v>
      </c>
      <c r="C169" s="318">
        <f t="shared" si="91"/>
        <v>29.079999999999927</v>
      </c>
      <c r="D169" s="319">
        <v>4240.8500000000004</v>
      </c>
      <c r="E169" s="320">
        <f t="shared" si="88"/>
        <v>4221.8500000000004</v>
      </c>
      <c r="F169" s="321">
        <v>89.18</v>
      </c>
      <c r="G169" s="321">
        <v>320.87</v>
      </c>
      <c r="H169" s="322">
        <f t="shared" si="67"/>
        <v>1998.5319200434474</v>
      </c>
      <c r="I169" s="323">
        <f t="shared" si="79"/>
        <v>0.53613083719970245</v>
      </c>
      <c r="J169" s="321" t="str">
        <f t="shared" si="98"/>
        <v/>
      </c>
      <c r="K169" s="323" t="str">
        <f t="shared" si="86"/>
        <v/>
      </c>
      <c r="L169" s="321"/>
      <c r="M169" s="333"/>
      <c r="N169" s="323" t="str">
        <f t="shared" si="94"/>
        <v/>
      </c>
      <c r="O169" s="323">
        <f t="shared" si="92"/>
        <v>0</v>
      </c>
      <c r="P169" s="324">
        <f t="shared" si="80"/>
        <v>30.014175499982645</v>
      </c>
      <c r="Q169" s="325" t="str">
        <f t="shared" si="81"/>
        <v>L</v>
      </c>
      <c r="R169" s="323">
        <f t="shared" si="70"/>
        <v>7.9773079819156038E-3</v>
      </c>
      <c r="S169" s="323">
        <f t="shared" si="90"/>
        <v>89.18</v>
      </c>
      <c r="T169" s="323">
        <f t="shared" si="71"/>
        <v>1998.8038330582669</v>
      </c>
      <c r="U169" s="323">
        <f t="shared" si="72"/>
        <v>8.0768270335592075E-3</v>
      </c>
      <c r="V169" s="322">
        <f t="shared" si="93"/>
        <v>-0.312962962962962</v>
      </c>
      <c r="W169" s="323">
        <f t="shared" si="73"/>
        <v>-8.6666666666663627E-3</v>
      </c>
      <c r="X169" s="323">
        <f t="shared" si="82"/>
        <v>0.46423658872077439</v>
      </c>
      <c r="Y169" s="323">
        <f t="shared" si="74"/>
        <v>-0.26822558459421414</v>
      </c>
      <c r="Z169" s="323">
        <f t="shared" si="96"/>
        <v>0.53613083719970245</v>
      </c>
      <c r="AA169" s="326">
        <f t="shared" si="75"/>
        <v>0</v>
      </c>
      <c r="AB169" s="323" t="str">
        <f t="shared" si="87"/>
        <v/>
      </c>
      <c r="AC169" s="327"/>
      <c r="AD169" s="328">
        <f t="shared" si="76"/>
        <v>1.5564846269285433</v>
      </c>
      <c r="AE169" s="328">
        <f t="shared" si="76"/>
        <v>5.6002379708742049</v>
      </c>
      <c r="AF169" s="328">
        <f t="shared" si="77"/>
        <v>1.000007296571914</v>
      </c>
      <c r="AG169" s="328">
        <f t="shared" si="78"/>
        <v>1.5564846269285433</v>
      </c>
      <c r="AH169" s="328">
        <f t="shared" si="83"/>
        <v>-0.25999999999999091</v>
      </c>
      <c r="AI169" s="328">
        <f t="shared" si="84"/>
        <v>29.079999999999927</v>
      </c>
      <c r="AJ169" s="329">
        <f t="shared" si="85"/>
        <v>90.286480091240904</v>
      </c>
      <c r="AK169" s="329" cm="1">
        <f t="array" ref="AK169">IF(OR(E169="", H169=""), "",
  IFERROR(
     (
      INDEX($AM$3:$AM$22, MATCH(E169, $AL$3:$AL$22, 1)) +
      (E169 - INDEX($AL$3:$AL$22, MATCH(E169, $AL$3:$AL$22, 1))) *
      (INDEX($AM$3:$AM$22, MATCH(E169, $AL$3:$AL$22, 1)+1) - INDEX($AM$3:$AM$22, MATCH(E169, $AL$3:$AL$22, 1))) /
      (INDEX($AL$3:$AL$22, MATCH(E169, $AL$3:$AL$22, 1)+1) - INDEX($AL$3:$AL$22, MATCH(E169, $AL$3:$AL$22, 1)))
    ) - H169,
    ""
  )
)</f>
        <v>1.7088299565525631</v>
      </c>
      <c r="AL169" s="341"/>
      <c r="AM169" s="342"/>
      <c r="AN169" s="343"/>
    </row>
    <row r="170" spans="1:40" s="315" customFormat="1" ht="15" customHeight="1" x14ac:dyDescent="0.35">
      <c r="A170" s="297">
        <f t="shared" si="97"/>
        <v>3</v>
      </c>
      <c r="B170" s="298">
        <f t="shared" si="97"/>
        <v>19</v>
      </c>
      <c r="C170" s="299">
        <f t="shared" si="91"/>
        <v>28.819999999999709</v>
      </c>
      <c r="D170" s="300">
        <v>4269.67</v>
      </c>
      <c r="E170" s="301">
        <f t="shared" si="88"/>
        <v>4250.67</v>
      </c>
      <c r="F170" s="302">
        <v>89.79</v>
      </c>
      <c r="G170" s="302">
        <v>321.11</v>
      </c>
      <c r="H170" s="303">
        <f t="shared" si="67"/>
        <v>1998.7909635588692</v>
      </c>
      <c r="I170" s="304">
        <f t="shared" si="79"/>
        <v>0.68235020827430781</v>
      </c>
      <c r="J170" s="302" t="str">
        <f t="shared" si="98"/>
        <v/>
      </c>
      <c r="K170" s="304" t="str">
        <f t="shared" si="86"/>
        <v/>
      </c>
      <c r="L170" s="302"/>
      <c r="M170" s="305"/>
      <c r="N170" s="304" t="str">
        <f t="shared" si="94"/>
        <v/>
      </c>
      <c r="O170" s="304">
        <f t="shared" si="92"/>
        <v>0</v>
      </c>
      <c r="P170" s="306">
        <f t="shared" si="80"/>
        <v>21.47591020059561</v>
      </c>
      <c r="Q170" s="307" t="str">
        <f t="shared" si="81"/>
        <v>R</v>
      </c>
      <c r="R170" s="304">
        <f t="shared" si="70"/>
        <v>5.2942231328208787E-4</v>
      </c>
      <c r="S170" s="304">
        <f t="shared" si="90"/>
        <v>89.79</v>
      </c>
      <c r="T170" s="304">
        <f t="shared" si="71"/>
        <v>1998.8606020401073</v>
      </c>
      <c r="U170" s="304">
        <f t="shared" si="72"/>
        <v>5.311182280401032E-4</v>
      </c>
      <c r="V170" s="303">
        <f t="shared" si="93"/>
        <v>-0.28395061728394982</v>
      </c>
      <c r="W170" s="304">
        <f t="shared" si="73"/>
        <v>8.0000000000003037E-3</v>
      </c>
      <c r="X170" s="304">
        <f t="shared" si="82"/>
        <v>0.63497571131159503</v>
      </c>
      <c r="Y170" s="304">
        <f t="shared" si="74"/>
        <v>0.24982650936850609</v>
      </c>
      <c r="Z170" s="304">
        <f t="shared" si="96"/>
        <v>0.68235020827430781</v>
      </c>
      <c r="AA170" s="308">
        <f t="shared" si="75"/>
        <v>0</v>
      </c>
      <c r="AB170" s="304" t="str">
        <f t="shared" si="87"/>
        <v/>
      </c>
      <c r="AC170" s="309" t="s">
        <v>609</v>
      </c>
      <c r="AD170" s="310">
        <f t="shared" si="76"/>
        <v>1.5671311353657087</v>
      </c>
      <c r="AE170" s="310">
        <f t="shared" si="76"/>
        <v>5.604426761078992</v>
      </c>
      <c r="AF170" s="310">
        <f t="shared" si="77"/>
        <v>1.0000118193693861</v>
      </c>
      <c r="AG170" s="310">
        <f t="shared" si="78"/>
        <v>1.5671311353657087</v>
      </c>
      <c r="AH170" s="310">
        <f t="shared" si="83"/>
        <v>0.24000000000000909</v>
      </c>
      <c r="AI170" s="310">
        <f t="shared" si="84"/>
        <v>28.819999999999709</v>
      </c>
      <c r="AJ170" s="311">
        <f t="shared" si="85"/>
        <v>89.083228409365177</v>
      </c>
      <c r="AK170" s="311" cm="1">
        <f t="array" ref="AK170">IF(OR(E170="", H170=""), "",
  IFERROR(
     (
      INDEX($AM$3:$AM$22, MATCH(E170, $AL$3:$AL$22, 1)) +
      (E170 - INDEX($AL$3:$AL$22, MATCH(E170, $AL$3:$AL$22, 1))) *
      (INDEX($AM$3:$AM$22, MATCH(E170, $AL$3:$AL$22, 1)+1) - INDEX($AM$3:$AM$22, MATCH(E170, $AL$3:$AL$22, 1))) /
      (INDEX($AL$3:$AL$22, MATCH(E170, $AL$3:$AL$22, 1)+1) - INDEX($AL$3:$AL$22, MATCH(E170, $AL$3:$AL$22, 1)))
    ) - H170,
    ""
  )
)</f>
        <v>1.3197564411307212</v>
      </c>
      <c r="AL170" s="338"/>
      <c r="AM170" s="339"/>
      <c r="AN170" s="340"/>
    </row>
    <row r="171" spans="1:40" s="315" customFormat="1" ht="15" customHeight="1" x14ac:dyDescent="0.35">
      <c r="A171" s="316">
        <f t="shared" si="97"/>
        <v>3</v>
      </c>
      <c r="B171" s="317">
        <f t="shared" si="97"/>
        <v>19</v>
      </c>
      <c r="C171" s="318">
        <f t="shared" si="91"/>
        <v>29.039999999999964</v>
      </c>
      <c r="D171" s="319">
        <v>4298.71</v>
      </c>
      <c r="E171" s="320">
        <f t="shared" si="88"/>
        <v>4279.71</v>
      </c>
      <c r="F171" s="321">
        <v>89.19</v>
      </c>
      <c r="G171" s="321">
        <v>319.92</v>
      </c>
      <c r="H171" s="322">
        <f t="shared" si="67"/>
        <v>1999.0494503890136</v>
      </c>
      <c r="I171" s="323">
        <f t="shared" si="79"/>
        <v>1.376711845481015</v>
      </c>
      <c r="J171" s="321" t="str">
        <f t="shared" si="98"/>
        <v/>
      </c>
      <c r="K171" s="323" t="str">
        <f t="shared" si="86"/>
        <v/>
      </c>
      <c r="L171" s="321"/>
      <c r="M171" s="333"/>
      <c r="N171" s="323" t="str">
        <f t="shared" si="94"/>
        <v/>
      </c>
      <c r="O171" s="323">
        <f t="shared" si="92"/>
        <v>0</v>
      </c>
      <c r="P171" s="324">
        <f t="shared" si="80"/>
        <v>116.75833597090234</v>
      </c>
      <c r="Q171" s="325" t="str">
        <f t="shared" si="81"/>
        <v>L</v>
      </c>
      <c r="R171" s="323">
        <f t="shared" si="70"/>
        <v>7.9708579616070852E-3</v>
      </c>
      <c r="S171" s="323">
        <f t="shared" si="90"/>
        <v>89.19</v>
      </c>
      <c r="T171" s="323">
        <f t="shared" si="71"/>
        <v>1999.3180476137363</v>
      </c>
      <c r="U171" s="323">
        <f t="shared" si="72"/>
        <v>8.0714572998768462E-3</v>
      </c>
      <c r="V171" s="322">
        <f t="shared" si="93"/>
        <v>-0.29776748971193318</v>
      </c>
      <c r="W171" s="323">
        <f t="shared" si="73"/>
        <v>-3.9666666666666593E-2</v>
      </c>
      <c r="X171" s="323">
        <f t="shared" si="82"/>
        <v>-0.61983471074381125</v>
      </c>
      <c r="Y171" s="323">
        <f t="shared" si="74"/>
        <v>-1.2293388429752059</v>
      </c>
      <c r="Z171" s="323">
        <f t="shared" si="96"/>
        <v>1.376711845481015</v>
      </c>
      <c r="AA171" s="326">
        <f t="shared" si="75"/>
        <v>0</v>
      </c>
      <c r="AB171" s="323" t="str">
        <f t="shared" si="87"/>
        <v/>
      </c>
      <c r="AC171" s="327"/>
      <c r="AD171" s="328">
        <f t="shared" si="76"/>
        <v>1.5566591598537425</v>
      </c>
      <c r="AE171" s="328">
        <f t="shared" si="76"/>
        <v>5.583657342980259</v>
      </c>
      <c r="AF171" s="328">
        <f t="shared" si="77"/>
        <v>1.0000481154622347</v>
      </c>
      <c r="AG171" s="328">
        <f t="shared" si="78"/>
        <v>1.5566591598537425</v>
      </c>
      <c r="AH171" s="328">
        <f t="shared" si="83"/>
        <v>-1.1899999999999977</v>
      </c>
      <c r="AI171" s="328">
        <f t="shared" si="84"/>
        <v>29.039999999999964</v>
      </c>
      <c r="AJ171" s="329">
        <f t="shared" si="85"/>
        <v>89.083228409365177</v>
      </c>
      <c r="AK171" s="329" cm="1">
        <f t="array" ref="AK171">IF(OR(E171="", H171=""), "",
  IFERROR(
     (
      INDEX($AM$3:$AM$22, MATCH(E171, $AL$3:$AL$22, 1)) +
      (E171 - INDEX($AL$3:$AL$22, MATCH(E171, $AL$3:$AL$22, 1))) *
      (INDEX($AM$3:$AM$22, MATCH(E171, $AL$3:$AL$22, 1)+1) - INDEX($AM$3:$AM$22, MATCH(E171, $AL$3:$AL$22, 1))) /
      (INDEX($AL$3:$AL$22, MATCH(E171, $AL$3:$AL$22, 1)+1) - INDEX($AL$3:$AL$22, MATCH(E171, $AL$3:$AL$22, 1)))
    ) - H171,
    ""
  )
)</f>
        <v>1.5259096109864458</v>
      </c>
      <c r="AL171" s="341"/>
      <c r="AM171" s="342"/>
      <c r="AN171" s="343"/>
    </row>
    <row r="172" spans="1:40" s="315" customFormat="1" ht="15" customHeight="1" x14ac:dyDescent="0.35">
      <c r="A172" s="297">
        <f t="shared" si="97"/>
        <v>3</v>
      </c>
      <c r="B172" s="298">
        <f t="shared" si="97"/>
        <v>19</v>
      </c>
      <c r="C172" s="299">
        <f t="shared" si="91"/>
        <v>29.130000000000109</v>
      </c>
      <c r="D172" s="300">
        <v>4327.84</v>
      </c>
      <c r="E172" s="301">
        <f t="shared" si="88"/>
        <v>4308.84</v>
      </c>
      <c r="F172" s="302">
        <v>88.75</v>
      </c>
      <c r="G172" s="302">
        <v>319.08999999999997</v>
      </c>
      <c r="H172" s="303">
        <f t="shared" ref="H172:H235" si="99">IF(F172="","",H171+(COS((AD172+AD171)/2))*AI172)</f>
        <v>1999.5730890274599</v>
      </c>
      <c r="I172" s="304">
        <f t="shared" si="79"/>
        <v>0.9673474941280028</v>
      </c>
      <c r="J172" s="302">
        <v>4338</v>
      </c>
      <c r="K172" s="304">
        <f t="shared" si="86"/>
        <v>4342</v>
      </c>
      <c r="L172" s="302">
        <v>4</v>
      </c>
      <c r="M172" s="305" t="s">
        <v>582</v>
      </c>
      <c r="N172" s="304" t="str">
        <f t="shared" si="94"/>
        <v/>
      </c>
      <c r="O172" s="304">
        <f t="shared" si="92"/>
        <v>0</v>
      </c>
      <c r="P172" s="306">
        <f t="shared" si="80"/>
        <v>117.93286870723723</v>
      </c>
      <c r="Q172" s="307" t="str">
        <f t="shared" si="81"/>
        <v>L</v>
      </c>
      <c r="R172" s="304">
        <f t="shared" si="70"/>
        <v>1.9454852411294812E-2</v>
      </c>
      <c r="S172" s="304">
        <f t="shared" si="90"/>
        <v>88.75</v>
      </c>
      <c r="T172" s="304">
        <f t="shared" si="71"/>
        <v>1999.9875718431165</v>
      </c>
      <c r="U172" s="304">
        <f t="shared" si="72"/>
        <v>1.9846058238393059E-2</v>
      </c>
      <c r="V172" s="303">
        <f t="shared" si="93"/>
        <v>-0.29822702331961498</v>
      </c>
      <c r="W172" s="304">
        <f t="shared" si="73"/>
        <v>-2.7666666666668029E-2</v>
      </c>
      <c r="X172" s="304">
        <f t="shared" si="82"/>
        <v>-0.45314109165808042</v>
      </c>
      <c r="Y172" s="304">
        <f t="shared" si="74"/>
        <v>-0.85478887744597098</v>
      </c>
      <c r="Z172" s="304">
        <f t="shared" si="96"/>
        <v>0.9673474941280028</v>
      </c>
      <c r="AA172" s="308">
        <f t="shared" si="75"/>
        <v>0</v>
      </c>
      <c r="AB172" s="304">
        <f t="shared" si="87"/>
        <v>25.119999999999891</v>
      </c>
      <c r="AC172" s="309"/>
      <c r="AD172" s="310">
        <f t="shared" si="76"/>
        <v>1.5489797111449675</v>
      </c>
      <c r="AE172" s="310">
        <f t="shared" si="76"/>
        <v>5.569171110188706</v>
      </c>
      <c r="AF172" s="310">
        <f t="shared" si="77"/>
        <v>1.0000237547733346</v>
      </c>
      <c r="AG172" s="310">
        <f t="shared" si="78"/>
        <v>1.5489797111449675</v>
      </c>
      <c r="AH172" s="310">
        <f t="shared" si="83"/>
        <v>-0.83000000000004093</v>
      </c>
      <c r="AI172" s="310">
        <f t="shared" si="84"/>
        <v>29.130000000000109</v>
      </c>
      <c r="AJ172" s="311">
        <f t="shared" si="85"/>
        <v>89.083228409365177</v>
      </c>
      <c r="AK172" s="311" cm="1">
        <f t="array" ref="AK172">IF(OR(E172="", H172=""), "",
  IFERROR(
     (
      INDEX($AM$3:$AM$22, MATCH(E172, $AL$3:$AL$22, 1)) +
      (E172 - INDEX($AL$3:$AL$22, MATCH(E172, $AL$3:$AL$22, 1))) *
      (INDEX($AM$3:$AM$22, MATCH(E172, $AL$3:$AL$22, 1)+1) - INDEX($AM$3:$AM$22, MATCH(E172, $AL$3:$AL$22, 1))) /
      (INDEX($AL$3:$AL$22, MATCH(E172, $AL$3:$AL$22, 1)+1) - INDEX($AL$3:$AL$22, MATCH(E172, $AL$3:$AL$22, 1)))
    ) - H172,
    ""
  )
)</f>
        <v>1.4683509725400654</v>
      </c>
      <c r="AL172" s="338"/>
      <c r="AM172" s="339"/>
      <c r="AN172" s="340"/>
    </row>
    <row r="173" spans="1:40" s="315" customFormat="1" ht="15" customHeight="1" x14ac:dyDescent="0.35">
      <c r="A173" s="316">
        <f t="shared" si="97"/>
        <v>3</v>
      </c>
      <c r="B173" s="317">
        <f t="shared" si="97"/>
        <v>19</v>
      </c>
      <c r="C173" s="318">
        <f t="shared" si="91"/>
        <v>29.119999999999891</v>
      </c>
      <c r="D173" s="319">
        <v>4356.96</v>
      </c>
      <c r="E173" s="320">
        <f t="shared" si="88"/>
        <v>4337.96</v>
      </c>
      <c r="F173" s="321">
        <v>89.21</v>
      </c>
      <c r="G173" s="321">
        <v>321.25</v>
      </c>
      <c r="H173" s="322">
        <f t="shared" si="99"/>
        <v>2000.0914663211609</v>
      </c>
      <c r="I173" s="323">
        <f t="shared" si="79"/>
        <v>2.2748261162803347</v>
      </c>
      <c r="J173" s="321" t="str">
        <f t="shared" ref="J173:J180" si="100">IF(L173="","",D173)</f>
        <v/>
      </c>
      <c r="K173" s="323" t="str">
        <f t="shared" si="86"/>
        <v/>
      </c>
      <c r="L173" s="321"/>
      <c r="M173" s="333"/>
      <c r="N173" s="323" t="str">
        <f t="shared" si="94"/>
        <v/>
      </c>
      <c r="O173" s="323">
        <f t="shared" si="92"/>
        <v>4</v>
      </c>
      <c r="P173" s="324">
        <f t="shared" si="80"/>
        <v>77.975841832469627</v>
      </c>
      <c r="Q173" s="325" t="str">
        <f t="shared" si="81"/>
        <v>R</v>
      </c>
      <c r="R173" s="323">
        <f t="shared" si="70"/>
        <v>7.9673392187565827E-3</v>
      </c>
      <c r="S173" s="323">
        <f t="shared" si="90"/>
        <v>88.036739826245991</v>
      </c>
      <c r="T173" s="323">
        <f t="shared" si="71"/>
        <v>2000.5479302243746</v>
      </c>
      <c r="U173" s="323">
        <f t="shared" si="72"/>
        <v>5.0321621793713349E-2</v>
      </c>
      <c r="V173" s="322">
        <f t="shared" si="93"/>
        <v>-0.29331504343849929</v>
      </c>
      <c r="W173" s="323">
        <f t="shared" si="73"/>
        <v>7.2000000000000827E-2</v>
      </c>
      <c r="X173" s="323">
        <f t="shared" si="82"/>
        <v>0.47390109890109422</v>
      </c>
      <c r="Y173" s="323">
        <f t="shared" si="74"/>
        <v>2.2252747252747596</v>
      </c>
      <c r="Z173" s="323">
        <f t="shared" si="96"/>
        <v>2.2748261162803347</v>
      </c>
      <c r="AA173" s="326">
        <f t="shared" si="75"/>
        <v>0</v>
      </c>
      <c r="AB173" s="323" t="str">
        <f t="shared" si="87"/>
        <v/>
      </c>
      <c r="AC173" s="327" t="s">
        <v>610</v>
      </c>
      <c r="AD173" s="328">
        <f t="shared" si="76"/>
        <v>1.5570082257041413</v>
      </c>
      <c r="AE173" s="328">
        <f t="shared" si="76"/>
        <v>5.6068702220317839</v>
      </c>
      <c r="AF173" s="328">
        <f t="shared" si="77"/>
        <v>1.0001313827553251</v>
      </c>
      <c r="AG173" s="328">
        <f t="shared" si="78"/>
        <v>1.5365309726896133</v>
      </c>
      <c r="AH173" s="328">
        <f t="shared" si="83"/>
        <v>2.160000000000025</v>
      </c>
      <c r="AI173" s="328">
        <f t="shared" si="84"/>
        <v>29.119999999999891</v>
      </c>
      <c r="AJ173" s="329">
        <f t="shared" si="85"/>
        <v>89.083228409365177</v>
      </c>
      <c r="AK173" s="329" cm="1">
        <f t="array" ref="AK173">IF(OR(E173="", H173=""), "",
  IFERROR(
     (
      INDEX($AM$3:$AM$22, MATCH(E173, $AL$3:$AL$22, 1)) +
      (E173 - INDEX($AL$3:$AL$22, MATCH(E173, $AL$3:$AL$22, 1))) *
      (INDEX($AM$3:$AM$22, MATCH(E173, $AL$3:$AL$22, 1)+1) - INDEX($AM$3:$AM$22, MATCH(E173, $AL$3:$AL$22, 1))) /
      (INDEX($AL$3:$AL$22, MATCH(E173, $AL$3:$AL$22, 1)+1) - INDEX($AL$3:$AL$22, MATCH(E173, $AL$3:$AL$22, 1)))
    ) - H173,
    ""
  )
)</f>
        <v>1.4158936788392111</v>
      </c>
      <c r="AL173" s="341"/>
      <c r="AM173" s="342"/>
      <c r="AN173" s="343"/>
    </row>
    <row r="174" spans="1:40" s="315" customFormat="1" ht="15" customHeight="1" x14ac:dyDescent="0.35">
      <c r="A174" s="297">
        <f t="shared" si="97"/>
        <v>3</v>
      </c>
      <c r="B174" s="298">
        <f t="shared" si="97"/>
        <v>19</v>
      </c>
      <c r="C174" s="299">
        <f t="shared" si="91"/>
        <v>29.050000000000182</v>
      </c>
      <c r="D174" s="300">
        <v>4386.01</v>
      </c>
      <c r="E174" s="301">
        <f t="shared" si="88"/>
        <v>4367.01</v>
      </c>
      <c r="F174" s="302">
        <v>89.73</v>
      </c>
      <c r="G174" s="302">
        <v>321.79000000000002</v>
      </c>
      <c r="H174" s="303">
        <f t="shared" si="99"/>
        <v>2000.3601821072039</v>
      </c>
      <c r="I174" s="304">
        <f t="shared" si="79"/>
        <v>0.77416380296391629</v>
      </c>
      <c r="J174" s="302" t="str">
        <f t="shared" si="100"/>
        <v/>
      </c>
      <c r="K174" s="304" t="str">
        <f t="shared" si="86"/>
        <v/>
      </c>
      <c r="L174" s="302"/>
      <c r="M174" s="305"/>
      <c r="N174" s="304">
        <f t="shared" si="94"/>
        <v>4</v>
      </c>
      <c r="O174" s="304">
        <f t="shared" si="92"/>
        <v>0</v>
      </c>
      <c r="P174" s="306">
        <f t="shared" si="80"/>
        <v>46.079601097775118</v>
      </c>
      <c r="Q174" s="307" t="str">
        <f t="shared" si="81"/>
        <v>R</v>
      </c>
      <c r="R174" s="304">
        <f t="shared" si="70"/>
        <v>9.4301964531465492E-4</v>
      </c>
      <c r="S174" s="304">
        <f t="shared" si="90"/>
        <v>89.73</v>
      </c>
      <c r="T174" s="304">
        <f t="shared" si="71"/>
        <v>2000.449717166452</v>
      </c>
      <c r="U174" s="304">
        <f t="shared" si="72"/>
        <v>9.4720982569638558E-4</v>
      </c>
      <c r="V174" s="303">
        <f t="shared" si="93"/>
        <v>0.13000000000000256</v>
      </c>
      <c r="W174" s="304">
        <f t="shared" si="73"/>
        <v>0.13500000000000512</v>
      </c>
      <c r="X174" s="304">
        <f t="shared" si="82"/>
        <v>0.53700516351119476</v>
      </c>
      <c r="Y174" s="304">
        <f t="shared" si="74"/>
        <v>0.55765920826163551</v>
      </c>
      <c r="Z174" s="304">
        <f t="shared" si="96"/>
        <v>5.6223646190254772</v>
      </c>
      <c r="AA174" s="308">
        <f t="shared" si="75"/>
        <v>0.13769363166953441</v>
      </c>
      <c r="AB174" s="304" t="str">
        <f t="shared" si="87"/>
        <v/>
      </c>
      <c r="AC174" s="309"/>
      <c r="AD174" s="310">
        <f t="shared" si="76"/>
        <v>1.5660839378145119</v>
      </c>
      <c r="AE174" s="310">
        <f t="shared" si="76"/>
        <v>5.6162949999925535</v>
      </c>
      <c r="AF174" s="310">
        <f t="shared" si="77"/>
        <v>1.0000152141306313</v>
      </c>
      <c r="AG174" s="310">
        <f t="shared" si="78"/>
        <v>1.5660839378145119</v>
      </c>
      <c r="AH174" s="310">
        <f t="shared" si="83"/>
        <v>0.54000000000002046</v>
      </c>
      <c r="AI174" s="310">
        <f t="shared" si="84"/>
        <v>29.050000000000182</v>
      </c>
      <c r="AJ174" s="311">
        <f t="shared" si="85"/>
        <v>90.5920669252191</v>
      </c>
      <c r="AK174" s="311" cm="1">
        <f t="array" ref="AK174">IF(OR(E174="", H174=""), "",
  IFERROR(
     (
      INDEX($AM$3:$AM$22, MATCH(E174, $AL$3:$AL$22, 1)) +
      (E174 - INDEX($AL$3:$AL$22, MATCH(E174, $AL$3:$AL$22, 1))) *
      (INDEX($AM$3:$AM$22, MATCH(E174, $AL$3:$AL$22, 1)+1) - INDEX($AM$3:$AM$22, MATCH(E174, $AL$3:$AL$22, 1))) /
      (INDEX($AL$3:$AL$22, MATCH(E174, $AL$3:$AL$22, 1)+1) - INDEX($AL$3:$AL$22, MATCH(E174, $AL$3:$AL$22, 1)))
    ) - H174,
    ""
  )
)</f>
        <v>1.164047892796134</v>
      </c>
      <c r="AL174" s="338"/>
      <c r="AM174" s="339"/>
      <c r="AN174" s="340"/>
    </row>
    <row r="175" spans="1:40" s="315" customFormat="1" ht="15" customHeight="1" x14ac:dyDescent="0.35">
      <c r="A175" s="316">
        <f t="shared" si="97"/>
        <v>3</v>
      </c>
      <c r="B175" s="317">
        <f t="shared" si="97"/>
        <v>19</v>
      </c>
      <c r="C175" s="318">
        <f t="shared" si="91"/>
        <v>29.059999999999491</v>
      </c>
      <c r="D175" s="319">
        <v>4415.07</v>
      </c>
      <c r="E175" s="320">
        <f t="shared" si="88"/>
        <v>4396.07</v>
      </c>
      <c r="F175" s="321">
        <v>89.68</v>
      </c>
      <c r="G175" s="321">
        <v>321.13</v>
      </c>
      <c r="H175" s="322">
        <f t="shared" si="99"/>
        <v>2000.509803286928</v>
      </c>
      <c r="I175" s="323">
        <f t="shared" si="79"/>
        <v>0.68329231144937763</v>
      </c>
      <c r="J175" s="321" t="str">
        <f t="shared" si="100"/>
        <v/>
      </c>
      <c r="K175" s="323" t="str">
        <f t="shared" si="86"/>
        <v/>
      </c>
      <c r="L175" s="321"/>
      <c r="M175" s="333"/>
      <c r="N175" s="323" t="str">
        <f t="shared" si="94"/>
        <v/>
      </c>
      <c r="O175" s="323">
        <f t="shared" si="92"/>
        <v>0</v>
      </c>
      <c r="P175" s="324">
        <f t="shared" si="80"/>
        <v>94.332371326157556</v>
      </c>
      <c r="Q175" s="325" t="str">
        <f t="shared" si="81"/>
        <v>L</v>
      </c>
      <c r="R175" s="323">
        <f t="shared" si="70"/>
        <v>1.3344897880559813E-3</v>
      </c>
      <c r="S175" s="323">
        <f t="shared" si="90"/>
        <v>89.68</v>
      </c>
      <c r="T175" s="323">
        <f t="shared" si="71"/>
        <v>2000.6159187537737</v>
      </c>
      <c r="U175" s="323">
        <f t="shared" si="72"/>
        <v>1.3415759285252686E-3</v>
      </c>
      <c r="V175" s="322">
        <f t="shared" si="93"/>
        <v>-0.15384735558603724</v>
      </c>
      <c r="W175" s="323">
        <f t="shared" si="73"/>
        <v>-2.2000000000000835E-2</v>
      </c>
      <c r="X175" s="323">
        <f t="shared" si="82"/>
        <v>-5.1617343427389571E-2</v>
      </c>
      <c r="Y175" s="323">
        <f t="shared" si="74"/>
        <v>-0.68134893324160695</v>
      </c>
      <c r="Z175" s="323">
        <f t="shared" si="96"/>
        <v>0.68329231144937763</v>
      </c>
      <c r="AA175" s="326">
        <f t="shared" si="75"/>
        <v>0</v>
      </c>
      <c r="AB175" s="323" t="str">
        <f t="shared" si="87"/>
        <v/>
      </c>
      <c r="AC175" s="327"/>
      <c r="AD175" s="328">
        <f t="shared" si="76"/>
        <v>1.5652112731885148</v>
      </c>
      <c r="AE175" s="328">
        <f t="shared" si="76"/>
        <v>5.6047758269293908</v>
      </c>
      <c r="AF175" s="328">
        <f t="shared" si="77"/>
        <v>1.0000118520297725</v>
      </c>
      <c r="AG175" s="328">
        <f t="shared" si="78"/>
        <v>1.5652112731885148</v>
      </c>
      <c r="AH175" s="328">
        <f t="shared" si="83"/>
        <v>-0.66000000000002501</v>
      </c>
      <c r="AI175" s="328">
        <f t="shared" si="84"/>
        <v>29.059999999999491</v>
      </c>
      <c r="AJ175" s="329">
        <f t="shared" si="85"/>
        <v>90.5920669252191</v>
      </c>
      <c r="AK175" s="329" cm="1">
        <f t="array" ref="AK175">IF(OR(E175="", H175=""), "",
  IFERROR(
     (
      INDEX($AM$3:$AM$22, MATCH(E175, $AL$3:$AL$22, 1)) +
      (E175 - INDEX($AL$3:$AL$22, MATCH(E175, $AL$3:$AL$22, 1))) *
      (INDEX($AM$3:$AM$22, MATCH(E175, $AL$3:$AL$22, 1)+1) - INDEX($AM$3:$AM$22, MATCH(E175, $AL$3:$AL$22, 1))) /
      (INDEX($AL$3:$AL$22, MATCH(E175, $AL$3:$AL$22, 1)+1) - INDEX($AL$3:$AL$22, MATCH(E175, $AL$3:$AL$22, 1)))
    ) - H175,
    ""
  )
)</f>
        <v>0.71414004640541862</v>
      </c>
      <c r="AL175" s="341"/>
      <c r="AM175" s="342"/>
      <c r="AN175" s="343"/>
    </row>
    <row r="176" spans="1:40" s="315" customFormat="1" ht="15" customHeight="1" x14ac:dyDescent="0.35">
      <c r="A176" s="297">
        <f t="shared" si="97"/>
        <v>3</v>
      </c>
      <c r="B176" s="298">
        <f t="shared" si="97"/>
        <v>19</v>
      </c>
      <c r="C176" s="299">
        <f t="shared" si="91"/>
        <v>28.789999999999964</v>
      </c>
      <c r="D176" s="300">
        <v>4443.8599999999997</v>
      </c>
      <c r="E176" s="301">
        <f t="shared" si="88"/>
        <v>4424.8599999999997</v>
      </c>
      <c r="F176" s="302">
        <v>90.02</v>
      </c>
      <c r="G176" s="302">
        <v>320.85000000000002</v>
      </c>
      <c r="H176" s="303">
        <f t="shared" si="99"/>
        <v>2000.5851752445767</v>
      </c>
      <c r="I176" s="304">
        <f t="shared" si="79"/>
        <v>0.45896502926464078</v>
      </c>
      <c r="J176" s="302" t="str">
        <f t="shared" si="100"/>
        <v/>
      </c>
      <c r="K176" s="304" t="str">
        <f t="shared" si="86"/>
        <v/>
      </c>
      <c r="L176" s="302"/>
      <c r="M176" s="305"/>
      <c r="N176" s="304" t="str">
        <f t="shared" si="94"/>
        <v/>
      </c>
      <c r="O176" s="304">
        <f t="shared" si="92"/>
        <v>0</v>
      </c>
      <c r="P176" s="306">
        <f t="shared" si="80"/>
        <v>39.472322240866276</v>
      </c>
      <c r="Q176" s="307" t="str">
        <f t="shared" si="81"/>
        <v>L</v>
      </c>
      <c r="R176" s="304">
        <f t="shared" si="70"/>
        <v>5.2324948727524909E-6</v>
      </c>
      <c r="S176" s="304">
        <f t="shared" si="90"/>
        <v>90.02</v>
      </c>
      <c r="T176" s="304">
        <f t="shared" si="71"/>
        <v>2000.5785429935538</v>
      </c>
      <c r="U176" s="304">
        <f t="shared" si="72"/>
        <v>5.230761571351852E-6</v>
      </c>
      <c r="V176" s="303">
        <f t="shared" si="93"/>
        <v>-0.10572079967484466</v>
      </c>
      <c r="W176" s="304">
        <f t="shared" si="73"/>
        <v>-9.3333333333324234E-3</v>
      </c>
      <c r="X176" s="304">
        <f t="shared" si="82"/>
        <v>0.3542896839180163</v>
      </c>
      <c r="Y176" s="304">
        <f t="shared" si="74"/>
        <v>-0.29176797499128837</v>
      </c>
      <c r="Z176" s="304">
        <f t="shared" si="96"/>
        <v>0.45896502926464078</v>
      </c>
      <c r="AA176" s="308">
        <f t="shared" si="75"/>
        <v>0</v>
      </c>
      <c r="AB176" s="304" t="str">
        <f t="shared" si="87"/>
        <v/>
      </c>
      <c r="AC176" s="309"/>
      <c r="AD176" s="310">
        <f t="shared" si="76"/>
        <v>1.5711453926452954</v>
      </c>
      <c r="AE176" s="310">
        <f t="shared" si="76"/>
        <v>5.599888905023807</v>
      </c>
      <c r="AF176" s="310">
        <f t="shared" si="77"/>
        <v>1.0000053473112971</v>
      </c>
      <c r="AG176" s="310">
        <f t="shared" si="78"/>
        <v>1.5711453926452954</v>
      </c>
      <c r="AH176" s="310">
        <f t="shared" si="83"/>
        <v>-0.27999999999997272</v>
      </c>
      <c r="AI176" s="310">
        <f t="shared" si="84"/>
        <v>28.789999999999964</v>
      </c>
      <c r="AJ176" s="311">
        <f t="shared" si="85"/>
        <v>90.5920669252191</v>
      </c>
      <c r="AK176" s="311" cm="1">
        <f t="array" ref="AK176">IF(OR(E176="", H176=""), "",
  IFERROR(
     (
      INDEX($AM$3:$AM$22, MATCH(E176, $AL$3:$AL$22, 1)) +
      (E176 - INDEX($AL$3:$AL$22, MATCH(E176, $AL$3:$AL$22, 1))) *
      (INDEX($AM$3:$AM$22, MATCH(E176, $AL$3:$AL$22, 1)+1) - INDEX($AM$3:$AM$22, MATCH(E176, $AL$3:$AL$22, 1))) /
      (INDEX($AL$3:$AL$22, MATCH(E176, $AL$3:$AL$22, 1)+1) - INDEX($AL$3:$AL$22, MATCH(E176, $AL$3:$AL$22, 1)))
    ) - H176,
    ""
  )
)</f>
        <v>0.34127142208990335</v>
      </c>
      <c r="AL176" s="338"/>
      <c r="AM176" s="339"/>
      <c r="AN176" s="340"/>
    </row>
    <row r="177" spans="1:40" s="315" customFormat="1" ht="15" customHeight="1" x14ac:dyDescent="0.35">
      <c r="A177" s="316">
        <f t="shared" ref="A177:B192" si="101">+A176</f>
        <v>3</v>
      </c>
      <c r="B177" s="317">
        <f t="shared" si="101"/>
        <v>19</v>
      </c>
      <c r="C177" s="318">
        <f t="shared" si="91"/>
        <v>29.090000000000146</v>
      </c>
      <c r="D177" s="319">
        <v>4472.95</v>
      </c>
      <c r="E177" s="320">
        <f t="shared" si="88"/>
        <v>4453.95</v>
      </c>
      <c r="F177" s="321">
        <v>90.32</v>
      </c>
      <c r="G177" s="321">
        <v>320.57</v>
      </c>
      <c r="H177" s="322">
        <f t="shared" si="99"/>
        <v>2000.4988636037178</v>
      </c>
      <c r="I177" s="323">
        <f t="shared" si="79"/>
        <v>0.42320175117148984</v>
      </c>
      <c r="J177" s="321" t="str">
        <f t="shared" si="100"/>
        <v/>
      </c>
      <c r="K177" s="323" t="str">
        <f t="shared" si="86"/>
        <v/>
      </c>
      <c r="L177" s="321"/>
      <c r="M177" s="333"/>
      <c r="N177" s="323" t="str">
        <f t="shared" si="94"/>
        <v/>
      </c>
      <c r="O177" s="323">
        <f t="shared" si="92"/>
        <v>0</v>
      </c>
      <c r="P177" s="324">
        <f t="shared" si="80"/>
        <v>43.024907540116537</v>
      </c>
      <c r="Q177" s="325" t="str">
        <f t="shared" si="81"/>
        <v>L</v>
      </c>
      <c r="R177" s="323">
        <f t="shared" si="70"/>
        <v>1.3337635159069491E-3</v>
      </c>
      <c r="S177" s="323">
        <f t="shared" si="90"/>
        <v>90.32</v>
      </c>
      <c r="T177" s="323">
        <f t="shared" si="71"/>
        <v>2000.3927481368721</v>
      </c>
      <c r="U177" s="323">
        <f t="shared" si="72"/>
        <v>1.3267594492921062E-3</v>
      </c>
      <c r="V177" s="322">
        <f t="shared" si="93"/>
        <v>-4.3189385086959776E-2</v>
      </c>
      <c r="W177" s="323">
        <f t="shared" si="73"/>
        <v>-9.3333333333343194E-3</v>
      </c>
      <c r="X177" s="323">
        <f t="shared" si="82"/>
        <v>0.30938466827087896</v>
      </c>
      <c r="Y177" s="323">
        <f t="shared" si="74"/>
        <v>-0.28875902371952028</v>
      </c>
      <c r="Z177" s="323">
        <f t="shared" si="96"/>
        <v>0.42320175117148984</v>
      </c>
      <c r="AA177" s="326">
        <f t="shared" si="75"/>
        <v>0</v>
      </c>
      <c r="AB177" s="323" t="str">
        <f t="shared" si="87"/>
        <v/>
      </c>
      <c r="AC177" s="327"/>
      <c r="AD177" s="328">
        <f t="shared" si="76"/>
        <v>1.5763813804012783</v>
      </c>
      <c r="AE177" s="328">
        <f t="shared" si="76"/>
        <v>5.5950019831182223</v>
      </c>
      <c r="AF177" s="328">
        <f t="shared" si="77"/>
        <v>1.0000045464327423</v>
      </c>
      <c r="AG177" s="328">
        <f t="shared" si="78"/>
        <v>1.5763813804012783</v>
      </c>
      <c r="AH177" s="328">
        <f t="shared" si="83"/>
        <v>-0.28000000000002956</v>
      </c>
      <c r="AI177" s="328">
        <f t="shared" si="84"/>
        <v>29.090000000000146</v>
      </c>
      <c r="AJ177" s="329">
        <f t="shared" si="85"/>
        <v>90.5920669252191</v>
      </c>
      <c r="AK177" s="329" cm="1">
        <f t="array" ref="AK177">IF(OR(E177="", H177=""), "",
  IFERROR(
     (
      INDEX($AM$3:$AM$22, MATCH(E177, $AL$3:$AL$22, 1)) +
      (E177 - INDEX($AL$3:$AL$22, MATCH(E177, $AL$3:$AL$22, 1))) *
      (INDEX($AM$3:$AM$22, MATCH(E177, $AL$3:$AL$22, 1)+1) - INDEX($AM$3:$AM$22, MATCH(E177, $AL$3:$AL$22, 1))) /
      (INDEX($AL$3:$AL$22, MATCH(E177, $AL$3:$AL$22, 1)+1) - INDEX($AL$3:$AL$22, MATCH(E177, $AL$3:$AL$22, 1)))
    ) - H177,
    ""
  )
)</f>
        <v>0.12698639628206365</v>
      </c>
      <c r="AL177" s="341"/>
      <c r="AM177" s="342"/>
      <c r="AN177" s="343"/>
    </row>
    <row r="178" spans="1:40" s="315" customFormat="1" ht="15" customHeight="1" x14ac:dyDescent="0.35">
      <c r="A178" s="297">
        <f t="shared" si="101"/>
        <v>3</v>
      </c>
      <c r="B178" s="298">
        <f t="shared" si="101"/>
        <v>19</v>
      </c>
      <c r="C178" s="299">
        <f t="shared" si="91"/>
        <v>28.989999999999782</v>
      </c>
      <c r="D178" s="300">
        <v>4501.9399999999996</v>
      </c>
      <c r="E178" s="301">
        <f t="shared" si="88"/>
        <v>4482.9399999999996</v>
      </c>
      <c r="F178" s="302">
        <v>89.87</v>
      </c>
      <c r="G178" s="302">
        <v>319.72000000000003</v>
      </c>
      <c r="H178" s="303">
        <f t="shared" si="99"/>
        <v>2000.4507963854776</v>
      </c>
      <c r="I178" s="304">
        <f t="shared" si="79"/>
        <v>0.99527379058249499</v>
      </c>
      <c r="J178" s="302" t="str">
        <f t="shared" si="100"/>
        <v/>
      </c>
      <c r="K178" s="304" t="str">
        <f t="shared" si="86"/>
        <v/>
      </c>
      <c r="L178" s="302"/>
      <c r="M178" s="305"/>
      <c r="N178" s="304" t="str">
        <f t="shared" si="94"/>
        <v/>
      </c>
      <c r="O178" s="304">
        <f t="shared" si="92"/>
        <v>0</v>
      </c>
      <c r="P178" s="306">
        <f t="shared" si="80"/>
        <v>117.89736449499452</v>
      </c>
      <c r="Q178" s="307" t="str">
        <f t="shared" si="81"/>
        <v>L</v>
      </c>
      <c r="R178" s="304">
        <f t="shared" si="70"/>
        <v>2.1959843914480425E-4</v>
      </c>
      <c r="S178" s="304">
        <f t="shared" si="90"/>
        <v>89.87</v>
      </c>
      <c r="T178" s="304">
        <f t="shared" si="71"/>
        <v>2000.4939059810135</v>
      </c>
      <c r="U178" s="304">
        <f t="shared" si="72"/>
        <v>2.2006928146171172E-4</v>
      </c>
      <c r="V178" s="303">
        <f t="shared" si="93"/>
        <v>-0.10091918011594721</v>
      </c>
      <c r="W178" s="304">
        <f t="shared" si="73"/>
        <v>-2.8333333333332197E-2</v>
      </c>
      <c r="X178" s="304">
        <f t="shared" si="82"/>
        <v>-0.46567781993790136</v>
      </c>
      <c r="Y178" s="304">
        <f t="shared" si="74"/>
        <v>-0.87961365988268947</v>
      </c>
      <c r="Z178" s="304">
        <f t="shared" si="96"/>
        <v>0.99527379058249499</v>
      </c>
      <c r="AA178" s="308">
        <f t="shared" si="75"/>
        <v>0</v>
      </c>
      <c r="AB178" s="304" t="str">
        <f t="shared" si="87"/>
        <v/>
      </c>
      <c r="AC178" s="309"/>
      <c r="AD178" s="310">
        <f t="shared" si="76"/>
        <v>1.5685273987673041</v>
      </c>
      <c r="AE178" s="310">
        <f t="shared" si="76"/>
        <v>5.5801666844762705</v>
      </c>
      <c r="AF178" s="310">
        <f t="shared" si="77"/>
        <v>1.0000251461631566</v>
      </c>
      <c r="AG178" s="310">
        <f t="shared" si="78"/>
        <v>1.5685273987673041</v>
      </c>
      <c r="AH178" s="310">
        <f t="shared" si="83"/>
        <v>-0.84999999999996589</v>
      </c>
      <c r="AI178" s="310">
        <f t="shared" si="84"/>
        <v>28.989999999999782</v>
      </c>
      <c r="AJ178" s="311">
        <f t="shared" si="85"/>
        <v>90.5920669252191</v>
      </c>
      <c r="AK178" s="311" cm="1">
        <f t="array" ref="AK178">IF(OR(E178="", H178=""), "",
  IFERROR(
     (
      INDEX($AM$3:$AM$22, MATCH(E178, $AL$3:$AL$22, 1)) +
      (E178 - INDEX($AL$3:$AL$22, MATCH(E178, $AL$3:$AL$22, 1))) *
      (INDEX($AM$3:$AM$22, MATCH(E178, $AL$3:$AL$22, 1)+1) - INDEX($AM$3:$AM$22, MATCH(E178, $AL$3:$AL$22, 1))) /
      (INDEX($AL$3:$AL$22, MATCH(E178, $AL$3:$AL$22, 1)+1) - INDEX($AL$3:$AL$22, MATCH(E178, $AL$3:$AL$22, 1)))
    ) - H178,
    ""
  )
)</f>
        <v>-0.12450971881094119</v>
      </c>
      <c r="AL178" s="338"/>
      <c r="AM178" s="339"/>
      <c r="AN178" s="340"/>
    </row>
    <row r="179" spans="1:40" s="315" customFormat="1" ht="15" customHeight="1" x14ac:dyDescent="0.35">
      <c r="A179" s="316">
        <f t="shared" si="101"/>
        <v>3</v>
      </c>
      <c r="B179" s="317">
        <f t="shared" si="101"/>
        <v>19</v>
      </c>
      <c r="C179" s="318">
        <f t="shared" si="91"/>
        <v>28.989999999999782</v>
      </c>
      <c r="D179" s="319">
        <v>4530.9299999999994</v>
      </c>
      <c r="E179" s="320">
        <f t="shared" si="88"/>
        <v>4511.9299999999994</v>
      </c>
      <c r="F179" s="321">
        <v>89.79</v>
      </c>
      <c r="G179" s="321">
        <v>319.76</v>
      </c>
      <c r="H179" s="322">
        <f t="shared" si="99"/>
        <v>2000.536811320799</v>
      </c>
      <c r="I179" s="323">
        <f t="shared" si="79"/>
        <v>9.2558784656559617E-2</v>
      </c>
      <c r="J179" s="321" t="str">
        <f t="shared" si="100"/>
        <v/>
      </c>
      <c r="K179" s="323" t="str">
        <f t="shared" si="86"/>
        <v/>
      </c>
      <c r="L179" s="321"/>
      <c r="M179" s="333"/>
      <c r="N179" s="323" t="str">
        <f t="shared" si="94"/>
        <v/>
      </c>
      <c r="O179" s="323">
        <f t="shared" si="92"/>
        <v>0</v>
      </c>
      <c r="P179" s="324">
        <f t="shared" si="80"/>
        <v>153.43505156495624</v>
      </c>
      <c r="Q179" s="325" t="str">
        <f t="shared" si="81"/>
        <v>R</v>
      </c>
      <c r="R179" s="323">
        <f t="shared" si="70"/>
        <v>5.7549129940080051E-4</v>
      </c>
      <c r="S179" s="323">
        <f t="shared" si="90"/>
        <v>89.79</v>
      </c>
      <c r="T179" s="323">
        <f t="shared" si="71"/>
        <v>2000.6064498020371</v>
      </c>
      <c r="U179" s="323">
        <f t="shared" si="72"/>
        <v>5.7749576282321565E-4</v>
      </c>
      <c r="V179" s="322">
        <f t="shared" si="93"/>
        <v>-8.3276454959250554E-2</v>
      </c>
      <c r="W179" s="323">
        <f t="shared" si="73"/>
        <v>1.3333333333321207E-3</v>
      </c>
      <c r="X179" s="323">
        <f t="shared" si="82"/>
        <v>-8.2787167988960575E-2</v>
      </c>
      <c r="Y179" s="323">
        <f t="shared" si="74"/>
        <v>4.1393583994443518E-2</v>
      </c>
      <c r="Z179" s="323">
        <f t="shared" si="96"/>
        <v>9.2558784656559617E-2</v>
      </c>
      <c r="AA179" s="326">
        <f t="shared" si="75"/>
        <v>0</v>
      </c>
      <c r="AB179" s="323" t="str">
        <f t="shared" si="87"/>
        <v/>
      </c>
      <c r="AC179" s="327"/>
      <c r="AD179" s="328">
        <f t="shared" si="76"/>
        <v>1.5671311353657087</v>
      </c>
      <c r="AE179" s="328">
        <f t="shared" si="76"/>
        <v>5.5808648161770682</v>
      </c>
      <c r="AF179" s="328">
        <f t="shared" si="77"/>
        <v>1.0000002174747746</v>
      </c>
      <c r="AG179" s="328">
        <f t="shared" si="78"/>
        <v>1.5671311353657087</v>
      </c>
      <c r="AH179" s="328">
        <f t="shared" si="83"/>
        <v>3.999999999996362E-2</v>
      </c>
      <c r="AI179" s="328">
        <f t="shared" si="84"/>
        <v>28.989999999999782</v>
      </c>
      <c r="AJ179" s="329">
        <f t="shared" si="85"/>
        <v>90.5920669252191</v>
      </c>
      <c r="AK179" s="329" cm="1">
        <f t="array" ref="AK179">IF(OR(E179="", H179=""), "",
  IFERROR(
     (
      INDEX($AM$3:$AM$22, MATCH(E179, $AL$3:$AL$22, 1)) +
      (E179 - INDEX($AL$3:$AL$22, MATCH(E179, $AL$3:$AL$22, 1))) *
      (INDEX($AM$3:$AM$22, MATCH(E179, $AL$3:$AL$22, 1)+1) - INDEX($AM$3:$AM$22, MATCH(E179, $AL$3:$AL$22, 1))) /
      (INDEX($AL$3:$AL$22, MATCH(E179, $AL$3:$AL$22, 1)+1) - INDEX($AL$3:$AL$22, MATCH(E179, $AL$3:$AL$22, 1)))
    ) - H179,
    ""
  )
)</f>
        <v>-0.51008798746556749</v>
      </c>
      <c r="AL179" s="341"/>
      <c r="AM179" s="342"/>
      <c r="AN179" s="343"/>
    </row>
    <row r="180" spans="1:40" s="315" customFormat="1" ht="15" customHeight="1" x14ac:dyDescent="0.35">
      <c r="A180" s="297">
        <f t="shared" si="101"/>
        <v>3</v>
      </c>
      <c r="B180" s="298">
        <f t="shared" si="101"/>
        <v>19</v>
      </c>
      <c r="C180" s="299">
        <f t="shared" si="91"/>
        <v>28.890000000000327</v>
      </c>
      <c r="D180" s="300">
        <v>4559.82</v>
      </c>
      <c r="E180" s="301">
        <f t="shared" si="88"/>
        <v>4540.82</v>
      </c>
      <c r="F180" s="302">
        <v>90.05</v>
      </c>
      <c r="G180" s="302">
        <v>319.62</v>
      </c>
      <c r="H180" s="303">
        <f t="shared" si="99"/>
        <v>2000.5771493573643</v>
      </c>
      <c r="I180" s="304">
        <f t="shared" si="79"/>
        <v>0.30664209715001212</v>
      </c>
      <c r="J180" s="302" t="str">
        <f t="shared" si="100"/>
        <v/>
      </c>
      <c r="K180" s="304" t="str">
        <f t="shared" si="86"/>
        <v/>
      </c>
      <c r="L180" s="302"/>
      <c r="M180" s="305"/>
      <c r="N180" s="304" t="str">
        <f t="shared" si="94"/>
        <v/>
      </c>
      <c r="O180" s="304">
        <f t="shared" si="92"/>
        <v>0</v>
      </c>
      <c r="P180" s="306">
        <f t="shared" si="80"/>
        <v>28.300711931166866</v>
      </c>
      <c r="Q180" s="307" t="str">
        <f t="shared" si="81"/>
        <v>L</v>
      </c>
      <c r="R180" s="304">
        <f t="shared" si="70"/>
        <v>3.2689982606353073E-5</v>
      </c>
      <c r="S180" s="304">
        <f t="shared" si="90"/>
        <v>90.05</v>
      </c>
      <c r="T180" s="304">
        <f t="shared" si="71"/>
        <v>2000.5605687315749</v>
      </c>
      <c r="U180" s="304">
        <f t="shared" si="72"/>
        <v>3.266293491416073E-5</v>
      </c>
      <c r="V180" s="303">
        <f t="shared" si="93"/>
        <v>-7.5795006720719177E-2</v>
      </c>
      <c r="W180" s="304">
        <f t="shared" si="73"/>
        <v>-4.6666666666662117E-3</v>
      </c>
      <c r="X180" s="304">
        <f t="shared" si="82"/>
        <v>0.26998961578399583</v>
      </c>
      <c r="Y180" s="304">
        <f t="shared" si="74"/>
        <v>-0.14537902388368096</v>
      </c>
      <c r="Z180" s="304">
        <f t="shared" si="96"/>
        <v>0.30664209715001212</v>
      </c>
      <c r="AA180" s="308">
        <f t="shared" si="75"/>
        <v>0</v>
      </c>
      <c r="AB180" s="304" t="str">
        <f t="shared" si="87"/>
        <v/>
      </c>
      <c r="AC180" s="309"/>
      <c r="AD180" s="310">
        <f t="shared" si="76"/>
        <v>1.5716689914208937</v>
      </c>
      <c r="AE180" s="310">
        <f t="shared" si="76"/>
        <v>5.5784213552242763</v>
      </c>
      <c r="AF180" s="310">
        <f t="shared" si="77"/>
        <v>1.0000023869223222</v>
      </c>
      <c r="AG180" s="310">
        <f t="shared" si="78"/>
        <v>1.5716689914208937</v>
      </c>
      <c r="AH180" s="310">
        <f t="shared" si="83"/>
        <v>-0.13999999999998636</v>
      </c>
      <c r="AI180" s="310">
        <f t="shared" si="84"/>
        <v>28.890000000000327</v>
      </c>
      <c r="AJ180" s="311">
        <f t="shared" si="85"/>
        <v>90.5920669252191</v>
      </c>
      <c r="AK180" s="311" cm="1">
        <f t="array" ref="AK180">IF(OR(E180="", H180=""), "",
  IFERROR(
     (
      INDEX($AM$3:$AM$22, MATCH(E180, $AL$3:$AL$22, 1)) +
      (E180 - INDEX($AL$3:$AL$22, MATCH(E180, $AL$3:$AL$22, 1))) *
      (INDEX($AM$3:$AM$22, MATCH(E180, $AL$3:$AL$22, 1)+1) - INDEX($AM$3:$AM$22, MATCH(E180, $AL$3:$AL$22, 1))) /
      (INDEX($AL$3:$AL$22, MATCH(E180, $AL$3:$AL$22, 1)+1) - INDEX($AL$3:$AL$22, MATCH(E180, $AL$3:$AL$22, 1)))
    ) - H180,
    ""
  )
)</f>
        <v>-0.84895602403094017</v>
      </c>
      <c r="AL180" s="338"/>
      <c r="AM180" s="339"/>
      <c r="AN180" s="340"/>
    </row>
    <row r="181" spans="1:40" s="315" customFormat="1" ht="15" customHeight="1" x14ac:dyDescent="0.35">
      <c r="A181" s="316">
        <f t="shared" si="101"/>
        <v>3</v>
      </c>
      <c r="B181" s="317">
        <f t="shared" si="101"/>
        <v>19</v>
      </c>
      <c r="C181" s="318">
        <f t="shared" si="91"/>
        <v>28.960000000000036</v>
      </c>
      <c r="D181" s="319">
        <v>4588.78</v>
      </c>
      <c r="E181" s="320">
        <f t="shared" si="88"/>
        <v>4569.78</v>
      </c>
      <c r="F181" s="321">
        <v>89.75</v>
      </c>
      <c r="G181" s="321">
        <v>318.88</v>
      </c>
      <c r="H181" s="322">
        <f t="shared" si="99"/>
        <v>2000.6276940668408</v>
      </c>
      <c r="I181" s="323">
        <f t="shared" si="79"/>
        <v>0.82717206131131749</v>
      </c>
      <c r="J181" s="321">
        <v>4602</v>
      </c>
      <c r="K181" s="323">
        <f t="shared" si="86"/>
        <v>4605</v>
      </c>
      <c r="L181" s="321">
        <v>3</v>
      </c>
      <c r="M181" s="333" t="s">
        <v>590</v>
      </c>
      <c r="N181" s="323" t="str">
        <f t="shared" si="94"/>
        <v/>
      </c>
      <c r="O181" s="323">
        <f t="shared" si="92"/>
        <v>0</v>
      </c>
      <c r="P181" s="324">
        <f t="shared" si="80"/>
        <v>112.06795273607131</v>
      </c>
      <c r="Q181" s="325" t="str">
        <f t="shared" si="81"/>
        <v>L</v>
      </c>
      <c r="R181" s="323">
        <f t="shared" si="70"/>
        <v>8.193165632541735E-4</v>
      </c>
      <c r="S181" s="323">
        <f t="shared" si="90"/>
        <v>89.75</v>
      </c>
      <c r="T181" s="323">
        <f t="shared" si="71"/>
        <v>2000.7105969432509</v>
      </c>
      <c r="U181" s="323">
        <f t="shared" si="72"/>
        <v>8.2273163305744614E-4</v>
      </c>
      <c r="V181" s="322">
        <f t="shared" si="93"/>
        <v>-8.6663547265305632E-2</v>
      </c>
      <c r="W181" s="323">
        <f t="shared" si="73"/>
        <v>-2.4666666666666968E-2</v>
      </c>
      <c r="X181" s="323">
        <f t="shared" si="82"/>
        <v>-0.31077348066298011</v>
      </c>
      <c r="Y181" s="323">
        <f t="shared" si="74"/>
        <v>-0.76657458563536762</v>
      </c>
      <c r="Z181" s="323">
        <f t="shared" si="96"/>
        <v>0.82717206131131749</v>
      </c>
      <c r="AA181" s="326">
        <f t="shared" si="75"/>
        <v>0</v>
      </c>
      <c r="AB181" s="323">
        <f t="shared" si="87"/>
        <v>26.079999999999927</v>
      </c>
      <c r="AC181" s="327"/>
      <c r="AD181" s="328">
        <f t="shared" si="76"/>
        <v>1.5664330036649108</v>
      </c>
      <c r="AE181" s="328">
        <f t="shared" si="76"/>
        <v>5.5655059187595182</v>
      </c>
      <c r="AF181" s="328">
        <f t="shared" si="77"/>
        <v>1.0000173689776106</v>
      </c>
      <c r="AG181" s="328">
        <f t="shared" si="78"/>
        <v>1.5664330036649108</v>
      </c>
      <c r="AH181" s="328">
        <f t="shared" si="83"/>
        <v>-0.74000000000000909</v>
      </c>
      <c r="AI181" s="328">
        <f t="shared" si="84"/>
        <v>28.960000000000036</v>
      </c>
      <c r="AJ181" s="329">
        <f t="shared" si="85"/>
        <v>90.5920669252191</v>
      </c>
      <c r="AK181" s="329" cm="1">
        <f t="array" ref="AK181">IF(OR(E181="", H181=""), "",
  IFERROR(
     (
      INDEX($AM$3:$AM$22, MATCH(E181, $AL$3:$AL$22, 1)) +
      (E181 - INDEX($AL$3:$AL$22, MATCH(E181, $AL$3:$AL$22, 1))) *
      (INDEX($AM$3:$AM$22, MATCH(E181, $AL$3:$AL$22, 1)+1) - INDEX($AM$3:$AM$22, MATCH(E181, $AL$3:$AL$22, 1))) /
      (INDEX($AL$3:$AL$22, MATCH(E181, $AL$3:$AL$22, 1)+1) - INDEX($AL$3:$AL$22, MATCH(E181, $AL$3:$AL$22, 1)))
    ) - H181,
    ""
  )
)</f>
        <v>-1.1987540668408201</v>
      </c>
      <c r="AL181" s="341"/>
      <c r="AM181" s="342"/>
      <c r="AN181" s="343"/>
    </row>
    <row r="182" spans="1:40" s="315" customFormat="1" ht="15" customHeight="1" x14ac:dyDescent="0.35">
      <c r="A182" s="297">
        <f t="shared" si="101"/>
        <v>3</v>
      </c>
      <c r="B182" s="298">
        <f t="shared" si="101"/>
        <v>19</v>
      </c>
      <c r="C182" s="299">
        <f t="shared" si="91"/>
        <v>29.079999999999927</v>
      </c>
      <c r="D182" s="300">
        <v>4617.8599999999997</v>
      </c>
      <c r="E182" s="301">
        <f t="shared" si="88"/>
        <v>4598.8599999999997</v>
      </c>
      <c r="F182" s="302">
        <v>90.5</v>
      </c>
      <c r="G182" s="302">
        <v>318.33999999999997</v>
      </c>
      <c r="H182" s="303">
        <f t="shared" si="99"/>
        <v>2000.5642513988582</v>
      </c>
      <c r="I182" s="304">
        <f t="shared" si="79"/>
        <v>0.95341021777867463</v>
      </c>
      <c r="J182" s="302" t="str">
        <f t="shared" ref="J182:J245" si="102">IF(L182="","",D182)</f>
        <v/>
      </c>
      <c r="K182" s="304" t="str">
        <f t="shared" si="86"/>
        <v/>
      </c>
      <c r="L182" s="302"/>
      <c r="M182" s="305"/>
      <c r="N182" s="304" t="str">
        <f t="shared" si="94"/>
        <v/>
      </c>
      <c r="O182" s="304">
        <f t="shared" si="92"/>
        <v>3</v>
      </c>
      <c r="P182" s="306">
        <f t="shared" si="80"/>
        <v>35.753628622407895</v>
      </c>
      <c r="Q182" s="307" t="str">
        <f t="shared" si="81"/>
        <v>L</v>
      </c>
      <c r="R182" s="304">
        <f t="shared" si="70"/>
        <v>3.2668733268987485E-3</v>
      </c>
      <c r="S182" s="304">
        <f t="shared" si="90"/>
        <v>90.254264991054725</v>
      </c>
      <c r="T182" s="304">
        <f t="shared" si="71"/>
        <v>2000.4391904304146</v>
      </c>
      <c r="U182" s="304">
        <f t="shared" si="72"/>
        <v>8.3958577406381782E-4</v>
      </c>
      <c r="V182" s="303">
        <f t="shared" si="93"/>
        <v>-8.1911669648425126E-2</v>
      </c>
      <c r="W182" s="304">
        <f t="shared" si="73"/>
        <v>-1.8000000000000682E-2</v>
      </c>
      <c r="X182" s="304">
        <f t="shared" si="82"/>
        <v>0.77372764786795245</v>
      </c>
      <c r="Y182" s="304">
        <f t="shared" si="74"/>
        <v>-0.55708390646494688</v>
      </c>
      <c r="Z182" s="304">
        <f t="shared" si="96"/>
        <v>0.95341021777867463</v>
      </c>
      <c r="AA182" s="308">
        <f t="shared" si="75"/>
        <v>0</v>
      </c>
      <c r="AB182" s="304" t="str">
        <f t="shared" si="87"/>
        <v/>
      </c>
      <c r="AC182" s="309"/>
      <c r="AD182" s="310">
        <f t="shared" si="76"/>
        <v>1.5795229730548683</v>
      </c>
      <c r="AE182" s="310">
        <f t="shared" si="76"/>
        <v>5.5560811407987485</v>
      </c>
      <c r="AF182" s="310">
        <f t="shared" si="77"/>
        <v>1.0000230751811257</v>
      </c>
      <c r="AG182" s="310">
        <f t="shared" si="78"/>
        <v>1.5752340880613556</v>
      </c>
      <c r="AH182" s="310">
        <f t="shared" si="83"/>
        <v>-0.54000000000002046</v>
      </c>
      <c r="AI182" s="310">
        <f t="shared" si="84"/>
        <v>29.079999999999927</v>
      </c>
      <c r="AJ182" s="311">
        <f t="shared" si="85"/>
        <v>90.5920669252191</v>
      </c>
      <c r="AK182" s="311" cm="1">
        <f t="array" ref="AK182">IF(OR(E182="", H182=""), "",
  IFERROR(
     (
      INDEX($AM$3:$AM$22, MATCH(E182, $AL$3:$AL$22, 1)) +
      (E182 - INDEX($AL$3:$AL$22, MATCH(E182, $AL$3:$AL$22, 1))) *
      (INDEX($AM$3:$AM$22, MATCH(E182, $AL$3:$AL$22, 1)+1) - INDEX($AM$3:$AM$22, MATCH(E182, $AL$3:$AL$22, 1))) /
      (INDEX($AL$3:$AL$22, MATCH(E182, $AL$3:$AL$22, 1)+1) - INDEX($AL$3:$AL$22, MATCH(E182, $AL$3:$AL$22, 1)))
    ) - H182,
    ""
  )
)</f>
        <v>-1.4358047321916274</v>
      </c>
      <c r="AL182" s="338"/>
      <c r="AM182" s="339"/>
      <c r="AN182" s="340"/>
    </row>
    <row r="183" spans="1:40" s="315" customFormat="1" ht="15" customHeight="1" x14ac:dyDescent="0.35">
      <c r="A183" s="316">
        <f t="shared" si="101"/>
        <v>3</v>
      </c>
      <c r="B183" s="317">
        <f t="shared" si="101"/>
        <v>19</v>
      </c>
      <c r="C183" s="318">
        <f t="shared" si="91"/>
        <v>29.069999999999709</v>
      </c>
      <c r="D183" s="319">
        <v>4646.9299999999994</v>
      </c>
      <c r="E183" s="320">
        <f t="shared" si="88"/>
        <v>4627.9299999999994</v>
      </c>
      <c r="F183" s="321">
        <v>91.68</v>
      </c>
      <c r="G183" s="321">
        <v>318.32</v>
      </c>
      <c r="H183" s="322">
        <f t="shared" si="99"/>
        <v>2000.0112544938927</v>
      </c>
      <c r="I183" s="323">
        <f t="shared" si="79"/>
        <v>1.2179250898192597</v>
      </c>
      <c r="J183" s="321" t="str">
        <f t="shared" si="102"/>
        <v/>
      </c>
      <c r="K183" s="323" t="str">
        <f t="shared" si="86"/>
        <v/>
      </c>
      <c r="L183" s="321"/>
      <c r="M183" s="333"/>
      <c r="N183" s="323">
        <f t="shared" si="94"/>
        <v>3</v>
      </c>
      <c r="O183" s="323">
        <f t="shared" si="92"/>
        <v>0</v>
      </c>
      <c r="P183" s="324">
        <f t="shared" si="80"/>
        <v>0.9708290828505094</v>
      </c>
      <c r="Q183" s="325" t="str">
        <f t="shared" si="81"/>
        <v>L</v>
      </c>
      <c r="R183" s="323">
        <f t="shared" si="70"/>
        <v>3.5888737304999398E-2</v>
      </c>
      <c r="S183" s="323">
        <f t="shared" si="90"/>
        <v>91.68</v>
      </c>
      <c r="T183" s="323">
        <f t="shared" si="71"/>
        <v>1999.4542252225203</v>
      </c>
      <c r="U183" s="323">
        <f t="shared" si="72"/>
        <v>3.4943343844516292E-2</v>
      </c>
      <c r="V183" s="322">
        <f t="shared" si="93"/>
        <v>0.39333333333333559</v>
      </c>
      <c r="W183" s="323">
        <f t="shared" si="73"/>
        <v>-6.6666666666606034E-3</v>
      </c>
      <c r="X183" s="323">
        <f t="shared" si="82"/>
        <v>1.2177502579979553</v>
      </c>
      <c r="Y183" s="323">
        <f t="shared" si="74"/>
        <v>-2.0639834881302385E-2</v>
      </c>
      <c r="Z183" s="323">
        <f t="shared" si="96"/>
        <v>11.801694120348509</v>
      </c>
      <c r="AA183" s="326">
        <f t="shared" si="75"/>
        <v>0.10319917440660578</v>
      </c>
      <c r="AB183" s="323" t="str">
        <f t="shared" si="87"/>
        <v/>
      </c>
      <c r="AC183" s="327"/>
      <c r="AD183" s="328">
        <f t="shared" si="76"/>
        <v>1.6001178582284015</v>
      </c>
      <c r="AE183" s="328">
        <f t="shared" si="76"/>
        <v>5.5557320749483496</v>
      </c>
      <c r="AF183" s="328">
        <f t="shared" si="77"/>
        <v>1.0000376560071462</v>
      </c>
      <c r="AG183" s="328">
        <f t="shared" si="78"/>
        <v>1.6001178582284015</v>
      </c>
      <c r="AH183" s="328">
        <f t="shared" si="83"/>
        <v>-1.999999999998181E-2</v>
      </c>
      <c r="AI183" s="328">
        <f t="shared" si="84"/>
        <v>29.069999999999709</v>
      </c>
      <c r="AJ183" s="329">
        <f t="shared" si="85"/>
        <v>90.5920669252191</v>
      </c>
      <c r="AK183" s="329" cm="1">
        <f t="array" ref="AK183">IF(OR(E183="", H183=""), "",
  IFERROR(
     (
      INDEX($AM$3:$AM$22, MATCH(E183, $AL$3:$AL$22, 1)) +
      (E183 - INDEX($AL$3:$AL$22, MATCH(E183, $AL$3:$AL$22, 1))) *
      (INDEX($AM$3:$AM$22, MATCH(E183, $AL$3:$AL$22, 1)+1) - INDEX($AM$3:$AM$22, MATCH(E183, $AL$3:$AL$22, 1))) /
      (INDEX($AL$3:$AL$22, MATCH(E183, $AL$3:$AL$22, 1)+1) - INDEX($AL$3:$AL$22, MATCH(E183, $AL$3:$AL$22, 1)))
    ) - H183,
    ""
  )
)</f>
        <v>-1.1831978272261949</v>
      </c>
      <c r="AL183" s="341"/>
      <c r="AM183" s="342"/>
      <c r="AN183" s="343"/>
    </row>
    <row r="184" spans="1:40" s="315" customFormat="1" ht="15" customHeight="1" x14ac:dyDescent="0.35">
      <c r="A184" s="297">
        <f t="shared" si="101"/>
        <v>3</v>
      </c>
      <c r="B184" s="298">
        <f t="shared" si="101"/>
        <v>19</v>
      </c>
      <c r="C184" s="299">
        <f t="shared" si="91"/>
        <v>29.050000000000182</v>
      </c>
      <c r="D184" s="300">
        <v>4675.9799999999996</v>
      </c>
      <c r="E184" s="301">
        <f t="shared" si="88"/>
        <v>4656.9799999999996</v>
      </c>
      <c r="F184" s="302">
        <v>92.39</v>
      </c>
      <c r="G184" s="302">
        <v>317.72000000000003</v>
      </c>
      <c r="H184" s="303">
        <f t="shared" si="99"/>
        <v>1998.9796894799385</v>
      </c>
      <c r="I184" s="304">
        <f t="shared" si="79"/>
        <v>0.95971404924398485</v>
      </c>
      <c r="J184" s="302" t="str">
        <f t="shared" si="102"/>
        <v/>
      </c>
      <c r="K184" s="304" t="str">
        <f t="shared" si="86"/>
        <v/>
      </c>
      <c r="L184" s="302"/>
      <c r="M184" s="305"/>
      <c r="N184" s="304" t="str">
        <f t="shared" si="94"/>
        <v/>
      </c>
      <c r="O184" s="304">
        <f t="shared" si="92"/>
        <v>0</v>
      </c>
      <c r="P184" s="306">
        <f t="shared" si="80"/>
        <v>40.182163042792936</v>
      </c>
      <c r="Q184" s="307" t="str">
        <f t="shared" si="81"/>
        <v>L</v>
      </c>
      <c r="R184" s="304">
        <f t="shared" si="70"/>
        <v>6.9162632800098114E-2</v>
      </c>
      <c r="S184" s="304">
        <f t="shared" si="90"/>
        <v>92.39</v>
      </c>
      <c r="T184" s="304">
        <f t="shared" si="71"/>
        <v>1998.1873652879585</v>
      </c>
      <c r="U184" s="304">
        <f t="shared" si="72"/>
        <v>6.6717617840785601E-2</v>
      </c>
      <c r="V184" s="303">
        <f t="shared" si="93"/>
        <v>7.4919372139868282E-2</v>
      </c>
      <c r="W184" s="304">
        <f t="shared" si="73"/>
        <v>-1.9999999999998862E-2</v>
      </c>
      <c r="X184" s="304">
        <f t="shared" si="82"/>
        <v>0.73321858864026435</v>
      </c>
      <c r="Y184" s="304">
        <f t="shared" si="74"/>
        <v>-0.61962134251286971</v>
      </c>
      <c r="Z184" s="304">
        <f t="shared" si="96"/>
        <v>0.95971404924398485</v>
      </c>
      <c r="AA184" s="308">
        <f t="shared" si="75"/>
        <v>0</v>
      </c>
      <c r="AB184" s="304" t="str">
        <f t="shared" si="87"/>
        <v/>
      </c>
      <c r="AC184" s="309" t="s">
        <v>611</v>
      </c>
      <c r="AD184" s="310">
        <f t="shared" si="76"/>
        <v>1.6125096959175611</v>
      </c>
      <c r="AE184" s="310">
        <f t="shared" si="76"/>
        <v>5.5452600994363843</v>
      </c>
      <c r="AF184" s="310">
        <f t="shared" si="77"/>
        <v>1.0000233813390285</v>
      </c>
      <c r="AG184" s="310">
        <f t="shared" si="78"/>
        <v>1.6125096959175611</v>
      </c>
      <c r="AH184" s="310">
        <f t="shared" si="83"/>
        <v>-0.59999999999996589</v>
      </c>
      <c r="AI184" s="310">
        <f t="shared" si="84"/>
        <v>29.050000000000182</v>
      </c>
      <c r="AJ184" s="311">
        <f t="shared" si="85"/>
        <v>90.40107373207249</v>
      </c>
      <c r="AK184" s="311" cm="1">
        <f t="array" ref="AK184">IF(OR(E184="", H184=""), "",
  IFERROR(
     (
      INDEX($AM$3:$AM$22, MATCH(E184, $AL$3:$AL$22, 1)) +
      (E184 - INDEX($AL$3:$AL$22, MATCH(E184, $AL$3:$AL$22, 1))) *
      (INDEX($AM$3:$AM$22, MATCH(E184, $AL$3:$AL$22, 1)+1) - INDEX($AM$3:$AM$22, MATCH(E184, $AL$3:$AL$22, 1))) /
      (INDEX($AL$3:$AL$22, MATCH(E184, $AL$3:$AL$22, 1)+1) - INDEX($AL$3:$AL$22, MATCH(E184, $AL$3:$AL$22, 1)))
    ) - H184,
    ""
  )
)</f>
        <v>-0.42854947993873793</v>
      </c>
      <c r="AL184" s="338"/>
      <c r="AM184" s="339"/>
      <c r="AN184" s="340"/>
    </row>
    <row r="185" spans="1:40" s="315" customFormat="1" ht="15" customHeight="1" x14ac:dyDescent="0.35">
      <c r="A185" s="316">
        <f t="shared" si="101"/>
        <v>3</v>
      </c>
      <c r="B185" s="317">
        <f t="shared" si="101"/>
        <v>19</v>
      </c>
      <c r="C185" s="318">
        <f t="shared" si="91"/>
        <v>29.090000000000146</v>
      </c>
      <c r="D185" s="319">
        <v>4705.07</v>
      </c>
      <c r="E185" s="320">
        <f t="shared" si="88"/>
        <v>4686.07</v>
      </c>
      <c r="F185" s="321">
        <v>93.21</v>
      </c>
      <c r="G185" s="321">
        <v>317.35000000000002</v>
      </c>
      <c r="H185" s="322">
        <f t="shared" si="99"/>
        <v>1997.5586496765841</v>
      </c>
      <c r="I185" s="323">
        <f t="shared" si="79"/>
        <v>0.92756424859216835</v>
      </c>
      <c r="J185" s="321">
        <f t="shared" si="102"/>
        <v>4705.07</v>
      </c>
      <c r="K185" s="323">
        <f t="shared" si="86"/>
        <v>4714.07</v>
      </c>
      <c r="L185" s="321">
        <v>9</v>
      </c>
      <c r="M185" s="333" t="s">
        <v>612</v>
      </c>
      <c r="N185" s="323" t="str">
        <f t="shared" si="94"/>
        <v/>
      </c>
      <c r="O185" s="323">
        <f t="shared" si="92"/>
        <v>0</v>
      </c>
      <c r="P185" s="324">
        <f t="shared" si="80"/>
        <v>24.2599915625797</v>
      </c>
      <c r="Q185" s="325" t="str">
        <f t="shared" si="81"/>
        <v>L</v>
      </c>
      <c r="R185" s="323">
        <f t="shared" si="70"/>
        <v>0.11705478018174265</v>
      </c>
      <c r="S185" s="323">
        <f t="shared" si="90"/>
        <v>93.21</v>
      </c>
      <c r="T185" s="323">
        <f t="shared" si="71"/>
        <v>1996.4947301429277</v>
      </c>
      <c r="U185" s="323">
        <f t="shared" si="72"/>
        <v>0.11188840503300411</v>
      </c>
      <c r="V185" s="322">
        <f t="shared" si="93"/>
        <v>0.12878034527492624</v>
      </c>
      <c r="W185" s="323">
        <f t="shared" si="73"/>
        <v>-1.2333333333333484E-2</v>
      </c>
      <c r="X185" s="323">
        <f t="shared" si="82"/>
        <v>0.84565142660707016</v>
      </c>
      <c r="Y185" s="323">
        <f t="shared" si="74"/>
        <v>-0.38157442420075904</v>
      </c>
      <c r="Z185" s="323">
        <f t="shared" si="96"/>
        <v>0.92756424859216835</v>
      </c>
      <c r="AA185" s="326">
        <f t="shared" si="75"/>
        <v>0</v>
      </c>
      <c r="AB185" s="323">
        <f t="shared" si="87"/>
        <v>20.039999999999964</v>
      </c>
      <c r="AC185" s="327"/>
      <c r="AD185" s="328">
        <f t="shared" si="76"/>
        <v>1.6268213957839144</v>
      </c>
      <c r="AE185" s="328">
        <f t="shared" si="76"/>
        <v>5.5388023812040048</v>
      </c>
      <c r="AF185" s="328">
        <f t="shared" si="77"/>
        <v>1.0000218410178494</v>
      </c>
      <c r="AG185" s="328">
        <f t="shared" si="78"/>
        <v>1.6268213957839144</v>
      </c>
      <c r="AH185" s="328">
        <f t="shared" si="83"/>
        <v>-0.37000000000000455</v>
      </c>
      <c r="AI185" s="328">
        <f t="shared" si="84"/>
        <v>29.090000000000146</v>
      </c>
      <c r="AJ185" s="329">
        <f t="shared" si="85"/>
        <v>90.40107373207249</v>
      </c>
      <c r="AK185" s="329" cm="1">
        <f t="array" ref="AK185">IF(OR(E185="", H185=""), "",
  IFERROR(
     (
      INDEX($AM$3:$AM$22, MATCH(E185, $AL$3:$AL$22, 1)) +
      (E185 - INDEX($AL$3:$AL$22, MATCH(E185, $AL$3:$AL$22, 1))) *
      (INDEX($AM$3:$AM$22, MATCH(E185, $AL$3:$AL$22, 1)+1) - INDEX($AM$3:$AM$22, MATCH(E185, $AL$3:$AL$22, 1))) /
      (INDEX($AL$3:$AL$22, MATCH(E185, $AL$3:$AL$22, 1)+1) - INDEX($AL$3:$AL$22, MATCH(E185, $AL$3:$AL$22, 1)))
    ) - H185,
    ""
  )
)</f>
        <v>0.78886032341574719</v>
      </c>
      <c r="AL185" s="341"/>
      <c r="AM185" s="342"/>
      <c r="AN185" s="343"/>
    </row>
    <row r="186" spans="1:40" s="315" customFormat="1" ht="15" customHeight="1" x14ac:dyDescent="0.35">
      <c r="A186" s="297">
        <f t="shared" si="101"/>
        <v>3</v>
      </c>
      <c r="B186" s="298">
        <f t="shared" si="101"/>
        <v>19</v>
      </c>
      <c r="C186" s="299">
        <f t="shared" si="91"/>
        <v>29.039999999999964</v>
      </c>
      <c r="D186" s="300">
        <v>4734.1099999999997</v>
      </c>
      <c r="E186" s="301">
        <f t="shared" si="88"/>
        <v>4715.1099999999997</v>
      </c>
      <c r="F186" s="302">
        <v>92.27</v>
      </c>
      <c r="G186" s="302">
        <v>320.93</v>
      </c>
      <c r="H186" s="303">
        <f t="shared" si="99"/>
        <v>1996.1704274447877</v>
      </c>
      <c r="I186" s="304">
        <f t="shared" si="79"/>
        <v>3.8195787634517053</v>
      </c>
      <c r="J186" s="302">
        <f t="shared" si="102"/>
        <v>4734.1099999999997</v>
      </c>
      <c r="K186" s="304">
        <f t="shared" si="86"/>
        <v>4740.1099999999997</v>
      </c>
      <c r="L186" s="302">
        <v>6</v>
      </c>
      <c r="M186" s="305" t="s">
        <v>613</v>
      </c>
      <c r="N186" s="304">
        <f t="shared" si="94"/>
        <v>9</v>
      </c>
      <c r="O186" s="304">
        <f t="shared" si="92"/>
        <v>0</v>
      </c>
      <c r="P186" s="306">
        <f t="shared" si="80"/>
        <v>104.7283185699561</v>
      </c>
      <c r="Q186" s="307" t="str">
        <f t="shared" si="81"/>
        <v>R</v>
      </c>
      <c r="R186" s="304">
        <f t="shared" si="70"/>
        <v>5.5217870472845577E-2</v>
      </c>
      <c r="S186" s="304">
        <f t="shared" si="90"/>
        <v>92.27</v>
      </c>
      <c r="T186" s="304">
        <f t="shared" si="71"/>
        <v>1995.4178638530127</v>
      </c>
      <c r="U186" s="304">
        <f t="shared" si="72"/>
        <v>5.3567694384103248E-2</v>
      </c>
      <c r="V186" s="303">
        <f t="shared" si="93"/>
        <v>-0.10444444444444419</v>
      </c>
      <c r="W186" s="304">
        <f t="shared" si="73"/>
        <v>0.39777777777777601</v>
      </c>
      <c r="X186" s="304">
        <f t="shared" si="82"/>
        <v>-0.97107438016528813</v>
      </c>
      <c r="Y186" s="304">
        <f t="shared" si="74"/>
        <v>3.6983471074380048</v>
      </c>
      <c r="Z186" s="304">
        <f t="shared" si="96"/>
        <v>12.324507476737487</v>
      </c>
      <c r="AA186" s="308">
        <f t="shared" si="75"/>
        <v>0.30991735537190124</v>
      </c>
      <c r="AB186" s="304">
        <f t="shared" si="87"/>
        <v>23.069999999999709</v>
      </c>
      <c r="AC186" s="309"/>
      <c r="AD186" s="310">
        <f t="shared" si="76"/>
        <v>1.6104153008151678</v>
      </c>
      <c r="AE186" s="310">
        <f t="shared" si="76"/>
        <v>5.6012851684254024</v>
      </c>
      <c r="AF186" s="310">
        <f t="shared" si="77"/>
        <v>1.0003705079053569</v>
      </c>
      <c r="AG186" s="310">
        <f t="shared" si="78"/>
        <v>1.6104153008151678</v>
      </c>
      <c r="AH186" s="310">
        <f t="shared" si="83"/>
        <v>3.5799999999999841</v>
      </c>
      <c r="AI186" s="310">
        <f t="shared" si="84"/>
        <v>29.039999999999964</v>
      </c>
      <c r="AJ186" s="311">
        <f t="shared" si="85"/>
        <v>90.40107373207249</v>
      </c>
      <c r="AK186" s="311" cm="1">
        <f t="array" ref="AK186">IF(OR(E186="", H186=""), "",
  IFERROR(
     (
      INDEX($AM$3:$AM$22, MATCH(E186, $AL$3:$AL$22, 1)) +
      (E186 - INDEX($AL$3:$AL$22, MATCH(E186, $AL$3:$AL$22, 1))) *
      (INDEX($AM$3:$AM$22, MATCH(E186, $AL$3:$AL$22, 1)+1) - INDEX($AM$3:$AM$22, MATCH(E186, $AL$3:$AL$22, 1))) /
      (INDEX($AL$3:$AL$22, MATCH(E186, $AL$3:$AL$22, 1)+1) - INDEX($AL$3:$AL$22, MATCH(E186, $AL$3:$AL$22, 1)))
    ) - H186,
    ""
  )
)</f>
        <v>1.9738025552121599</v>
      </c>
      <c r="AL186" s="338"/>
      <c r="AM186" s="339"/>
      <c r="AN186" s="340"/>
    </row>
    <row r="187" spans="1:40" s="315" customFormat="1" ht="15" customHeight="1" x14ac:dyDescent="0.35">
      <c r="A187" s="316">
        <f t="shared" si="101"/>
        <v>3</v>
      </c>
      <c r="B187" s="317">
        <f t="shared" si="101"/>
        <v>19</v>
      </c>
      <c r="C187" s="318">
        <f t="shared" si="91"/>
        <v>29.069999999999709</v>
      </c>
      <c r="D187" s="319">
        <v>4763.1799999999994</v>
      </c>
      <c r="E187" s="320">
        <f t="shared" si="88"/>
        <v>4744.1799999999994</v>
      </c>
      <c r="F187" s="321">
        <v>88.61</v>
      </c>
      <c r="G187" s="321">
        <v>322.5</v>
      </c>
      <c r="H187" s="322">
        <f t="shared" si="99"/>
        <v>1995.947188065056</v>
      </c>
      <c r="I187" s="323">
        <f t="shared" si="79"/>
        <v>4.1098047672663744</v>
      </c>
      <c r="J187" s="321" t="str">
        <f t="shared" si="102"/>
        <v/>
      </c>
      <c r="K187" s="323" t="str">
        <f t="shared" si="86"/>
        <v/>
      </c>
      <c r="L187" s="321"/>
      <c r="M187" s="333"/>
      <c r="N187" s="323">
        <f t="shared" si="94"/>
        <v>6</v>
      </c>
      <c r="O187" s="323">
        <f t="shared" si="92"/>
        <v>0</v>
      </c>
      <c r="P187" s="324">
        <f t="shared" si="80"/>
        <v>156.78666138236039</v>
      </c>
      <c r="Q187" s="325" t="str">
        <f t="shared" si="81"/>
        <v>R</v>
      </c>
      <c r="R187" s="323">
        <f t="shared" si="70"/>
        <v>2.0518350937474117E-2</v>
      </c>
      <c r="S187" s="323">
        <f t="shared" si="90"/>
        <v>88.61</v>
      </c>
      <c r="T187" s="323">
        <f t="shared" si="71"/>
        <v>1996.4080843072215</v>
      </c>
      <c r="U187" s="323">
        <f t="shared" si="72"/>
        <v>2.0909259659321978E-2</v>
      </c>
      <c r="V187" s="322">
        <f t="shared" si="93"/>
        <v>-0.60999999999999943</v>
      </c>
      <c r="W187" s="323">
        <f t="shared" si="73"/>
        <v>0.26166666666666555</v>
      </c>
      <c r="X187" s="323">
        <f t="shared" si="82"/>
        <v>-3.777089783281768</v>
      </c>
      <c r="Y187" s="323">
        <f t="shared" si="74"/>
        <v>1.6202270381837036</v>
      </c>
      <c r="Z187" s="323">
        <f t="shared" si="96"/>
        <v>19.912004097405386</v>
      </c>
      <c r="AA187" s="326">
        <f t="shared" si="75"/>
        <v>0.20639834881321156</v>
      </c>
      <c r="AB187" s="323" t="str">
        <f t="shared" si="87"/>
        <v/>
      </c>
      <c r="AC187" s="327"/>
      <c r="AD187" s="328">
        <f t="shared" si="76"/>
        <v>1.5465362501921753</v>
      </c>
      <c r="AE187" s="328">
        <f t="shared" si="76"/>
        <v>5.6286868376817125</v>
      </c>
      <c r="AF187" s="328">
        <f t="shared" si="77"/>
        <v>1.0004289823082466</v>
      </c>
      <c r="AG187" s="328">
        <f t="shared" si="78"/>
        <v>1.5465362501921753</v>
      </c>
      <c r="AH187" s="328">
        <f t="shared" si="83"/>
        <v>1.5699999999999932</v>
      </c>
      <c r="AI187" s="328">
        <f t="shared" si="84"/>
        <v>29.069999999999709</v>
      </c>
      <c r="AJ187" s="329">
        <f t="shared" si="85"/>
        <v>90.40107373207249</v>
      </c>
      <c r="AK187" s="329" cm="1">
        <f t="array" ref="AK187">IF(OR(E187="", H187=""), "",
  IFERROR(
     (
      INDEX($AM$3:$AM$22, MATCH(E187, $AL$3:$AL$22, 1)) +
      (E187 - INDEX($AL$3:$AL$22, MATCH(E187, $AL$3:$AL$22, 1))) *
      (INDEX($AM$3:$AM$22, MATCH(E187, $AL$3:$AL$22, 1)+1) - INDEX($AM$3:$AM$22, MATCH(E187, $AL$3:$AL$22, 1))) /
      (INDEX($AL$3:$AL$22, MATCH(E187, $AL$3:$AL$22, 1)+1) - INDEX($AL$3:$AL$22, MATCH(E187, $AL$3:$AL$22, 1)))
    ) - H187,
    ""
  )
)</f>
        <v>1.9935519349439801</v>
      </c>
      <c r="AL187" s="341"/>
      <c r="AM187" s="342"/>
      <c r="AN187" s="343"/>
    </row>
    <row r="188" spans="1:40" s="315" customFormat="1" ht="15" customHeight="1" x14ac:dyDescent="0.35">
      <c r="A188" s="297">
        <f t="shared" si="101"/>
        <v>3</v>
      </c>
      <c r="B188" s="298">
        <f t="shared" si="101"/>
        <v>19</v>
      </c>
      <c r="C188" s="299">
        <f t="shared" si="91"/>
        <v>29.100000000000364</v>
      </c>
      <c r="D188" s="300">
        <v>4792.28</v>
      </c>
      <c r="E188" s="301">
        <f t="shared" si="88"/>
        <v>4773.28</v>
      </c>
      <c r="F188" s="302">
        <v>88.15</v>
      </c>
      <c r="G188" s="302">
        <v>322.44</v>
      </c>
      <c r="H188" s="303">
        <f t="shared" si="99"/>
        <v>1996.7698615580709</v>
      </c>
      <c r="I188" s="304">
        <f t="shared" si="79"/>
        <v>0.47824063728958499</v>
      </c>
      <c r="J188" s="302" t="str">
        <f t="shared" si="102"/>
        <v/>
      </c>
      <c r="K188" s="304" t="str">
        <f t="shared" si="86"/>
        <v/>
      </c>
      <c r="L188" s="302"/>
      <c r="M188" s="305"/>
      <c r="N188" s="304" t="str">
        <f t="shared" si="94"/>
        <v/>
      </c>
      <c r="O188" s="304">
        <f t="shared" si="92"/>
        <v>0</v>
      </c>
      <c r="P188" s="306">
        <f t="shared" si="80"/>
        <v>172.57154890027471</v>
      </c>
      <c r="Q188" s="307" t="str">
        <f t="shared" si="81"/>
        <v>L</v>
      </c>
      <c r="R188" s="304">
        <f t="shared" si="70"/>
        <v>3.7599301423607519E-2</v>
      </c>
      <c r="S188" s="304">
        <f t="shared" si="90"/>
        <v>88.15</v>
      </c>
      <c r="T188" s="304">
        <f t="shared" si="71"/>
        <v>1997.3832381975606</v>
      </c>
      <c r="U188" s="304">
        <f t="shared" si="72"/>
        <v>3.8592658436554364E-2</v>
      </c>
      <c r="V188" s="303">
        <f t="shared" si="93"/>
        <v>-0.19522136638983914</v>
      </c>
      <c r="W188" s="304">
        <f t="shared" si="73"/>
        <v>-2.0000000000000759E-3</v>
      </c>
      <c r="X188" s="304">
        <f t="shared" si="82"/>
        <v>-0.47422680412369894</v>
      </c>
      <c r="Y188" s="304">
        <f t="shared" si="74"/>
        <v>-6.1855670103094354E-2</v>
      </c>
      <c r="Z188" s="304">
        <f t="shared" si="96"/>
        <v>0.47824063728958499</v>
      </c>
      <c r="AA188" s="308">
        <f t="shared" si="75"/>
        <v>0</v>
      </c>
      <c r="AB188" s="304" t="str">
        <f t="shared" si="87"/>
        <v/>
      </c>
      <c r="AC188" s="309"/>
      <c r="AD188" s="310">
        <f t="shared" si="76"/>
        <v>1.5385077356330017</v>
      </c>
      <c r="AE188" s="310">
        <f t="shared" si="76"/>
        <v>5.627639640130516</v>
      </c>
      <c r="AF188" s="310">
        <f t="shared" si="77"/>
        <v>1.0000058058988825</v>
      </c>
      <c r="AG188" s="310">
        <f t="shared" si="78"/>
        <v>1.5385077356330017</v>
      </c>
      <c r="AH188" s="310">
        <f t="shared" si="83"/>
        <v>-6.0000000000002274E-2</v>
      </c>
      <c r="AI188" s="310">
        <f t="shared" si="84"/>
        <v>29.100000000000364</v>
      </c>
      <c r="AJ188" s="311">
        <f t="shared" si="85"/>
        <v>90.40107373207249</v>
      </c>
      <c r="AK188" s="311" cm="1">
        <f t="array" ref="AK188">IF(OR(E188="", H188=""), "",
  IFERROR(
     (
      INDEX($AM$3:$AM$22, MATCH(E188, $AL$3:$AL$22, 1)) +
      (E188 - INDEX($AL$3:$AL$22, MATCH(E188, $AL$3:$AL$22, 1))) *
      (INDEX($AM$3:$AM$22, MATCH(E188, $AL$3:$AL$22, 1)+1) - INDEX($AM$3:$AM$22, MATCH(E188, $AL$3:$AL$22, 1))) /
      (INDEX($AL$3:$AL$22, MATCH(E188, $AL$3:$AL$22, 1)+1) - INDEX($AL$3:$AL$22, MATCH(E188, $AL$3:$AL$22, 1)))
    ) - H188,
    ""
  )
)</f>
        <v>0.96717844192903613</v>
      </c>
      <c r="AL188" s="338"/>
      <c r="AM188" s="339"/>
      <c r="AN188" s="340"/>
    </row>
    <row r="189" spans="1:40" s="315" customFormat="1" ht="15" customHeight="1" x14ac:dyDescent="0.35">
      <c r="A189" s="316">
        <f t="shared" si="101"/>
        <v>3</v>
      </c>
      <c r="B189" s="317">
        <f t="shared" si="101"/>
        <v>19</v>
      </c>
      <c r="C189" s="318">
        <f t="shared" si="91"/>
        <v>29.039999999999964</v>
      </c>
      <c r="D189" s="319">
        <v>4821.32</v>
      </c>
      <c r="E189" s="320">
        <f t="shared" si="88"/>
        <v>4802.32</v>
      </c>
      <c r="F189" s="321">
        <v>87.92</v>
      </c>
      <c r="G189" s="321">
        <v>321.37</v>
      </c>
      <c r="H189" s="322">
        <f t="shared" si="99"/>
        <v>1997.7656140342438</v>
      </c>
      <c r="I189" s="323">
        <f t="shared" si="79"/>
        <v>1.1299841215688264</v>
      </c>
      <c r="J189" s="321">
        <f t="shared" si="102"/>
        <v>4821.32</v>
      </c>
      <c r="K189" s="323">
        <f t="shared" si="86"/>
        <v>4823.32</v>
      </c>
      <c r="L189" s="321">
        <v>2</v>
      </c>
      <c r="M189" s="333" t="s">
        <v>594</v>
      </c>
      <c r="N189" s="323" t="str">
        <f t="shared" si="94"/>
        <v/>
      </c>
      <c r="O189" s="323">
        <f t="shared" si="92"/>
        <v>0</v>
      </c>
      <c r="P189" s="324">
        <f t="shared" si="80"/>
        <v>102.13825550557694</v>
      </c>
      <c r="Q189" s="325" t="str">
        <f t="shared" si="81"/>
        <v>L</v>
      </c>
      <c r="R189" s="323">
        <f t="shared" si="70"/>
        <v>4.9600979374143137E-2</v>
      </c>
      <c r="S189" s="323">
        <f t="shared" si="90"/>
        <v>87.92</v>
      </c>
      <c r="T189" s="323">
        <f t="shared" si="71"/>
        <v>1998.4552166604897</v>
      </c>
      <c r="U189" s="323">
        <f t="shared" si="72"/>
        <v>5.1145585393374347E-2</v>
      </c>
      <c r="V189" s="322">
        <f t="shared" si="93"/>
        <v>-0.30322193694476091</v>
      </c>
      <c r="W189" s="323">
        <f t="shared" si="73"/>
        <v>-3.5666666666666437E-2</v>
      </c>
      <c r="X189" s="323">
        <f t="shared" si="82"/>
        <v>-0.23760330578512837</v>
      </c>
      <c r="Y189" s="323">
        <f t="shared" si="74"/>
        <v>-1.1053719008264407</v>
      </c>
      <c r="Z189" s="323">
        <f t="shared" si="96"/>
        <v>1.1299841215688264</v>
      </c>
      <c r="AA189" s="326">
        <f t="shared" si="75"/>
        <v>0</v>
      </c>
      <c r="AB189" s="323">
        <f t="shared" si="87"/>
        <v>27.029999999999745</v>
      </c>
      <c r="AC189" s="327"/>
      <c r="AD189" s="328">
        <f t="shared" si="76"/>
        <v>1.5344934783534145</v>
      </c>
      <c r="AE189" s="328">
        <f t="shared" si="76"/>
        <v>5.6089646171341769</v>
      </c>
      <c r="AF189" s="328">
        <f t="shared" si="77"/>
        <v>1.0000324141817774</v>
      </c>
      <c r="AG189" s="328">
        <f t="shared" si="78"/>
        <v>1.5344934783534145</v>
      </c>
      <c r="AH189" s="328">
        <f t="shared" si="83"/>
        <v>-1.0699999999999932</v>
      </c>
      <c r="AI189" s="328">
        <f t="shared" si="84"/>
        <v>29.039999999999964</v>
      </c>
      <c r="AJ189" s="329">
        <f t="shared" si="85"/>
        <v>90.40107373207249</v>
      </c>
      <c r="AK189" s="329" cm="1">
        <f t="array" ref="AK189">IF(OR(E189="", H189=""), "",
  IFERROR(
     (
      INDEX($AM$3:$AM$22, MATCH(E189, $AL$3:$AL$22, 1)) +
      (E189 - INDEX($AL$3:$AL$22, MATCH(E189, $AL$3:$AL$22, 1))) *
      (INDEX($AM$3:$AM$22, MATCH(E189, $AL$3:$AL$22, 1)+1) - INDEX($AM$3:$AM$22, MATCH(E189, $AL$3:$AL$22, 1))) /
      (INDEX($AL$3:$AL$22, MATCH(E189, $AL$3:$AL$22, 1)+1) - INDEX($AL$3:$AL$22, MATCH(E189, $AL$3:$AL$22, 1)))
    ) - H189,
    ""
  )
)</f>
        <v>-0.23185403424372453</v>
      </c>
      <c r="AL189" s="341"/>
      <c r="AM189" s="342"/>
      <c r="AN189" s="343"/>
    </row>
    <row r="190" spans="1:40" s="315" customFormat="1" ht="15" customHeight="1" x14ac:dyDescent="0.35">
      <c r="A190" s="297">
        <f t="shared" si="101"/>
        <v>3</v>
      </c>
      <c r="B190" s="298">
        <f t="shared" si="101"/>
        <v>19</v>
      </c>
      <c r="C190" s="299">
        <f t="shared" si="91"/>
        <v>29.029999999999745</v>
      </c>
      <c r="D190" s="300">
        <v>4850.3499999999995</v>
      </c>
      <c r="E190" s="301">
        <f t="shared" si="88"/>
        <v>4831.3499999999995</v>
      </c>
      <c r="F190" s="302">
        <v>88.13</v>
      </c>
      <c r="G190" s="302">
        <v>322.12</v>
      </c>
      <c r="H190" s="303">
        <f t="shared" si="99"/>
        <v>1998.7660873166576</v>
      </c>
      <c r="I190" s="304">
        <f t="shared" si="79"/>
        <v>0.80442562926460792</v>
      </c>
      <c r="J190" s="302" t="str">
        <f t="shared" si="102"/>
        <v/>
      </c>
      <c r="K190" s="304" t="str">
        <f t="shared" si="86"/>
        <v/>
      </c>
      <c r="L190" s="302"/>
      <c r="M190" s="305"/>
      <c r="N190" s="304">
        <f t="shared" si="94"/>
        <v>2</v>
      </c>
      <c r="O190" s="304">
        <f t="shared" si="92"/>
        <v>0</v>
      </c>
      <c r="P190" s="306">
        <f t="shared" si="80"/>
        <v>74.34890294361081</v>
      </c>
      <c r="Q190" s="307" t="str">
        <f t="shared" si="81"/>
        <v>R</v>
      </c>
      <c r="R190" s="304">
        <f t="shared" si="70"/>
        <v>4.1928923112857543E-2</v>
      </c>
      <c r="S190" s="304">
        <f t="shared" si="90"/>
        <v>88.13</v>
      </c>
      <c r="T190" s="304">
        <f t="shared" si="71"/>
        <v>1999.3860927128646</v>
      </c>
      <c r="U190" s="304">
        <f t="shared" si="72"/>
        <v>4.3154353121354204E-2</v>
      </c>
      <c r="V190" s="303">
        <f t="shared" si="93"/>
        <v>0.10499999999999687</v>
      </c>
      <c r="W190" s="304">
        <f t="shared" si="73"/>
        <v>0.375</v>
      </c>
      <c r="X190" s="304">
        <f t="shared" si="82"/>
        <v>0.21701687909059136</v>
      </c>
      <c r="Y190" s="304">
        <f t="shared" si="74"/>
        <v>0.77506028246642089</v>
      </c>
      <c r="Z190" s="304">
        <f t="shared" si="96"/>
        <v>11.676238008775682</v>
      </c>
      <c r="AA190" s="308">
        <f t="shared" si="75"/>
        <v>6.8894247330348518E-2</v>
      </c>
      <c r="AB190" s="304" t="str">
        <f t="shared" si="87"/>
        <v/>
      </c>
      <c r="AC190" s="309"/>
      <c r="AD190" s="310">
        <f t="shared" si="76"/>
        <v>1.5381586697826026</v>
      </c>
      <c r="AE190" s="310">
        <f t="shared" si="76"/>
        <v>5.6220545865241345</v>
      </c>
      <c r="AF190" s="310">
        <f t="shared" si="77"/>
        <v>1.0000164268332183</v>
      </c>
      <c r="AG190" s="310">
        <f t="shared" si="78"/>
        <v>1.5381586697826026</v>
      </c>
      <c r="AH190" s="310">
        <f t="shared" si="83"/>
        <v>0.75</v>
      </c>
      <c r="AI190" s="310">
        <f t="shared" si="84"/>
        <v>29.029999999999745</v>
      </c>
      <c r="AJ190" s="311">
        <f t="shared" si="85"/>
        <v>90.40107373207249</v>
      </c>
      <c r="AK190" s="311" cm="1">
        <f t="array" ref="AK190">IF(OR(E190="", H190=""), "",
  IFERROR(
     (
      INDEX($AM$3:$AM$22, MATCH(E190, $AL$3:$AL$22, 1)) +
      (E190 - INDEX($AL$3:$AL$22, MATCH(E190, $AL$3:$AL$22, 1))) *
      (INDEX($AM$3:$AM$22, MATCH(E190, $AL$3:$AL$22, 1)+1) - INDEX($AM$3:$AM$22, MATCH(E190, $AL$3:$AL$22, 1))) /
      (INDEX($AL$3:$AL$22, MATCH(E190, $AL$3:$AL$22, 1)+1) - INDEX($AL$3:$AL$22, MATCH(E190, $AL$3:$AL$22, 1)))
    ) - H190,
    ""
  )
)</f>
        <v>-1.4355373166574736</v>
      </c>
      <c r="AL190" s="338"/>
      <c r="AM190" s="339"/>
      <c r="AN190" s="340"/>
    </row>
    <row r="191" spans="1:40" s="315" customFormat="1" ht="15" customHeight="1" x14ac:dyDescent="0.35">
      <c r="A191" s="316">
        <f t="shared" si="101"/>
        <v>3</v>
      </c>
      <c r="B191" s="317">
        <f t="shared" si="101"/>
        <v>19</v>
      </c>
      <c r="C191" s="318">
        <f t="shared" si="91"/>
        <v>29.079999999999927</v>
      </c>
      <c r="D191" s="319">
        <v>4879.4299999999994</v>
      </c>
      <c r="E191" s="320">
        <f t="shared" si="88"/>
        <v>4860.4299999999994</v>
      </c>
      <c r="F191" s="321">
        <v>87.55</v>
      </c>
      <c r="G191" s="321">
        <v>321.25</v>
      </c>
      <c r="H191" s="322">
        <f t="shared" si="99"/>
        <v>1999.8621178286992</v>
      </c>
      <c r="I191" s="323">
        <f t="shared" si="79"/>
        <v>1.0781559242867846</v>
      </c>
      <c r="J191" s="321">
        <f t="shared" si="102"/>
        <v>4879.4299999999994</v>
      </c>
      <c r="K191" s="323">
        <f t="shared" si="86"/>
        <v>4885.4299999999994</v>
      </c>
      <c r="L191" s="321">
        <v>6</v>
      </c>
      <c r="M191" s="333" t="s">
        <v>589</v>
      </c>
      <c r="N191" s="323" t="str">
        <f t="shared" si="94"/>
        <v/>
      </c>
      <c r="O191" s="323">
        <f t="shared" si="92"/>
        <v>0</v>
      </c>
      <c r="P191" s="324">
        <f t="shared" si="80"/>
        <v>123.70897988863251</v>
      </c>
      <c r="Q191" s="325" t="str">
        <f t="shared" si="81"/>
        <v>L</v>
      </c>
      <c r="R191" s="323">
        <f t="shared" si="70"/>
        <v>7.57708583317524E-2</v>
      </c>
      <c r="S191" s="323">
        <f t="shared" si="90"/>
        <v>87.55</v>
      </c>
      <c r="T191" s="323">
        <f t="shared" si="71"/>
        <v>2000.6743210283614</v>
      </c>
      <c r="U191" s="323">
        <f t="shared" si="72"/>
        <v>7.8859402198478298E-2</v>
      </c>
      <c r="V191" s="322">
        <f t="shared" si="93"/>
        <v>-0.13114776777820106</v>
      </c>
      <c r="W191" s="323">
        <f t="shared" si="73"/>
        <v>-2.9000000000000151E-2</v>
      </c>
      <c r="X191" s="323">
        <f t="shared" si="82"/>
        <v>-0.59834938101788149</v>
      </c>
      <c r="Y191" s="323">
        <f t="shared" si="74"/>
        <v>-0.89752407152682945</v>
      </c>
      <c r="Z191" s="323">
        <f t="shared" si="96"/>
        <v>1.0781559242867846</v>
      </c>
      <c r="AA191" s="326">
        <f t="shared" si="75"/>
        <v>0</v>
      </c>
      <c r="AB191" s="323">
        <f t="shared" si="87"/>
        <v>22.980000000000473</v>
      </c>
      <c r="AC191" s="327" t="s">
        <v>614</v>
      </c>
      <c r="AD191" s="328">
        <f t="shared" si="76"/>
        <v>1.5280357601210355</v>
      </c>
      <c r="AE191" s="328">
        <f t="shared" si="76"/>
        <v>5.6068702220317839</v>
      </c>
      <c r="AF191" s="328">
        <f t="shared" si="77"/>
        <v>1.0000295088316504</v>
      </c>
      <c r="AG191" s="328">
        <f t="shared" si="78"/>
        <v>1.5280357601210355</v>
      </c>
      <c r="AH191" s="328">
        <f t="shared" si="83"/>
        <v>-0.87000000000000455</v>
      </c>
      <c r="AI191" s="328">
        <f t="shared" si="84"/>
        <v>29.079999999999927</v>
      </c>
      <c r="AJ191" s="329">
        <f t="shared" si="85"/>
        <v>86.904522259308038</v>
      </c>
      <c r="AK191" s="329" cm="1">
        <f t="array" ref="AK191">IF(OR(E191="", H191=""), "",
  IFERROR(
     (
      INDEX($AM$3:$AM$22, MATCH(E191, $AL$3:$AL$22, 1)) +
      (E191 - INDEX($AL$3:$AL$22, MATCH(E191, $AL$3:$AL$22, 1))) *
      (INDEX($AM$3:$AM$22, MATCH(E191, $AL$3:$AL$22, 1)+1) - INDEX($AM$3:$AM$22, MATCH(E191, $AL$3:$AL$22, 1))) /
      (INDEX($AL$3:$AL$22, MATCH(E191, $AL$3:$AL$22, 1)+1) - INDEX($AL$3:$AL$22, MATCH(E191, $AL$3:$AL$22, 1)))
    ) - H191,
    ""
  )
)</f>
        <v>-2.0988978286991369</v>
      </c>
      <c r="AL191" s="341"/>
      <c r="AM191" s="342"/>
      <c r="AN191" s="343"/>
    </row>
    <row r="192" spans="1:40" s="315" customFormat="1" ht="15" customHeight="1" x14ac:dyDescent="0.35">
      <c r="A192" s="297">
        <f t="shared" si="101"/>
        <v>3</v>
      </c>
      <c r="B192" s="298">
        <f t="shared" si="101"/>
        <v>19</v>
      </c>
      <c r="C192" s="299">
        <f t="shared" si="91"/>
        <v>28.980000000000473</v>
      </c>
      <c r="D192" s="300">
        <v>4908.41</v>
      </c>
      <c r="E192" s="301">
        <f t="shared" si="88"/>
        <v>4889.41</v>
      </c>
      <c r="F192" s="302">
        <v>90.18</v>
      </c>
      <c r="G192" s="302">
        <v>322.79000000000002</v>
      </c>
      <c r="H192" s="303">
        <f t="shared" si="99"/>
        <v>2000.4361592167179</v>
      </c>
      <c r="I192" s="304">
        <f t="shared" si="79"/>
        <v>3.1547443090705376</v>
      </c>
      <c r="J192" s="302" t="str">
        <f t="shared" si="102"/>
        <v/>
      </c>
      <c r="K192" s="304" t="str">
        <f t="shared" si="86"/>
        <v/>
      </c>
      <c r="L192" s="302"/>
      <c r="M192" s="305"/>
      <c r="N192" s="304">
        <f t="shared" si="94"/>
        <v>6</v>
      </c>
      <c r="O192" s="304">
        <f t="shared" si="92"/>
        <v>0</v>
      </c>
      <c r="P192" s="306">
        <f t="shared" si="80"/>
        <v>30.344064895115164</v>
      </c>
      <c r="Q192" s="307" t="str">
        <f t="shared" si="81"/>
        <v>R</v>
      </c>
      <c r="R192" s="304">
        <f t="shared" si="70"/>
        <v>4.2069951339651981E-4</v>
      </c>
      <c r="S192" s="304">
        <f t="shared" si="90"/>
        <v>90.18</v>
      </c>
      <c r="T192" s="304">
        <f t="shared" si="71"/>
        <v>2000.3764690544863</v>
      </c>
      <c r="U192" s="304">
        <f t="shared" si="72"/>
        <v>4.1945781024027784E-4</v>
      </c>
      <c r="V192" s="303">
        <f t="shared" si="93"/>
        <v>0.43833333333333496</v>
      </c>
      <c r="W192" s="304">
        <f t="shared" si="73"/>
        <v>0.2566666666666701</v>
      </c>
      <c r="X192" s="304">
        <f t="shared" si="82"/>
        <v>2.7225672877846447</v>
      </c>
      <c r="Y192" s="304">
        <f t="shared" si="74"/>
        <v>1.5942028985507197</v>
      </c>
      <c r="Z192" s="304">
        <f t="shared" si="96"/>
        <v>15.237415012810946</v>
      </c>
      <c r="AA192" s="308">
        <f t="shared" si="75"/>
        <v>0.20703933747411671</v>
      </c>
      <c r="AB192" s="304" t="str">
        <f t="shared" si="87"/>
        <v/>
      </c>
      <c r="AC192" s="309" t="s">
        <v>615</v>
      </c>
      <c r="AD192" s="310">
        <f t="shared" si="76"/>
        <v>1.5739379194484866</v>
      </c>
      <c r="AE192" s="310">
        <f t="shared" si="76"/>
        <v>5.6337482925124966</v>
      </c>
      <c r="AF192" s="310">
        <f t="shared" si="77"/>
        <v>1.0002527164456967</v>
      </c>
      <c r="AG192" s="310">
        <f t="shared" si="78"/>
        <v>1.5739379194484866</v>
      </c>
      <c r="AH192" s="310">
        <f t="shared" si="83"/>
        <v>1.5400000000000205</v>
      </c>
      <c r="AI192" s="310">
        <f t="shared" si="84"/>
        <v>28.980000000000473</v>
      </c>
      <c r="AJ192" s="311">
        <f t="shared" si="85"/>
        <v>86.904522259308038</v>
      </c>
      <c r="AK192" s="311" cm="1">
        <f t="array" ref="AK192">IF(OR(E192="", H192=""), "",
  IFERROR(
     (
      INDEX($AM$3:$AM$22, MATCH(E192, $AL$3:$AL$22, 1)) +
      (E192 - INDEX($AL$3:$AL$22, MATCH(E192, $AL$3:$AL$22, 1))) *
      (INDEX($AM$3:$AM$22, MATCH(E192, $AL$3:$AL$22, 1)+1) - INDEX($AM$3:$AM$22, MATCH(E192, $AL$3:$AL$22, 1))) /
      (INDEX($AL$3:$AL$22, MATCH(E192, $AL$3:$AL$22, 1)+1) - INDEX($AL$3:$AL$22, MATCH(E192, $AL$3:$AL$22, 1)))
    ) - H192,
    ""
  )
)</f>
        <v>-1.1080192167178211</v>
      </c>
      <c r="AL192" s="338"/>
      <c r="AM192" s="339"/>
      <c r="AN192" s="340"/>
    </row>
    <row r="193" spans="1:40" s="315" customFormat="1" ht="15" customHeight="1" x14ac:dyDescent="0.35">
      <c r="A193" s="316">
        <f t="shared" ref="A193:B208" si="103">+A192</f>
        <v>3</v>
      </c>
      <c r="B193" s="317">
        <f t="shared" si="103"/>
        <v>19</v>
      </c>
      <c r="C193" s="318">
        <f t="shared" si="91"/>
        <v>29.050000000000182</v>
      </c>
      <c r="D193" s="319">
        <v>4937.46</v>
      </c>
      <c r="E193" s="320">
        <f t="shared" si="88"/>
        <v>4918.46</v>
      </c>
      <c r="F193" s="321">
        <v>90.5</v>
      </c>
      <c r="G193" s="321">
        <v>322.18</v>
      </c>
      <c r="H193" s="322">
        <f t="shared" si="99"/>
        <v>2000.2637740582245</v>
      </c>
      <c r="I193" s="323">
        <f t="shared" si="79"/>
        <v>0.7113556531846893</v>
      </c>
      <c r="J193" s="321" t="str">
        <f t="shared" si="102"/>
        <v/>
      </c>
      <c r="K193" s="323" t="str">
        <f t="shared" si="86"/>
        <v/>
      </c>
      <c r="L193" s="321"/>
      <c r="M193" s="333"/>
      <c r="N193" s="323" t="str">
        <f t="shared" si="94"/>
        <v/>
      </c>
      <c r="O193" s="323">
        <f t="shared" si="92"/>
        <v>0</v>
      </c>
      <c r="P193" s="324">
        <f t="shared" si="80"/>
        <v>62.318492784307452</v>
      </c>
      <c r="Q193" s="325" t="str">
        <f t="shared" si="81"/>
        <v>L</v>
      </c>
      <c r="R193" s="323">
        <f t="shared" si="70"/>
        <v>3.218603730944008E-3</v>
      </c>
      <c r="S193" s="323">
        <f t="shared" si="90"/>
        <v>90.5</v>
      </c>
      <c r="T193" s="323">
        <f t="shared" si="71"/>
        <v>2000.0979698837555</v>
      </c>
      <c r="U193" s="323">
        <f t="shared" si="72"/>
        <v>3.1925742142802273E-3</v>
      </c>
      <c r="V193" s="322">
        <f t="shared" si="93"/>
        <v>0.13739518851837693</v>
      </c>
      <c r="W193" s="323">
        <f t="shared" si="73"/>
        <v>-2.033333333333379E-2</v>
      </c>
      <c r="X193" s="323">
        <f t="shared" si="82"/>
        <v>0.33046471600687555</v>
      </c>
      <c r="Y193" s="323">
        <f t="shared" si="74"/>
        <v>-0.6299483648881341</v>
      </c>
      <c r="Z193" s="323">
        <f t="shared" si="96"/>
        <v>0.7113556531846893</v>
      </c>
      <c r="AA193" s="326">
        <f t="shared" si="75"/>
        <v>0</v>
      </c>
      <c r="AB193" s="323" t="str">
        <f t="shared" si="87"/>
        <v/>
      </c>
      <c r="AC193" s="327"/>
      <c r="AD193" s="328">
        <f t="shared" si="76"/>
        <v>1.5795229730548683</v>
      </c>
      <c r="AE193" s="328">
        <f t="shared" si="76"/>
        <v>5.623101784075331</v>
      </c>
      <c r="AF193" s="328">
        <f t="shared" si="77"/>
        <v>1.0000128455811792</v>
      </c>
      <c r="AG193" s="328">
        <f t="shared" si="78"/>
        <v>1.5795229730548683</v>
      </c>
      <c r="AH193" s="328">
        <f t="shared" si="83"/>
        <v>-0.61000000000001364</v>
      </c>
      <c r="AI193" s="328">
        <f t="shared" si="84"/>
        <v>29.050000000000182</v>
      </c>
      <c r="AJ193" s="329">
        <f t="shared" si="85"/>
        <v>90</v>
      </c>
      <c r="AK193" s="329" cm="1">
        <f t="array" ref="AK193">IF(OR(E193="", H193=""), "",
  IFERROR(
     (
      INDEX($AM$3:$AM$22, MATCH(E193, $AL$3:$AL$22, 1)) +
      (E193 - INDEX($AL$3:$AL$22, MATCH(E193, $AL$3:$AL$22, 1))) *
      (INDEX($AM$3:$AM$22, MATCH(E193, $AL$3:$AL$22, 1)+1) - INDEX($AM$3:$AM$22, MATCH(E193, $AL$3:$AL$22, 1))) /
      (INDEX($AL$3:$AL$22, MATCH(E193, $AL$3:$AL$22, 1)+1) - INDEX($AL$3:$AL$22, MATCH(E193, $AL$3:$AL$22, 1)))
    ) - H193,
    ""
  )
)</f>
        <v>-0.36377405822440778</v>
      </c>
      <c r="AL193" s="341"/>
      <c r="AM193" s="342"/>
      <c r="AN193" s="343"/>
    </row>
    <row r="194" spans="1:40" s="315" customFormat="1" ht="15" customHeight="1" x14ac:dyDescent="0.35">
      <c r="A194" s="297">
        <f t="shared" si="103"/>
        <v>3</v>
      </c>
      <c r="B194" s="298">
        <f t="shared" si="103"/>
        <v>19</v>
      </c>
      <c r="C194" s="299">
        <f t="shared" si="91"/>
        <v>29.029999999999745</v>
      </c>
      <c r="D194" s="300">
        <v>4966.49</v>
      </c>
      <c r="E194" s="301">
        <f t="shared" si="88"/>
        <v>4947.49</v>
      </c>
      <c r="F194" s="302">
        <v>89.32</v>
      </c>
      <c r="G194" s="302">
        <v>319.43</v>
      </c>
      <c r="H194" s="303">
        <f t="shared" si="99"/>
        <v>2000.309374256839</v>
      </c>
      <c r="I194" s="304">
        <f t="shared" si="79"/>
        <v>3.092414167585535</v>
      </c>
      <c r="J194" s="302" t="str">
        <f t="shared" si="102"/>
        <v/>
      </c>
      <c r="K194" s="304" t="str">
        <f t="shared" si="86"/>
        <v/>
      </c>
      <c r="L194" s="302"/>
      <c r="M194" s="305"/>
      <c r="N194" s="304" t="str">
        <f t="shared" si="94"/>
        <v/>
      </c>
      <c r="O194" s="304">
        <f t="shared" si="92"/>
        <v>0</v>
      </c>
      <c r="P194" s="306">
        <f t="shared" si="80"/>
        <v>113.2241238451806</v>
      </c>
      <c r="Q194" s="307" t="str">
        <f t="shared" si="81"/>
        <v>L</v>
      </c>
      <c r="R194" s="304">
        <f t="shared" si="70"/>
        <v>5.9664760743367625E-3</v>
      </c>
      <c r="S194" s="304">
        <f t="shared" si="90"/>
        <v>89.32</v>
      </c>
      <c r="T194" s="304">
        <f t="shared" si="71"/>
        <v>2000.5348655025111</v>
      </c>
      <c r="U194" s="304">
        <f t="shared" si="72"/>
        <v>6.0335271136629032E-3</v>
      </c>
      <c r="V194" s="303">
        <f t="shared" si="93"/>
        <v>0.14819358469117028</v>
      </c>
      <c r="W194" s="304">
        <f t="shared" si="73"/>
        <v>-9.166666666666666E-2</v>
      </c>
      <c r="X194" s="304">
        <f t="shared" si="82"/>
        <v>-1.2194281777471758</v>
      </c>
      <c r="Y194" s="304">
        <f t="shared" si="74"/>
        <v>-2.8418877023768765</v>
      </c>
      <c r="Z194" s="304">
        <f t="shared" si="96"/>
        <v>3.092414167585535</v>
      </c>
      <c r="AA194" s="308">
        <f t="shared" si="75"/>
        <v>0</v>
      </c>
      <c r="AB194" s="304" t="str">
        <f t="shared" si="87"/>
        <v/>
      </c>
      <c r="AC194" s="309"/>
      <c r="AD194" s="310">
        <f t="shared" si="76"/>
        <v>1.558928087881335</v>
      </c>
      <c r="AE194" s="310">
        <f t="shared" si="76"/>
        <v>5.5751052296454873</v>
      </c>
      <c r="AF194" s="310">
        <f t="shared" si="77"/>
        <v>1.0002428260801888</v>
      </c>
      <c r="AG194" s="310">
        <f t="shared" si="78"/>
        <v>1.558928087881335</v>
      </c>
      <c r="AH194" s="310">
        <f t="shared" si="83"/>
        <v>-2.75</v>
      </c>
      <c r="AI194" s="310">
        <f t="shared" si="84"/>
        <v>29.029999999999745</v>
      </c>
      <c r="AJ194" s="311">
        <f t="shared" si="85"/>
        <v>90</v>
      </c>
      <c r="AK194" s="311" cm="1">
        <f t="array" ref="AK194">IF(OR(E194="", H194=""), "",
  IFERROR(
     (
      INDEX($AM$3:$AM$22, MATCH(E194, $AL$3:$AL$22, 1)) +
      (E194 - INDEX($AL$3:$AL$22, MATCH(E194, $AL$3:$AL$22, 1))) *
      (INDEX($AM$3:$AM$22, MATCH(E194, $AL$3:$AL$22, 1)+1) - INDEX($AM$3:$AM$22, MATCH(E194, $AL$3:$AL$22, 1))) /
      (INDEX($AL$3:$AL$22, MATCH(E194, $AL$3:$AL$22, 1)+1) - INDEX($AL$3:$AL$22, MATCH(E194, $AL$3:$AL$22, 1)))
    ) - H194,
    ""
  )
)</f>
        <v>-0.40937425683887341</v>
      </c>
      <c r="AL194" s="338"/>
      <c r="AM194" s="339"/>
      <c r="AN194" s="340"/>
    </row>
    <row r="195" spans="1:40" s="315" customFormat="1" ht="15" customHeight="1" x14ac:dyDescent="0.35">
      <c r="A195" s="316">
        <f t="shared" si="103"/>
        <v>3</v>
      </c>
      <c r="B195" s="317">
        <f t="shared" si="103"/>
        <v>19</v>
      </c>
      <c r="C195" s="318">
        <f t="shared" si="91"/>
        <v>29.030000000000655</v>
      </c>
      <c r="D195" s="319">
        <v>4995.5200000000004</v>
      </c>
      <c r="E195" s="320">
        <f t="shared" si="88"/>
        <v>4976.5200000000004</v>
      </c>
      <c r="F195" s="321">
        <v>89.85</v>
      </c>
      <c r="G195" s="321">
        <v>319.43</v>
      </c>
      <c r="H195" s="322">
        <f t="shared" si="99"/>
        <v>2000.5196400872769</v>
      </c>
      <c r="I195" s="323">
        <f t="shared" si="79"/>
        <v>0.54770926627640359</v>
      </c>
      <c r="J195" s="321" t="str">
        <f t="shared" si="102"/>
        <v/>
      </c>
      <c r="K195" s="323" t="str">
        <f t="shared" si="86"/>
        <v/>
      </c>
      <c r="L195" s="321"/>
      <c r="M195" s="333"/>
      <c r="N195" s="323" t="str">
        <f t="shared" si="94"/>
        <v/>
      </c>
      <c r="O195" s="323">
        <f t="shared" si="92"/>
        <v>0</v>
      </c>
      <c r="P195" s="324" t="str">
        <f t="shared" si="80"/>
        <v>H/S</v>
      </c>
      <c r="Q195" s="325" t="str">
        <f t="shared" si="81"/>
        <v/>
      </c>
      <c r="R195" s="323">
        <f t="shared" si="70"/>
        <v>2.9336709041974298E-4</v>
      </c>
      <c r="S195" s="323">
        <f t="shared" si="90"/>
        <v>89.85</v>
      </c>
      <c r="T195" s="323">
        <f t="shared" si="71"/>
        <v>2000.5693819141379</v>
      </c>
      <c r="U195" s="323">
        <f t="shared" si="72"/>
        <v>2.9409560588321119E-4</v>
      </c>
      <c r="V195" s="322">
        <f t="shared" si="93"/>
        <v>0.24130736884762741</v>
      </c>
      <c r="W195" s="323">
        <f t="shared" si="73"/>
        <v>0</v>
      </c>
      <c r="X195" s="323">
        <f t="shared" si="82"/>
        <v>0.54770926627625471</v>
      </c>
      <c r="Y195" s="323">
        <f t="shared" si="74"/>
        <v>0</v>
      </c>
      <c r="Z195" s="323">
        <f t="shared" si="96"/>
        <v>0.54770926627640359</v>
      </c>
      <c r="AA195" s="326">
        <f t="shared" si="75"/>
        <v>0</v>
      </c>
      <c r="AB195" s="323" t="str">
        <f t="shared" si="87"/>
        <v/>
      </c>
      <c r="AC195" s="327"/>
      <c r="AD195" s="328">
        <f t="shared" si="76"/>
        <v>1.568178332916905</v>
      </c>
      <c r="AE195" s="328">
        <f t="shared" si="76"/>
        <v>5.5751052296454873</v>
      </c>
      <c r="AF195" s="328">
        <f t="shared" si="77"/>
        <v>1.0000076151354893</v>
      </c>
      <c r="AG195" s="328">
        <f t="shared" si="78"/>
        <v>1.568178332916905</v>
      </c>
      <c r="AH195" s="328">
        <f t="shared" si="83"/>
        <v>0</v>
      </c>
      <c r="AI195" s="328">
        <f t="shared" si="84"/>
        <v>29.030000000000655</v>
      </c>
      <c r="AJ195" s="329">
        <f t="shared" si="85"/>
        <v>90</v>
      </c>
      <c r="AK195" s="329" cm="1">
        <f t="array" ref="AK195">IF(OR(E195="", H195=""), "",
  IFERROR(
     (
      INDEX($AM$3:$AM$22, MATCH(E195, $AL$3:$AL$22, 1)) +
      (E195 - INDEX($AL$3:$AL$22, MATCH(E195, $AL$3:$AL$22, 1))) *
      (INDEX($AM$3:$AM$22, MATCH(E195, $AL$3:$AL$22, 1)+1) - INDEX($AM$3:$AM$22, MATCH(E195, $AL$3:$AL$22, 1))) /
      (INDEX($AL$3:$AL$22, MATCH(E195, $AL$3:$AL$22, 1)+1) - INDEX($AL$3:$AL$22, MATCH(E195, $AL$3:$AL$22, 1)))
    ) - H195,
    ""
  )
)</f>
        <v>-0.61964008727682085</v>
      </c>
      <c r="AL195" s="341"/>
      <c r="AM195" s="342"/>
      <c r="AN195" s="343"/>
    </row>
    <row r="196" spans="1:40" s="315" customFormat="1" ht="15" customHeight="1" x14ac:dyDescent="0.35">
      <c r="A196" s="297">
        <f t="shared" si="103"/>
        <v>3</v>
      </c>
      <c r="B196" s="298">
        <f t="shared" si="103"/>
        <v>19</v>
      </c>
      <c r="C196" s="299">
        <f t="shared" si="91"/>
        <v>28.989999999999782</v>
      </c>
      <c r="D196" s="300">
        <v>5024.51</v>
      </c>
      <c r="E196" s="301">
        <f t="shared" si="88"/>
        <v>5005.51</v>
      </c>
      <c r="F196" s="302">
        <v>90.16</v>
      </c>
      <c r="G196" s="302">
        <v>318.69</v>
      </c>
      <c r="H196" s="303">
        <f t="shared" si="99"/>
        <v>2000.5171102325294</v>
      </c>
      <c r="I196" s="304">
        <f t="shared" si="79"/>
        <v>0.83026043349169132</v>
      </c>
      <c r="J196" s="302">
        <f t="shared" si="102"/>
        <v>5024.51</v>
      </c>
      <c r="K196" s="304">
        <f t="shared" si="86"/>
        <v>5029.51</v>
      </c>
      <c r="L196" s="302">
        <v>5</v>
      </c>
      <c r="M196" s="305" t="s">
        <v>579</v>
      </c>
      <c r="N196" s="304" t="str">
        <f t="shared" si="94"/>
        <v/>
      </c>
      <c r="O196" s="304">
        <f t="shared" si="92"/>
        <v>0</v>
      </c>
      <c r="P196" s="306">
        <f t="shared" si="80"/>
        <v>67.270242936437512</v>
      </c>
      <c r="Q196" s="307" t="str">
        <f t="shared" si="81"/>
        <v>L</v>
      </c>
      <c r="R196" s="304">
        <f t="shared" si="70"/>
        <v>3.337444826391291E-4</v>
      </c>
      <c r="S196" s="304">
        <f t="shared" si="90"/>
        <v>90.16</v>
      </c>
      <c r="T196" s="304">
        <f t="shared" si="71"/>
        <v>2000.4640522922282</v>
      </c>
      <c r="U196" s="304">
        <f t="shared" si="72"/>
        <v>3.3286507059988933E-4</v>
      </c>
      <c r="V196" s="303">
        <f t="shared" si="93"/>
        <v>0.17563204735239155</v>
      </c>
      <c r="W196" s="304">
        <f t="shared" si="73"/>
        <v>-2.4666666666666968E-2</v>
      </c>
      <c r="X196" s="304">
        <f t="shared" si="82"/>
        <v>0.32080027595723137</v>
      </c>
      <c r="Y196" s="304">
        <f t="shared" si="74"/>
        <v>-0.76578130389791099</v>
      </c>
      <c r="Z196" s="304">
        <f t="shared" si="96"/>
        <v>0.83026043349169132</v>
      </c>
      <c r="AA196" s="308">
        <f t="shared" si="75"/>
        <v>0</v>
      </c>
      <c r="AB196" s="304">
        <f t="shared" si="87"/>
        <v>24.079999999999927</v>
      </c>
      <c r="AC196" s="309"/>
      <c r="AD196" s="310">
        <f t="shared" si="76"/>
        <v>1.5735888535980875</v>
      </c>
      <c r="AE196" s="310">
        <f t="shared" si="76"/>
        <v>5.5621897931807291</v>
      </c>
      <c r="AF196" s="310">
        <f t="shared" si="77"/>
        <v>1.0000174989218831</v>
      </c>
      <c r="AG196" s="310">
        <f t="shared" si="78"/>
        <v>1.5735888535980875</v>
      </c>
      <c r="AH196" s="310">
        <f t="shared" si="83"/>
        <v>-0.74000000000000909</v>
      </c>
      <c r="AI196" s="310">
        <f t="shared" si="84"/>
        <v>28.989999999999782</v>
      </c>
      <c r="AJ196" s="311">
        <f t="shared" si="85"/>
        <v>90</v>
      </c>
      <c r="AK196" s="311" cm="1">
        <f t="array" ref="AK196">IF(OR(E196="", H196=""), "",
  IFERROR(
     (
      INDEX($AM$3:$AM$22, MATCH(E196, $AL$3:$AL$22, 1)) +
      (E196 - INDEX($AL$3:$AL$22, MATCH(E196, $AL$3:$AL$22, 1))) *
      (INDEX($AM$3:$AM$22, MATCH(E196, $AL$3:$AL$22, 1)+1) - INDEX($AM$3:$AM$22, MATCH(E196, $AL$3:$AL$22, 1))) /
      (INDEX($AL$3:$AL$22, MATCH(E196, $AL$3:$AL$22, 1)+1) - INDEX($AL$3:$AL$22, MATCH(E196, $AL$3:$AL$22, 1)))
    ) - H196,
    ""
  )
)</f>
        <v>-0.61711023252928499</v>
      </c>
      <c r="AL196" s="338"/>
      <c r="AM196" s="339"/>
      <c r="AN196" s="340"/>
    </row>
    <row r="197" spans="1:40" s="315" customFormat="1" ht="15" customHeight="1" x14ac:dyDescent="0.35">
      <c r="A197" s="316">
        <f t="shared" si="103"/>
        <v>3</v>
      </c>
      <c r="B197" s="317">
        <f t="shared" si="103"/>
        <v>19</v>
      </c>
      <c r="C197" s="318">
        <f t="shared" si="91"/>
        <v>29.079999999999927</v>
      </c>
      <c r="D197" s="319">
        <v>5053.59</v>
      </c>
      <c r="E197" s="320">
        <f t="shared" si="88"/>
        <v>5034.59</v>
      </c>
      <c r="F197" s="321">
        <v>88.96</v>
      </c>
      <c r="G197" s="321">
        <v>320.51</v>
      </c>
      <c r="H197" s="322">
        <f t="shared" si="99"/>
        <v>2000.7404264059933</v>
      </c>
      <c r="I197" s="323">
        <f t="shared" si="79"/>
        <v>2.2488934837900794</v>
      </c>
      <c r="J197" s="321">
        <f t="shared" si="102"/>
        <v>5053.59</v>
      </c>
      <c r="K197" s="323">
        <f t="shared" si="86"/>
        <v>5057.59</v>
      </c>
      <c r="L197" s="321">
        <v>4</v>
      </c>
      <c r="M197" s="333" t="s">
        <v>582</v>
      </c>
      <c r="N197" s="323">
        <f t="shared" si="94"/>
        <v>5</v>
      </c>
      <c r="O197" s="323">
        <f t="shared" si="92"/>
        <v>0</v>
      </c>
      <c r="P197" s="324">
        <f t="shared" si="80"/>
        <v>123.39974631780404</v>
      </c>
      <c r="Q197" s="325" t="str">
        <f t="shared" si="81"/>
        <v>R</v>
      </c>
      <c r="R197" s="323">
        <f t="shared" si="70"/>
        <v>1.4258881218441396E-2</v>
      </c>
      <c r="S197" s="323">
        <f t="shared" si="90"/>
        <v>88.96</v>
      </c>
      <c r="T197" s="323">
        <f t="shared" si="71"/>
        <v>2001.0852845284837</v>
      </c>
      <c r="U197" s="323">
        <f t="shared" si="72"/>
        <v>1.4510859834936387E-2</v>
      </c>
      <c r="V197" s="322">
        <f t="shared" si="93"/>
        <v>-0.24000000000000057</v>
      </c>
      <c r="W197" s="323">
        <f t="shared" si="73"/>
        <v>0.36399999999999866</v>
      </c>
      <c r="X197" s="323">
        <f t="shared" si="82"/>
        <v>-1.2379642365887269</v>
      </c>
      <c r="Y197" s="323">
        <f t="shared" si="74"/>
        <v>1.8775790921595574</v>
      </c>
      <c r="Z197" s="323">
        <f t="shared" si="96"/>
        <v>13.07956450172307</v>
      </c>
      <c r="AA197" s="326">
        <f t="shared" si="75"/>
        <v>0.17193947730398942</v>
      </c>
      <c r="AB197" s="323">
        <f t="shared" si="87"/>
        <v>25.029999999999745</v>
      </c>
      <c r="AC197" s="327"/>
      <c r="AD197" s="328">
        <f t="shared" si="76"/>
        <v>1.5526449025741555</v>
      </c>
      <c r="AE197" s="328">
        <f t="shared" si="76"/>
        <v>5.5939547855670257</v>
      </c>
      <c r="AF197" s="328">
        <f t="shared" si="77"/>
        <v>1.0001284038880691</v>
      </c>
      <c r="AG197" s="328">
        <f t="shared" si="78"/>
        <v>1.5526449025741555</v>
      </c>
      <c r="AH197" s="328">
        <f t="shared" si="83"/>
        <v>1.8199999999999932</v>
      </c>
      <c r="AI197" s="328">
        <f t="shared" si="84"/>
        <v>29.079999999999927</v>
      </c>
      <c r="AJ197" s="329">
        <f t="shared" si="85"/>
        <v>90</v>
      </c>
      <c r="AK197" s="329" cm="1">
        <f t="array" ref="AK197">IF(OR(E197="", H197=""), "",
  IFERROR(
     (
      INDEX($AM$3:$AM$22, MATCH(E197, $AL$3:$AL$22, 1)) +
      (E197 - INDEX($AL$3:$AL$22, MATCH(E197, $AL$3:$AL$22, 1))) *
      (INDEX($AM$3:$AM$22, MATCH(E197, $AL$3:$AL$22, 1)+1) - INDEX($AM$3:$AM$22, MATCH(E197, $AL$3:$AL$22, 1))) /
      (INDEX($AL$3:$AL$22, MATCH(E197, $AL$3:$AL$22, 1)+1) - INDEX($AL$3:$AL$22, MATCH(E197, $AL$3:$AL$22, 1)))
    ) - H197,
    ""
  )
)</f>
        <v>-0.84042640599318474</v>
      </c>
      <c r="AL197" s="341"/>
      <c r="AM197" s="342"/>
      <c r="AN197" s="343"/>
    </row>
    <row r="198" spans="1:40" s="315" customFormat="1" ht="15" customHeight="1" x14ac:dyDescent="0.35">
      <c r="A198" s="297">
        <f t="shared" si="103"/>
        <v>3</v>
      </c>
      <c r="B198" s="298">
        <f t="shared" si="103"/>
        <v>19</v>
      </c>
      <c r="C198" s="299">
        <f t="shared" si="91"/>
        <v>29.029999999999745</v>
      </c>
      <c r="D198" s="300">
        <v>5082.62</v>
      </c>
      <c r="E198" s="301">
        <f t="shared" si="88"/>
        <v>5063.62</v>
      </c>
      <c r="F198" s="302">
        <v>88.76</v>
      </c>
      <c r="G198" s="302">
        <v>320.25</v>
      </c>
      <c r="H198" s="303">
        <f t="shared" si="99"/>
        <v>2001.3179910497545</v>
      </c>
      <c r="I198" s="304">
        <f t="shared" si="79"/>
        <v>0.33894264077578434</v>
      </c>
      <c r="J198" s="302">
        <f t="shared" si="102"/>
        <v>5082.62</v>
      </c>
      <c r="K198" s="304">
        <f t="shared" si="86"/>
        <v>5087.12</v>
      </c>
      <c r="L198" s="302">
        <v>4.5</v>
      </c>
      <c r="M198" s="305" t="s">
        <v>616</v>
      </c>
      <c r="N198" s="304">
        <f t="shared" si="94"/>
        <v>4</v>
      </c>
      <c r="O198" s="304">
        <f t="shared" si="92"/>
        <v>0</v>
      </c>
      <c r="P198" s="306">
        <f t="shared" si="80"/>
        <v>127.57408746712237</v>
      </c>
      <c r="Q198" s="307" t="str">
        <f t="shared" si="81"/>
        <v>L</v>
      </c>
      <c r="R198" s="304">
        <f t="shared" ref="R198:R261" si="104">IF(V198="","",(SIN($AD$2)-SIN(AD198))*1719/($X$2-H198))</f>
        <v>2.0877320343541918E-2</v>
      </c>
      <c r="S198" s="304">
        <f t="shared" si="90"/>
        <v>88.76</v>
      </c>
      <c r="T198" s="304">
        <f t="shared" ref="T198:T261" si="105">IF(V198="","",H198+(COS((AG198+AD198)/2))*B198)</f>
        <v>2001.7291585226844</v>
      </c>
      <c r="U198" s="304">
        <f t="shared" ref="U198:U261" si="106">IF(V198="","",(SIN($AD$2)-SIN(AG198))*1719/($X$2-T198))</f>
        <v>2.133220599649608E-2</v>
      </c>
      <c r="V198" s="303">
        <f t="shared" si="93"/>
        <v>-4.9999999999997158E-2</v>
      </c>
      <c r="W198" s="304">
        <f t="shared" ref="W198:W261" si="107">IF(G198="","",IF(N198="",(G198-G197)/30,AH198/N198))</f>
        <v>-6.4999999999997726E-2</v>
      </c>
      <c r="X198" s="304">
        <f t="shared" si="82"/>
        <v>-0.20668274199103381</v>
      </c>
      <c r="Y198" s="304">
        <f t="shared" ref="Y198:Y261" si="108">IF(W198="","",IF(F198="","",AH198*30/AI198))</f>
        <v>-0.2686875645883498</v>
      </c>
      <c r="Z198" s="304">
        <f t="shared" si="96"/>
        <v>2.4598762154302332</v>
      </c>
      <c r="AA198" s="308">
        <f t="shared" ref="AA198:AA261" si="109">+IF(Z198="","",IF(N198="",0,N198/AI198))</f>
        <v>0.13778849466069704</v>
      </c>
      <c r="AB198" s="304">
        <f t="shared" si="87"/>
        <v>24.380000000000109</v>
      </c>
      <c r="AC198" s="309"/>
      <c r="AD198" s="310">
        <f t="shared" ref="AD198:AE261" si="110">IF(F198&gt;0,RADIANS(F198),"")</f>
        <v>1.5491542440701669</v>
      </c>
      <c r="AE198" s="310">
        <f t="shared" si="110"/>
        <v>5.5894169295118408</v>
      </c>
      <c r="AF198" s="310">
        <f t="shared" ref="AF198:AF261" si="111">IF(F198="","",2/RADIANS(I198)*TAN(RADIANS(I198)/2))</f>
        <v>1.0000029162679611</v>
      </c>
      <c r="AG198" s="310">
        <f t="shared" ref="AG198:AG261" si="112">IF(S198="","",RADIANS(S198))</f>
        <v>1.5491542440701669</v>
      </c>
      <c r="AH198" s="310">
        <f t="shared" si="83"/>
        <v>-0.25999999999999091</v>
      </c>
      <c r="AI198" s="310">
        <f t="shared" si="84"/>
        <v>29.029999999999745</v>
      </c>
      <c r="AJ198" s="311">
        <f t="shared" si="85"/>
        <v>90</v>
      </c>
      <c r="AK198" s="311" cm="1">
        <f t="array" ref="AK198">IF(OR(E198="", H198=""), "",
  IFERROR(
     (
      INDEX($AM$3:$AM$22, MATCH(E198, $AL$3:$AL$22, 1)) +
      (E198 - INDEX($AL$3:$AL$22, MATCH(E198, $AL$3:$AL$22, 1))) *
      (INDEX($AM$3:$AM$22, MATCH(E198, $AL$3:$AL$22, 1)+1) - INDEX($AM$3:$AM$22, MATCH(E198, $AL$3:$AL$22, 1))) /
      (INDEX($AL$3:$AL$22, MATCH(E198, $AL$3:$AL$22, 1)+1) - INDEX($AL$3:$AL$22, MATCH(E198, $AL$3:$AL$22, 1)))
    ) - H198,
    ""
  )
)</f>
        <v>-1.4179910497543915</v>
      </c>
      <c r="AL198" s="338"/>
      <c r="AM198" s="339"/>
      <c r="AN198" s="340"/>
    </row>
    <row r="199" spans="1:40" s="315" customFormat="1" ht="15" customHeight="1" x14ac:dyDescent="0.35">
      <c r="A199" s="316">
        <f t="shared" si="103"/>
        <v>3</v>
      </c>
      <c r="B199" s="317">
        <f t="shared" si="103"/>
        <v>19</v>
      </c>
      <c r="C199" s="318">
        <f t="shared" si="91"/>
        <v>28.880000000000109</v>
      </c>
      <c r="D199" s="319">
        <v>5111.5</v>
      </c>
      <c r="E199" s="320">
        <f t="shared" si="88"/>
        <v>5092.5</v>
      </c>
      <c r="F199" s="321">
        <v>92.58</v>
      </c>
      <c r="G199" s="321">
        <v>321.42</v>
      </c>
      <c r="H199" s="322">
        <f t="shared" si="99"/>
        <v>2000.9802845174206</v>
      </c>
      <c r="I199" s="323">
        <f t="shared" ref="I199:I262" si="113">IF(OR(F199="",G199=""),"",DEGREES(ACOS(COS(AD199-AD198)-(SIN(AD199)*SIN(AD198)*(1-COS(AE199-AE198)))))*(30/AI199))</f>
        <v>4.1500062259760124</v>
      </c>
      <c r="J199" s="321" t="str">
        <f t="shared" si="102"/>
        <v/>
      </c>
      <c r="K199" s="323" t="str">
        <f t="shared" si="86"/>
        <v/>
      </c>
      <c r="L199" s="321"/>
      <c r="M199" s="333"/>
      <c r="N199" s="323">
        <f t="shared" si="94"/>
        <v>4.5</v>
      </c>
      <c r="O199" s="323">
        <f t="shared" si="92"/>
        <v>0</v>
      </c>
      <c r="P199" s="324">
        <f>IF(AND(ISNUMBER(C199),ISNUMBER(I199)),(IF(AND(I199&gt;0,G199&lt;&gt;G198),ACOS((C199*X199/30)/(C199*I199/30))*180/PI(),IF(AND(F199&gt;F198,G199=G198),"H/S",IF(AND(F199&lt;F198,G199=G198),"L/S","")))),"")</f>
        <v>17.024851356379592</v>
      </c>
      <c r="Q199" s="325" t="str">
        <f>IF(ISNUMBER(P199),(IF(Y199&gt;0,"R","L")),"")</f>
        <v>R</v>
      </c>
      <c r="R199" s="323">
        <f t="shared" si="104"/>
        <v>8.8812467935204351E-2</v>
      </c>
      <c r="S199" s="323">
        <f t="shared" si="90"/>
        <v>92.58</v>
      </c>
      <c r="T199" s="323">
        <f t="shared" si="105"/>
        <v>2000.1250132190578</v>
      </c>
      <c r="U199" s="323">
        <f t="shared" si="106"/>
        <v>8.5102636247671823E-2</v>
      </c>
      <c r="V199" s="322">
        <f t="shared" si="93"/>
        <v>0.84888888888888736</v>
      </c>
      <c r="W199" s="323">
        <f t="shared" si="107"/>
        <v>0.26000000000000356</v>
      </c>
      <c r="X199" s="323">
        <f t="shared" ref="X199:X262" si="114">IF(V199="","",(F199-F198)*30/AI199)</f>
        <v>3.9681440443213076</v>
      </c>
      <c r="Y199" s="323">
        <f t="shared" si="108"/>
        <v>1.2153739612188486</v>
      </c>
      <c r="Z199" s="323">
        <f t="shared" si="96"/>
        <v>26.633817734708376</v>
      </c>
      <c r="AA199" s="326">
        <f t="shared" si="109"/>
        <v>0.15581717451523486</v>
      </c>
      <c r="AB199" s="323" t="str">
        <f t="shared" si="87"/>
        <v/>
      </c>
      <c r="AC199" s="327" t="s">
        <v>617</v>
      </c>
      <c r="AD199" s="328">
        <f t="shared" si="110"/>
        <v>1.6158258214963503</v>
      </c>
      <c r="AE199" s="328">
        <f t="shared" si="110"/>
        <v>5.609837281760174</v>
      </c>
      <c r="AF199" s="328">
        <f t="shared" si="111"/>
        <v>1.0004374202558834</v>
      </c>
      <c r="AG199" s="328">
        <f t="shared" si="112"/>
        <v>1.6158258214963503</v>
      </c>
      <c r="AH199" s="328">
        <f t="shared" ref="AH199:AH262" si="115">IF(G199="","",IF(G199&gt;G198,IF((G199-G198)&gt;180,(G199-G198)-360,G199-G198),IF((G199-G198)&lt;-180,(G199-G198)+360,G199-G198)))</f>
        <v>1.1700000000000159</v>
      </c>
      <c r="AI199" s="328">
        <f t="shared" ref="AI199:AI262" si="116">+IF(E199="","",E199-E198)</f>
        <v>28.880000000000109</v>
      </c>
      <c r="AJ199" s="329">
        <f t="shared" ref="AJ199:AJ262" si="117">IFERROR(IF(E199="","",IF(E199&lt;$AL$3,AN$4,INDEX(AN$4:AN$22,MATCH(E199,AL$3:AL$22,1)))),"")</f>
        <v>90</v>
      </c>
      <c r="AK199" s="329" cm="1">
        <f t="array" ref="AK199">IF(OR(E199="", H199=""), "",
  IFERROR(
     (
      INDEX($AM$3:$AM$22, MATCH(E199, $AL$3:$AL$22, 1)) +
      (E199 - INDEX($AL$3:$AL$22, MATCH(E199, $AL$3:$AL$22, 1))) *
      (INDEX($AM$3:$AM$22, MATCH(E199, $AL$3:$AL$22, 1)+1) - INDEX($AM$3:$AM$22, MATCH(E199, $AL$3:$AL$22, 1))) /
      (INDEX($AL$3:$AL$22, MATCH(E199, $AL$3:$AL$22, 1)+1) - INDEX($AL$3:$AL$22, MATCH(E199, $AL$3:$AL$22, 1)))
    ) - H199,
    ""
  )
)</f>
        <v>-1.0802845174205231</v>
      </c>
      <c r="AL199" s="341"/>
      <c r="AM199" s="342"/>
      <c r="AN199" s="343"/>
    </row>
    <row r="200" spans="1:40" s="315" customFormat="1" ht="15" customHeight="1" x14ac:dyDescent="0.35">
      <c r="A200" s="297">
        <f t="shared" si="103"/>
        <v>3</v>
      </c>
      <c r="B200" s="298">
        <f t="shared" si="103"/>
        <v>19</v>
      </c>
      <c r="C200" s="299">
        <f t="shared" si="91"/>
        <v>28.850000000000364</v>
      </c>
      <c r="D200" s="300">
        <v>5140.3500000000004</v>
      </c>
      <c r="E200" s="301">
        <f t="shared" si="88"/>
        <v>5121.3500000000004</v>
      </c>
      <c r="F200" s="302">
        <v>93.31</v>
      </c>
      <c r="G200" s="302">
        <v>320.79000000000002</v>
      </c>
      <c r="H200" s="303">
        <f t="shared" si="99"/>
        <v>1999.498048929448</v>
      </c>
      <c r="I200" s="304">
        <f t="shared" si="113"/>
        <v>1.00213015648149</v>
      </c>
      <c r="J200" s="302">
        <f t="shared" si="102"/>
        <v>5140.3500000000004</v>
      </c>
      <c r="K200" s="304">
        <f t="shared" si="86"/>
        <v>5144.3500000000004</v>
      </c>
      <c r="L200" s="302">
        <v>4</v>
      </c>
      <c r="M200" s="305" t="s">
        <v>613</v>
      </c>
      <c r="N200" s="304" t="str">
        <f t="shared" si="94"/>
        <v/>
      </c>
      <c r="O200" s="304">
        <f t="shared" si="92"/>
        <v>0</v>
      </c>
      <c r="P200" s="306">
        <f>IF(AND(ISNUMBER(C200),ISNUMBER(I200)),(IF(AND(I200&gt;0,G200&lt;&gt;G199),ACOS((C200*X200/30)/(C200*I200/30))*180/PI(),IF(AND(F200&gt;F199,G200=G199),"H/S",IF(AND(F200&lt;F199,G200=G199),"L/S","")))),"")</f>
        <v>40.757000378682029</v>
      </c>
      <c r="Q200" s="307" t="str">
        <f>IF(ISNUMBER(P200),(IF(Y200&gt;0,"R","L")),"")</f>
        <v>L</v>
      </c>
      <c r="R200" s="304">
        <f t="shared" si="104"/>
        <v>0.13589804323896021</v>
      </c>
      <c r="S200" s="304">
        <f t="shared" si="90"/>
        <v>93.31</v>
      </c>
      <c r="T200" s="304">
        <f t="shared" si="105"/>
        <v>1998.4010218070568</v>
      </c>
      <c r="U200" s="304">
        <f t="shared" si="106"/>
        <v>0.12918224587129482</v>
      </c>
      <c r="V200" s="303">
        <f t="shared" si="93"/>
        <v>0.18629629629629654</v>
      </c>
      <c r="W200" s="304">
        <f t="shared" si="107"/>
        <v>-2.0999999999999849E-2</v>
      </c>
      <c r="X200" s="304">
        <f t="shared" si="114"/>
        <v>0.75909878682841747</v>
      </c>
      <c r="Y200" s="304">
        <f t="shared" si="108"/>
        <v>-0.65511265164643417</v>
      </c>
      <c r="Z200" s="304">
        <f t="shared" si="96"/>
        <v>1.00213015648149</v>
      </c>
      <c r="AA200" s="308">
        <f t="shared" si="109"/>
        <v>0</v>
      </c>
      <c r="AB200" s="304">
        <f t="shared" si="87"/>
        <v>24.789999999999964</v>
      </c>
      <c r="AC200" s="309"/>
      <c r="AD200" s="310">
        <f t="shared" si="110"/>
        <v>1.628566725035909</v>
      </c>
      <c r="AE200" s="310">
        <f t="shared" si="110"/>
        <v>5.5988417074726105</v>
      </c>
      <c r="AF200" s="310">
        <f t="shared" si="111"/>
        <v>1.0000254938271946</v>
      </c>
      <c r="AG200" s="310">
        <f t="shared" si="112"/>
        <v>1.628566725035909</v>
      </c>
      <c r="AH200" s="310">
        <f t="shared" si="115"/>
        <v>-0.62999999999999545</v>
      </c>
      <c r="AI200" s="310">
        <f t="shared" si="116"/>
        <v>28.850000000000364</v>
      </c>
      <c r="AJ200" s="311">
        <f t="shared" si="117"/>
        <v>89.971352109049832</v>
      </c>
      <c r="AK200" s="311" cm="1">
        <f t="array" ref="AK200">IF(OR(E200="", H200=""), "",
  IFERROR(
     (
      INDEX($AM$3:$AM$22, MATCH(E200, $AL$3:$AL$22, 1)) +
      (E200 - INDEX($AL$3:$AL$22, MATCH(E200, $AL$3:$AL$22, 1))) *
      (INDEX($AM$3:$AM$22, MATCH(E200, $AL$3:$AL$22, 1)+1) - INDEX($AM$3:$AM$22, MATCH(E200, $AL$3:$AL$22, 1))) /
      (INDEX($AL$3:$AL$22, MATCH(E200, $AL$3:$AL$22, 1)+1) - INDEX($AL$3:$AL$22, MATCH(E200, $AL$3:$AL$22, 1)))
    ) - H200,
    ""
  )
)</f>
        <v>0.41262607055205081</v>
      </c>
      <c r="AL200" s="338"/>
      <c r="AM200" s="339"/>
      <c r="AN200" s="340"/>
    </row>
    <row r="201" spans="1:40" s="315" customFormat="1" ht="15" customHeight="1" x14ac:dyDescent="0.35">
      <c r="A201" s="316">
        <f t="shared" si="103"/>
        <v>3</v>
      </c>
      <c r="B201" s="317">
        <f t="shared" si="103"/>
        <v>19</v>
      </c>
      <c r="C201" s="318">
        <f t="shared" si="91"/>
        <v>28.789999999999964</v>
      </c>
      <c r="D201" s="319">
        <v>5169.1400000000003</v>
      </c>
      <c r="E201" s="320">
        <f t="shared" si="88"/>
        <v>5150.1400000000003</v>
      </c>
      <c r="F201" s="321">
        <v>92.79</v>
      </c>
      <c r="G201" s="321">
        <v>321.36</v>
      </c>
      <c r="H201" s="322">
        <f t="shared" si="99"/>
        <v>1997.9662077431331</v>
      </c>
      <c r="I201" s="323">
        <f t="shared" si="113"/>
        <v>0.80336135076169901</v>
      </c>
      <c r="J201" s="321">
        <f t="shared" si="102"/>
        <v>5169.1400000000003</v>
      </c>
      <c r="K201" s="323">
        <f t="shared" si="86"/>
        <v>5173.1400000000003</v>
      </c>
      <c r="L201" s="321">
        <v>4</v>
      </c>
      <c r="M201" s="333" t="s">
        <v>584</v>
      </c>
      <c r="N201" s="323">
        <f t="shared" si="94"/>
        <v>4</v>
      </c>
      <c r="O201" s="323">
        <f t="shared" si="92"/>
        <v>0</v>
      </c>
      <c r="P201" s="324">
        <f>IF(AND(ISNUMBER(C201),ISNUMBER(I201)),(IF(AND(I201&gt;0,G201&lt;&gt;G200),ACOS((C201*X201/30)/(C201*I201/30))*180/PI(),IF(AND(F201&gt;F200,G201=G200),"H/S",IF(AND(F201&lt;F200,G201=G200),"L/S","")))),"")</f>
        <v>132.41413451779104</v>
      </c>
      <c r="Q201" s="325" t="str">
        <f>IF(ISNUMBER(P201),(IF(Y201&gt;0,"R","L")),"")</f>
        <v>R</v>
      </c>
      <c r="R201" s="323">
        <f t="shared" si="104"/>
        <v>9.0025570049995965E-2</v>
      </c>
      <c r="S201" s="323">
        <f t="shared" si="90"/>
        <v>92.79</v>
      </c>
      <c r="T201" s="323">
        <f t="shared" si="105"/>
        <v>1997.0413742977164</v>
      </c>
      <c r="U201" s="323">
        <f t="shared" si="106"/>
        <v>8.6491464997473066E-2</v>
      </c>
      <c r="V201" s="322">
        <f t="shared" si="93"/>
        <v>-0.12999999999999901</v>
      </c>
      <c r="W201" s="323">
        <f t="shared" si="107"/>
        <v>0.14249999999999829</v>
      </c>
      <c r="X201" s="323">
        <f t="shared" si="114"/>
        <v>-0.54185481069815566</v>
      </c>
      <c r="Y201" s="323">
        <f t="shared" si="108"/>
        <v>0.59395623480374493</v>
      </c>
      <c r="Z201" s="323">
        <f t="shared" si="96"/>
        <v>5.7821933221073216</v>
      </c>
      <c r="AA201" s="326">
        <f t="shared" si="109"/>
        <v>0.13893713094824608</v>
      </c>
      <c r="AB201" s="323">
        <f t="shared" si="87"/>
        <v>24.849999999999454</v>
      </c>
      <c r="AC201" s="327"/>
      <c r="AD201" s="328">
        <f t="shared" si="110"/>
        <v>1.6194910129255384</v>
      </c>
      <c r="AE201" s="328">
        <f t="shared" si="110"/>
        <v>5.6087900842089775</v>
      </c>
      <c r="AF201" s="328">
        <f t="shared" si="111"/>
        <v>1.0000163833947617</v>
      </c>
      <c r="AG201" s="328">
        <f t="shared" si="112"/>
        <v>1.6194910129255384</v>
      </c>
      <c r="AH201" s="328">
        <f t="shared" si="115"/>
        <v>0.56999999999999318</v>
      </c>
      <c r="AI201" s="328">
        <f t="shared" si="116"/>
        <v>28.789999999999964</v>
      </c>
      <c r="AJ201" s="329">
        <f t="shared" si="117"/>
        <v>89.971352109049832</v>
      </c>
      <c r="AK201" s="329" cm="1">
        <f t="array" ref="AK201">IF(OR(E201="", H201=""), "",
  IFERROR(
     (
      INDEX($AM$3:$AM$22, MATCH(E201, $AL$3:$AL$22, 1)) +
      (E201 - INDEX($AL$3:$AL$22, MATCH(E201, $AL$3:$AL$22, 1))) *
      (INDEX($AM$3:$AM$22, MATCH(E201, $AL$3:$AL$22, 1)+1) - INDEX($AM$3:$AM$22, MATCH(E201, $AL$3:$AL$22, 1))) /
      (INDEX($AL$3:$AL$22, MATCH(E201, $AL$3:$AL$22, 1)+1) - INDEX($AL$3:$AL$22, MATCH(E201, $AL$3:$AL$22, 1)))
    ) - H201,
    ""
  )
)</f>
        <v>1.9588622568669507</v>
      </c>
      <c r="AL201" s="341"/>
      <c r="AM201" s="342"/>
      <c r="AN201" s="343"/>
    </row>
    <row r="202" spans="1:40" s="315" customFormat="1" ht="15" customHeight="1" x14ac:dyDescent="0.35">
      <c r="A202" s="297">
        <f t="shared" si="103"/>
        <v>3</v>
      </c>
      <c r="B202" s="298">
        <f t="shared" si="103"/>
        <v>19</v>
      </c>
      <c r="C202" s="299">
        <f t="shared" si="91"/>
        <v>28.849999999999454</v>
      </c>
      <c r="D202" s="300">
        <v>5197.99</v>
      </c>
      <c r="E202" s="301">
        <f t="shared" si="88"/>
        <v>5178.99</v>
      </c>
      <c r="F202" s="302">
        <v>91.48</v>
      </c>
      <c r="G202" s="302">
        <v>321.08999999999997</v>
      </c>
      <c r="H202" s="303">
        <f t="shared" si="99"/>
        <v>1996.891425319194</v>
      </c>
      <c r="I202" s="304">
        <f t="shared" si="113"/>
        <v>1.3908104333427569</v>
      </c>
      <c r="J202" s="302">
        <f t="shared" si="102"/>
        <v>5197.99</v>
      </c>
      <c r="K202" s="304">
        <f t="shared" ref="K202:K265" si="118">IF(L202="","",J202+L202)</f>
        <v>5201.49</v>
      </c>
      <c r="L202" s="302">
        <v>3.5</v>
      </c>
      <c r="M202" s="305" t="s">
        <v>584</v>
      </c>
      <c r="N202" s="304">
        <f>IF(SUM(IF(AND(E202&gt;K198,E201&lt;=J198),L198,0)+IF(AND(E202&gt;=K198,E201&lt;K198,E201&gt;J198),K198-E201,0)+IF(AND(E202&gt;J198,E201&lt;=J198,E202&lt;K198),E202-J198,0)+IF(AND(E202&lt;K198,E201&gt;J198,E202&gt;E201),E202-E201,0)+IF(AND(E202&gt;K199,E201&lt;=J199),L199,0)+IF(AND(E202&gt;=K199,E201&lt;K199,E201&gt;J199),K199-E201,0)+IF(AND(E202&gt;J199,E201&lt;=J199,E202&lt;K199),E202-J199,0)+IF(AND(E202&lt;K199,E201&gt;J199,E202&gt;E201),E202-E201,0)+IF(AND(E202&gt;K200,E201&lt;=J200),L200,0)+IF(AND(E202&gt;=K200,E201&lt;K200,E201&gt;J200),K200-E201,0)+IF(AND(E202&gt;J200,E201&lt;J200,E202&lt;=K200),E202-J200,0)+IF(AND(E202&lt;K200,E201&gt;J200,E202&gt;E201),E202-E201,0)+IF(AND(E202&gt;K201,E201&lt;=J201),L201,0)+IF(AND(E202&gt;=K201,E201&lt;K201,E201&gt;J201),K201-E201,0)+IF(AND(E202&gt;J201,E201&lt;J201,E202&lt;=K201),E202-J201,0)+IF(AND(E202&lt;K201,E201&gt;J201,E202&gt;E201),E202-E201,0))=0,"",SUM(IF(AND(E202&gt;K198,E201&lt;=J198),L198,0)+IF(AND(E202&gt;=K198,E201&lt;K198,E201&gt;J198),K198-E201,0)+IF(AND(E202&gt;J198,E201&lt;=J198,E202&lt;K198),E202-J198,0)+IF(AND(E202&lt;K198,E201&gt;J198,E202&gt;E201),E202-E201,0)+IF(AND(E202&gt;K199,E201&lt;=J199),L199,0)+IF(AND(E202&gt;=K199,E201&lt;K199,E201&gt;J199),K199-E201,0)+IF(AND(E202&gt;J199,E201&lt;=J199,E202&lt;K199),E202-J199,0)+IF(AND(E202&lt;K199,E201&gt;J199,E202&gt;E201),E202-E201,0)+IF(AND(E202&gt;K200,E201&lt;=J200),L200,0)+IF(AND(E202&gt;=K200,E201&lt;K200,E201&gt;J200),K200-E201,0)+IF(AND(E202&gt;J200,E201&lt;J200,E202&lt;=K200),E202-J200,0)+IF(AND(E202&lt;K200,E201&gt;J200,E202&gt;E201),E202-E201,0)+IF(AND(E202&gt;K201,E201&lt;=J201),L201,0)+IF(AND(E202&gt;=K201,E201&lt;K201,E201&gt;J201),K201-E201,0)+IF(AND(E202&gt;J201,E201&lt;J201,E202&lt;=K201),E202-J201,0)+IF(AND(E202&lt;K201,E201&gt;J201,E202&gt;E201),E202-E201,0)))</f>
        <v>4</v>
      </c>
      <c r="O202" s="304">
        <f t="shared" si="92"/>
        <v>0</v>
      </c>
      <c r="P202" s="306">
        <f>IF(AND(ISNUMBER(C202),ISNUMBER(I202)),(IF(AND(I202&gt;0,G202&lt;&gt;G201),ACOS((C202*X202/30)/(C202*I202/30))*180/PI(),IF(AND(F202&gt;F201,G202=G201),"H/S",IF(AND(F202&lt;F201,G202=G201),"L/S","")))),"")</f>
        <v>168.36213713181522</v>
      </c>
      <c r="Q202" s="307" t="str">
        <f>IF(ISNUMBER(P202),(IF(Y202&gt;0,"R","L")),"")</f>
        <v>L</v>
      </c>
      <c r="R202" s="304">
        <f t="shared" si="104"/>
        <v>2.4187693301433166E-2</v>
      </c>
      <c r="S202" s="304">
        <f t="shared" si="90"/>
        <v>91.48</v>
      </c>
      <c r="T202" s="304">
        <f t="shared" si="105"/>
        <v>1996.4006933099615</v>
      </c>
      <c r="U202" s="304">
        <f t="shared" si="106"/>
        <v>2.3697196797357798E-2</v>
      </c>
      <c r="V202" s="303">
        <f t="shared" si="93"/>
        <v>-0.32750000000000057</v>
      </c>
      <c r="W202" s="304">
        <f t="shared" si="107"/>
        <v>-6.7500000000009663E-2</v>
      </c>
      <c r="X202" s="304">
        <f t="shared" si="114"/>
        <v>-1.3622183708839102</v>
      </c>
      <c r="Y202" s="304">
        <f t="shared" si="108"/>
        <v>-0.28076256499137997</v>
      </c>
      <c r="Z202" s="304">
        <f t="shared" si="96"/>
        <v>10.031220250484445</v>
      </c>
      <c r="AA202" s="308">
        <f t="shared" si="109"/>
        <v>0.13864818024263695</v>
      </c>
      <c r="AB202" s="304">
        <f t="shared" ref="AB202:AB265" si="119">IF(L202="","",C203-L202)</f>
        <v>25.320000000000618</v>
      </c>
      <c r="AC202" s="309"/>
      <c r="AD202" s="310">
        <f t="shared" si="110"/>
        <v>1.5966271997244128</v>
      </c>
      <c r="AE202" s="310">
        <f t="shared" si="110"/>
        <v>5.6040776952285922</v>
      </c>
      <c r="AF202" s="310">
        <f t="shared" si="111"/>
        <v>1.0000491060452925</v>
      </c>
      <c r="AG202" s="310">
        <f t="shared" si="112"/>
        <v>1.5966271997244128</v>
      </c>
      <c r="AH202" s="310">
        <f t="shared" si="115"/>
        <v>-0.27000000000003865</v>
      </c>
      <c r="AI202" s="310">
        <f t="shared" si="116"/>
        <v>28.849999999999454</v>
      </c>
      <c r="AJ202" s="311">
        <f t="shared" si="117"/>
        <v>89.971352109049832</v>
      </c>
      <c r="AK202" s="311" cm="1">
        <f t="array" ref="AK202">IF(OR(E202="", H202=""), "",
  IFERROR(
     (
      INDEX($AM$3:$AM$22, MATCH(E202, $AL$3:$AL$22, 1)) +
      (E202 - INDEX($AL$3:$AL$22, MATCH(E202, $AL$3:$AL$22, 1))) *
      (INDEX($AM$3:$AM$22, MATCH(E202, $AL$3:$AL$22, 1)+1) - INDEX($AM$3:$AM$22, MATCH(E202, $AL$3:$AL$22, 1))) /
      (INDEX($AL$3:$AL$22, MATCH(E202, $AL$3:$AL$22, 1)+1) - INDEX($AL$3:$AL$22, MATCH(E202, $AL$3:$AL$22, 1)))
    ) - H202,
    ""
  )
)</f>
        <v>3.0480696808060657</v>
      </c>
      <c r="AL202" s="338"/>
      <c r="AM202" s="339"/>
      <c r="AN202" s="340"/>
    </row>
    <row r="203" spans="1:40" s="315" customFormat="1" ht="15" customHeight="1" x14ac:dyDescent="0.35">
      <c r="A203" s="316">
        <f t="shared" si="103"/>
        <v>3</v>
      </c>
      <c r="B203" s="317">
        <f t="shared" si="103"/>
        <v>19</v>
      </c>
      <c r="C203" s="318">
        <f t="shared" si="91"/>
        <v>28.820000000000618</v>
      </c>
      <c r="D203" s="319">
        <v>5226.8100000000004</v>
      </c>
      <c r="E203" s="320">
        <f t="shared" ref="E203:E266" si="120">IF(D203&gt;0,D203-B203,"")</f>
        <v>5207.8100000000004</v>
      </c>
      <c r="F203" s="321">
        <v>90.76</v>
      </c>
      <c r="G203" s="321">
        <v>320.77999999999997</v>
      </c>
      <c r="H203" s="322">
        <f t="shared" si="99"/>
        <v>1996.3280968392883</v>
      </c>
      <c r="I203" s="323">
        <f t="shared" si="113"/>
        <v>0.81597114216487332</v>
      </c>
      <c r="J203" s="321">
        <f t="shared" si="102"/>
        <v>5226.8100000000004</v>
      </c>
      <c r="K203" s="323">
        <f t="shared" si="118"/>
        <v>5229.8100000000004</v>
      </c>
      <c r="L203" s="321">
        <v>3</v>
      </c>
      <c r="M203" s="333" t="s">
        <v>584</v>
      </c>
      <c r="N203" s="323">
        <f t="shared" ref="N203:N266" si="121">IF(SUM(IF(AND(E203&gt;K199,E202&lt;=J199),L199,0)+IF(AND(E203&gt;=K199,E202&lt;K199,E202&gt;J199),K199-E202,0)+IF(AND(E203&gt;J199,E202&lt;=J199,E203&lt;K199),E203-J199,0)+IF(AND(E203&lt;K199,E202&gt;J199,E203&gt;E202),E203-E202,0)+IF(AND(E203&gt;K200,E202&lt;=J200),L200,0)+IF(AND(E203&gt;=K200,E202&lt;K200,E202&gt;J200),K200-E202,0)+IF(AND(E203&gt;J200,E202&lt;=J200,E203&lt;K200),E203-J200,0)+IF(AND(E203&lt;K200,E202&gt;J200,E203&gt;E202),E203-E202,0)+IF(AND(E203&gt;K201,E202&lt;=J201),L201,0)+IF(AND(E203&gt;=K201,E202&lt;K201,E202&gt;J201),K201-E202,0)+IF(AND(E203&gt;J201,E202&lt;J201,E203&lt;=K201),E203-J201,0)+IF(AND(E203&lt;K201,E202&gt;J201,E203&gt;E202),E203-E202,0)+IF(AND(E203&gt;K202,E202&lt;=J202),L202,0)+IF(AND(E203&gt;=K202,E202&lt;K202,E202&gt;J202),K202-E202,0)+IF(AND(E203&gt;J202,E202&lt;J202,E203&lt;=K202),E203-J202,0)+IF(AND(E203&lt;K202,E202&gt;J202,E203&gt;E202),E203-E202,0))=0,"",SUM(IF(AND(E203&gt;K199,E202&lt;=J199),L199,0)+IF(AND(E203&gt;=K199,E202&lt;K199,E202&gt;J199),K199-E202,0)+IF(AND(E203&gt;J199,E202&lt;=J199,E203&lt;K199),E203-J199,0)+IF(AND(E203&lt;K199,E202&gt;J199,E203&gt;E202),E203-E202,0)+IF(AND(E203&gt;K200,E202&lt;=J200),L200,0)+IF(AND(E203&gt;=K200,E202&lt;K200,E202&gt;J200),K200-E202,0)+IF(AND(E203&gt;J200,E202&lt;=J200,E203&lt;K200),E203-J200,0)+IF(AND(E203&lt;K200,E202&gt;J200,E203&gt;E202),E203-E202,0)+IF(AND(E203&gt;K201,E202&lt;=J201),L201,0)+IF(AND(E203&gt;=K201,E202&lt;K201,E202&gt;J201),K201-E202,0)+IF(AND(E203&gt;J201,E202&lt;J201,E203&lt;=K201),E203-J201,0)+IF(AND(E203&lt;K201,E202&gt;J201,E203&gt;E202),E203-E202,0)+IF(AND(E203&gt;K202,E202&lt;=J202),L202,0)+IF(AND(E203&gt;=K202,E202&lt;K202,E202&gt;J202),K202-E202,0)+IF(AND(E203&gt;J202,E202&lt;J202,E203&lt;=K202),E203-J202,0)+IF(AND(E203&lt;K202,E202&gt;J202,E203&gt;E202),E203-E202,0)))</f>
        <v>3.5</v>
      </c>
      <c r="O203" s="323">
        <f t="shared" si="92"/>
        <v>0</v>
      </c>
      <c r="P203" s="324">
        <f>IF(AND(ISNUMBER(C203),ISNUMBER(I203)),(IF(AND(I203&gt;0,G203&lt;&gt;G202),ACOS((C203*X203/30)/(C203*I203/30))*180/PI(),IF(AND(F203&gt;F202,G203=G202),"H/S",IF(AND(F203&lt;F202,G203=G202),"L/S","")))),"")</f>
        <v>156.7095499051477</v>
      </c>
      <c r="Q203" s="325" t="str">
        <f>IF(ISNUMBER(P203),(IF(Y203&gt;0,"R","L")),"")</f>
        <v>L</v>
      </c>
      <c r="R203" s="323">
        <f t="shared" si="104"/>
        <v>6.2304239933561453E-3</v>
      </c>
      <c r="S203" s="323">
        <f t="shared" ref="S203:S266" si="122">IF(V203="","",IF(AND(N203="",O203=""),F203,IF(O203="",O203*AVERAGE(V202,V201,V200)+F203,O203*V203+F203)))</f>
        <v>90.76</v>
      </c>
      <c r="T203" s="323">
        <f t="shared" si="105"/>
        <v>1996.0760786857593</v>
      </c>
      <c r="U203" s="323">
        <f t="shared" si="106"/>
        <v>6.1663975299537975E-3</v>
      </c>
      <c r="V203" s="322">
        <f t="shared" si="93"/>
        <v>-0.20571428571428538</v>
      </c>
      <c r="W203" s="323">
        <f t="shared" si="107"/>
        <v>-8.8571428571429217E-2</v>
      </c>
      <c r="X203" s="323">
        <f t="shared" si="114"/>
        <v>-0.74947952810546503</v>
      </c>
      <c r="Y203" s="323">
        <f t="shared" si="108"/>
        <v>-0.32269257460096701</v>
      </c>
      <c r="Z203" s="323">
        <f t="shared" si="96"/>
        <v>6.7189395191977583</v>
      </c>
      <c r="AA203" s="326">
        <f t="shared" si="109"/>
        <v>0.12144344205412647</v>
      </c>
      <c r="AB203" s="323">
        <f t="shared" si="119"/>
        <v>25.979999999999563</v>
      </c>
      <c r="AC203" s="327"/>
      <c r="AD203" s="328">
        <f t="shared" si="110"/>
        <v>1.5840608291100535</v>
      </c>
      <c r="AE203" s="328">
        <f t="shared" si="110"/>
        <v>5.5986671745474101</v>
      </c>
      <c r="AF203" s="328">
        <f t="shared" si="111"/>
        <v>1.0000169017586851</v>
      </c>
      <c r="AG203" s="328">
        <f t="shared" si="112"/>
        <v>1.5840608291100535</v>
      </c>
      <c r="AH203" s="328">
        <f t="shared" si="115"/>
        <v>-0.31000000000000227</v>
      </c>
      <c r="AI203" s="328">
        <f t="shared" si="116"/>
        <v>28.820000000000618</v>
      </c>
      <c r="AJ203" s="329">
        <f t="shared" si="117"/>
        <v>89.971352109049832</v>
      </c>
      <c r="AK203" s="329" cm="1">
        <f t="array" ref="AK203">IF(OR(E203="", H203=""), "",
  IFERROR(
     (
      INDEX($AM$3:$AM$22, MATCH(E203, $AL$3:$AL$22, 1)) +
      (E203 - INDEX($AL$3:$AL$22, MATCH(E203, $AL$3:$AL$22, 1))) *
      (INDEX($AM$3:$AM$22, MATCH(E203, $AL$3:$AL$22, 1)+1) - INDEX($AM$3:$AM$22, MATCH(E203, $AL$3:$AL$22, 1))) /
      (INDEX($AL$3:$AL$22, MATCH(E203, $AL$3:$AL$22, 1)+1) - INDEX($AL$3:$AL$22, MATCH(E203, $AL$3:$AL$22, 1)))
    ) - H203,
    ""
  )
)</f>
        <v>3.6258081607118129</v>
      </c>
      <c r="AL203" s="341"/>
      <c r="AM203" s="342"/>
      <c r="AN203" s="343"/>
    </row>
    <row r="204" spans="1:40" s="315" customFormat="1" ht="15" customHeight="1" x14ac:dyDescent="0.35">
      <c r="A204" s="297">
        <f t="shared" si="103"/>
        <v>3</v>
      </c>
      <c r="B204" s="298">
        <f t="shared" si="103"/>
        <v>19</v>
      </c>
      <c r="C204" s="299">
        <f t="shared" ref="C204:C267" si="123">IF(D204&gt;0,D204-D203,"")</f>
        <v>28.979999999999563</v>
      </c>
      <c r="D204" s="300">
        <v>5255.79</v>
      </c>
      <c r="E204" s="301">
        <f t="shared" si="120"/>
        <v>5236.79</v>
      </c>
      <c r="F204" s="302">
        <v>89.41</v>
      </c>
      <c r="G204" s="302">
        <v>320.67</v>
      </c>
      <c r="H204" s="303">
        <f t="shared" si="99"/>
        <v>1996.2851041595941</v>
      </c>
      <c r="I204" s="304">
        <f t="shared" si="113"/>
        <v>1.4021468438867501</v>
      </c>
      <c r="J204" s="302">
        <f t="shared" si="102"/>
        <v>5255.79</v>
      </c>
      <c r="K204" s="304">
        <f t="shared" si="118"/>
        <v>5257.79</v>
      </c>
      <c r="L204" s="302">
        <v>2</v>
      </c>
      <c r="M204" s="305" t="s">
        <v>618</v>
      </c>
      <c r="N204" s="304">
        <f t="shared" si="121"/>
        <v>3</v>
      </c>
      <c r="O204" s="304">
        <f t="shared" si="92"/>
        <v>0</v>
      </c>
      <c r="P204" s="306">
        <f t="shared" ref="P204:P267" si="124">IF(AND(ISNUMBER(C204),ISNUMBER(I204)),(IF(AND(I204&gt;0,G204&lt;&gt;G203),ACOS((C204*X204/30)/(C204*I204/30))*180/PI(),IF(AND(F204&gt;F203,G204=G203),"H/S",IF(AND(F204&lt;F203,G204=G203),"L/S","")))),"")</f>
        <v>175.34185827677356</v>
      </c>
      <c r="Q204" s="307" t="str">
        <f t="shared" ref="Q204:Q267" si="125">IF(ISNUMBER(P204),(IF(Y204&gt;0,"R","L")),"")</f>
        <v>L</v>
      </c>
      <c r="R204" s="304">
        <f t="shared" si="104"/>
        <v>3.7482486079968183E-3</v>
      </c>
      <c r="S204" s="304">
        <f t="shared" si="122"/>
        <v>89.41</v>
      </c>
      <c r="T204" s="304">
        <f t="shared" si="105"/>
        <v>1996.4807521110356</v>
      </c>
      <c r="U204" s="304">
        <f t="shared" si="106"/>
        <v>3.778653252661697E-3</v>
      </c>
      <c r="V204" s="303">
        <f t="shared" si="93"/>
        <v>-0.45000000000000284</v>
      </c>
      <c r="W204" s="304">
        <f t="shared" si="107"/>
        <v>-3.6666666666652269E-2</v>
      </c>
      <c r="X204" s="304">
        <f t="shared" si="114"/>
        <v>-1.3975155279503404</v>
      </c>
      <c r="Y204" s="304">
        <f t="shared" si="108"/>
        <v>-0.11387163561072304</v>
      </c>
      <c r="Z204" s="304">
        <f t="shared" si="96"/>
        <v>13.544738511945802</v>
      </c>
      <c r="AA204" s="308">
        <f t="shared" si="109"/>
        <v>0.1035196687370616</v>
      </c>
      <c r="AB204" s="304">
        <f t="shared" si="119"/>
        <v>7.6899999999995998</v>
      </c>
      <c r="AC204" s="309"/>
      <c r="AD204" s="310">
        <f t="shared" si="110"/>
        <v>1.56049888420813</v>
      </c>
      <c r="AE204" s="310">
        <f t="shared" si="110"/>
        <v>5.5967473123702165</v>
      </c>
      <c r="AF204" s="310">
        <f t="shared" si="111"/>
        <v>1.0000499098766575</v>
      </c>
      <c r="AG204" s="310">
        <f t="shared" si="112"/>
        <v>1.56049888420813</v>
      </c>
      <c r="AH204" s="310">
        <f t="shared" si="115"/>
        <v>-0.1099999999999568</v>
      </c>
      <c r="AI204" s="310">
        <f t="shared" si="116"/>
        <v>28.979999999999563</v>
      </c>
      <c r="AJ204" s="311">
        <f t="shared" si="117"/>
        <v>89.971352109049832</v>
      </c>
      <c r="AK204" s="311" cm="1">
        <f t="array" ref="AK204">IF(OR(E204="", H204=""), "",
  IFERROR(
     (
      INDEX($AM$3:$AM$22, MATCH(E204, $AL$3:$AL$22, 1)) +
      (E204 - INDEX($AL$3:$AL$22, MATCH(E204, $AL$3:$AL$22, 1))) *
      (INDEX($AM$3:$AM$22, MATCH(E204, $AL$3:$AL$22, 1)+1) - INDEX($AM$3:$AM$22, MATCH(E204, $AL$3:$AL$22, 1))) /
      (INDEX($AL$3:$AL$22, MATCH(E204, $AL$3:$AL$22, 1)+1) - INDEX($AL$3:$AL$22, MATCH(E204, $AL$3:$AL$22, 1)))
    ) - H204,
    ""
  )
)</f>
        <v>3.6832908404060163</v>
      </c>
      <c r="AL204" s="338"/>
      <c r="AM204" s="339"/>
      <c r="AN204" s="340"/>
    </row>
    <row r="205" spans="1:40" s="315" customFormat="1" ht="15" customHeight="1" x14ac:dyDescent="0.35">
      <c r="A205" s="316">
        <f t="shared" si="103"/>
        <v>3</v>
      </c>
      <c r="B205" s="317">
        <f t="shared" si="103"/>
        <v>19</v>
      </c>
      <c r="C205" s="318">
        <f t="shared" si="123"/>
        <v>9.6899999999995998</v>
      </c>
      <c r="D205" s="319">
        <v>5265.48</v>
      </c>
      <c r="E205" s="320">
        <f t="shared" si="120"/>
        <v>5246.48</v>
      </c>
      <c r="F205" s="321">
        <v>89.22</v>
      </c>
      <c r="G205" s="321">
        <v>320.56</v>
      </c>
      <c r="H205" s="322">
        <f t="shared" si="99"/>
        <v>1996.4009502469169</v>
      </c>
      <c r="I205" s="323">
        <f t="shared" si="113"/>
        <v>0.67969356054947638</v>
      </c>
      <c r="J205" s="321" t="str">
        <f t="shared" si="102"/>
        <v/>
      </c>
      <c r="K205" s="323" t="str">
        <f t="shared" si="118"/>
        <v/>
      </c>
      <c r="L205" s="321"/>
      <c r="M205" s="333"/>
      <c r="N205" s="323" t="str">
        <f t="shared" si="121"/>
        <v/>
      </c>
      <c r="O205" s="323">
        <f t="shared" ref="O205:O268" si="126">SUM(IF(AND(D205&gt;K202,E205&lt;=J202),L202,0)+IF(AND(D205&gt;=K202,E205&lt;K202,E205&gt;J202),K202-E205,0)+IF(AND(D205&gt;J202,E205&lt;=J202,D205&lt;K202),D205-J202,0)+IF(AND(D205&lt;K202,E205&gt;J202,D205&gt;E205),D205-E205,0)+IF(AND(D205&gt;K203,E205&lt;=J203),L203,0)+IF(AND(D205&gt;=K203,E205&lt;K203,E205&gt;J203),K203-E205,0)+IF(AND(D205&gt;J203,E205&lt;J203,D205&lt;=K203),D205-J203,0)+IF(AND(D205&lt;K203,E205&gt;J203,D205&gt;E205),D205-E205,0)+IF(AND(D205&gt;K204,E205&lt;=J204),L204,0)+IF(AND(D205&gt;=K204,E205&lt;K204,E205&gt;J204),K204-E205,0)+IF(AND(D205&gt;J204,E205&lt;J204,D205&lt;=K204),D205-J204,0)+IF(AND(D205&lt;K204,E205&gt;J204,D205&gt;E205),D205-E205,0))</f>
        <v>2</v>
      </c>
      <c r="P205" s="324">
        <f t="shared" si="124"/>
        <v>149.93320410602641</v>
      </c>
      <c r="Q205" s="325" t="str">
        <f t="shared" si="125"/>
        <v>L</v>
      </c>
      <c r="R205" s="323">
        <f t="shared" si="104"/>
        <v>6.5824080603722936E-3</v>
      </c>
      <c r="S205" s="323">
        <f t="shared" si="122"/>
        <v>88.564523809523806</v>
      </c>
      <c r="T205" s="323">
        <f t="shared" si="105"/>
        <v>1996.7682672258397</v>
      </c>
      <c r="U205" s="323">
        <f t="shared" si="106"/>
        <v>2.2636759959310287E-2</v>
      </c>
      <c r="V205" s="322">
        <f t="shared" ref="V205:V268" si="127">IF(F205="","",IF(N205="",IF(O205="",(F205-F204)/30,AVERAGE(V204,V203,V202)),(F205-F204)/N205))</f>
        <v>-0.32773809523809627</v>
      </c>
      <c r="W205" s="323">
        <f t="shared" si="107"/>
        <v>-3.6666666666671215E-3</v>
      </c>
      <c r="X205" s="323">
        <f t="shared" si="114"/>
        <v>-0.58823529411766429</v>
      </c>
      <c r="Y205" s="323">
        <f t="shared" si="108"/>
        <v>-0.34055727554185194</v>
      </c>
      <c r="Z205" s="323">
        <f t="shared" si="96"/>
        <v>0.67969356054947638</v>
      </c>
      <c r="AA205" s="326">
        <f t="shared" si="109"/>
        <v>0</v>
      </c>
      <c r="AB205" s="323" t="str">
        <f t="shared" si="119"/>
        <v/>
      </c>
      <c r="AC205" s="327"/>
      <c r="AD205" s="328">
        <f t="shared" si="110"/>
        <v>1.5571827586293407</v>
      </c>
      <c r="AE205" s="328">
        <f t="shared" si="110"/>
        <v>5.5948274501930229</v>
      </c>
      <c r="AF205" s="328">
        <f t="shared" si="111"/>
        <v>1.0000117275126954</v>
      </c>
      <c r="AG205" s="328">
        <f t="shared" si="112"/>
        <v>1.5457425409371017</v>
      </c>
      <c r="AH205" s="328">
        <f t="shared" si="115"/>
        <v>-0.11000000000001364</v>
      </c>
      <c r="AI205" s="328">
        <f t="shared" si="116"/>
        <v>9.6899999999995998</v>
      </c>
      <c r="AJ205" s="329">
        <f t="shared" si="117"/>
        <v>89.971352109049832</v>
      </c>
      <c r="AK205" s="329" cm="1">
        <f t="array" ref="AK205">IF(OR(E205="", H205=""), "",
  IFERROR(
     (
      INDEX($AM$3:$AM$22, MATCH(E205, $AL$3:$AL$22, 1)) +
      (E205 - INDEX($AL$3:$AL$22, MATCH(E205, $AL$3:$AL$22, 1))) *
      (INDEX($AM$3:$AM$22, MATCH(E205, $AL$3:$AL$22, 1)+1) - INDEX($AM$3:$AM$22, MATCH(E205, $AL$3:$AL$22, 1))) /
      (INDEX($AL$3:$AL$22, MATCH(E205, $AL$3:$AL$22, 1)+1) - INDEX($AL$3:$AL$22, MATCH(E205, $AL$3:$AL$22, 1)))
    ) - H205,
    ""
  )
)</f>
        <v>3.5722897530831688</v>
      </c>
      <c r="AL205" s="341"/>
      <c r="AM205" s="342"/>
      <c r="AN205" s="343"/>
    </row>
    <row r="206" spans="1:40" s="315" customFormat="1" ht="15" customHeight="1" x14ac:dyDescent="0.35">
      <c r="A206" s="297">
        <f t="shared" si="103"/>
        <v>3</v>
      </c>
      <c r="B206" s="298">
        <f t="shared" si="103"/>
        <v>19</v>
      </c>
      <c r="C206" s="299">
        <f t="shared" si="123"/>
        <v>9.6700000000000728</v>
      </c>
      <c r="D206" s="300">
        <v>5275.15</v>
      </c>
      <c r="E206" s="301">
        <f t="shared" si="120"/>
        <v>5256.15</v>
      </c>
      <c r="F206" s="302">
        <v>87.92</v>
      </c>
      <c r="G206" s="302">
        <v>319.93</v>
      </c>
      <c r="H206" s="303">
        <f t="shared" si="99"/>
        <v>1996.6422710657789</v>
      </c>
      <c r="I206" s="304">
        <f t="shared" si="113"/>
        <v>4.4814453455421654</v>
      </c>
      <c r="J206" s="302" t="str">
        <f t="shared" si="102"/>
        <v/>
      </c>
      <c r="K206" s="304" t="str">
        <f t="shared" si="118"/>
        <v/>
      </c>
      <c r="L206" s="302"/>
      <c r="M206" s="305"/>
      <c r="N206" s="304">
        <f t="shared" si="121"/>
        <v>0.35999999999967258</v>
      </c>
      <c r="O206" s="304">
        <f t="shared" si="126"/>
        <v>1.6400000000003274</v>
      </c>
      <c r="P206" s="306">
        <f t="shared" si="124"/>
        <v>154.1519443570871</v>
      </c>
      <c r="Q206" s="307" t="str">
        <f t="shared" si="125"/>
        <v>L</v>
      </c>
      <c r="R206" s="304">
        <f t="shared" si="104"/>
        <v>4.7275261792067778E-2</v>
      </c>
      <c r="S206" s="304">
        <f t="shared" si="122"/>
        <v>81.997777777771219</v>
      </c>
      <c r="T206" s="304">
        <f t="shared" si="105"/>
        <v>1998.3118108337237</v>
      </c>
      <c r="U206" s="304">
        <f t="shared" si="106"/>
        <v>0.75100179197678707</v>
      </c>
      <c r="V206" s="303">
        <f t="shared" si="127"/>
        <v>-3.6111111111143877</v>
      </c>
      <c r="W206" s="304">
        <f t="shared" si="107"/>
        <v>-1.750000000001579</v>
      </c>
      <c r="X206" s="304">
        <f t="shared" si="114"/>
        <v>-4.0330920372285028</v>
      </c>
      <c r="Y206" s="304">
        <f t="shared" si="108"/>
        <v>-1.9544984488107262</v>
      </c>
      <c r="Z206" s="304">
        <f t="shared" si="96"/>
        <v>120.37660136509021</v>
      </c>
      <c r="AA206" s="308">
        <f t="shared" si="109"/>
        <v>3.7228541882075479E-2</v>
      </c>
      <c r="AB206" s="304" t="str">
        <f t="shared" si="119"/>
        <v/>
      </c>
      <c r="AC206" s="309"/>
      <c r="AD206" s="310">
        <f t="shared" si="110"/>
        <v>1.5344934783534145</v>
      </c>
      <c r="AE206" s="310">
        <f t="shared" si="110"/>
        <v>5.5838318759054584</v>
      </c>
      <c r="AF206" s="310">
        <f t="shared" si="111"/>
        <v>1.0005101236646334</v>
      </c>
      <c r="AG206" s="310">
        <f t="shared" si="112"/>
        <v>1.4311312015407469</v>
      </c>
      <c r="AH206" s="310">
        <f t="shared" si="115"/>
        <v>-0.62999999999999545</v>
      </c>
      <c r="AI206" s="310">
        <f t="shared" si="116"/>
        <v>9.6700000000000728</v>
      </c>
      <c r="AJ206" s="311">
        <f t="shared" si="117"/>
        <v>89.971352109049832</v>
      </c>
      <c r="AK206" s="311" cm="1">
        <f t="array" ref="AK206">IF(OR(E206="", H206=""), "",
  IFERROR(
     (
      INDEX($AM$3:$AM$22, MATCH(E206, $AL$3:$AL$22, 1)) +
      (E206 - INDEX($AL$3:$AL$22, MATCH(E206, $AL$3:$AL$22, 1))) *
      (INDEX($AM$3:$AM$22, MATCH(E206, $AL$3:$AL$22, 1)+1) - INDEX($AM$3:$AM$22, MATCH(E206, $AL$3:$AL$22, 1))) /
      (INDEX($AL$3:$AL$22, MATCH(E206, $AL$3:$AL$22, 1)+1) - INDEX($AL$3:$AL$22, MATCH(E206, $AL$3:$AL$22, 1)))
    ) - H206,
    ""
  )
)</f>
        <v>3.3358039342210759</v>
      </c>
      <c r="AL206" s="338"/>
      <c r="AM206" s="339"/>
      <c r="AN206" s="340"/>
    </row>
    <row r="207" spans="1:40" s="315" customFormat="1" ht="15" customHeight="1" x14ac:dyDescent="0.35">
      <c r="A207" s="316">
        <f t="shared" si="103"/>
        <v>3</v>
      </c>
      <c r="B207" s="317">
        <f t="shared" si="103"/>
        <v>19</v>
      </c>
      <c r="C207" s="318">
        <f t="shared" si="123"/>
        <v>9.680000000000291</v>
      </c>
      <c r="D207" s="319">
        <v>5284.83</v>
      </c>
      <c r="E207" s="320">
        <f t="shared" si="120"/>
        <v>5265.83</v>
      </c>
      <c r="F207" s="321">
        <v>87.59</v>
      </c>
      <c r="G207" s="321">
        <v>319.72000000000003</v>
      </c>
      <c r="H207" s="322">
        <f t="shared" si="99"/>
        <v>1997.0214619927863</v>
      </c>
      <c r="I207" s="323">
        <f t="shared" si="113"/>
        <v>1.2119797807568498</v>
      </c>
      <c r="J207" s="321">
        <f t="shared" si="102"/>
        <v>5284.83</v>
      </c>
      <c r="K207" s="323">
        <f t="shared" si="118"/>
        <v>5287.83</v>
      </c>
      <c r="L207" s="321">
        <v>3</v>
      </c>
      <c r="M207" s="333" t="s">
        <v>594</v>
      </c>
      <c r="N207" s="323">
        <f t="shared" si="121"/>
        <v>1.6400000000003274</v>
      </c>
      <c r="O207" s="323">
        <f t="shared" si="126"/>
        <v>0</v>
      </c>
      <c r="P207" s="324">
        <f t="shared" si="124"/>
        <v>147.54876710605288</v>
      </c>
      <c r="Q207" s="325" t="str">
        <f t="shared" si="125"/>
        <v>L</v>
      </c>
      <c r="R207" s="323">
        <f t="shared" si="104"/>
        <v>6.4484271244431943E-2</v>
      </c>
      <c r="S207" s="323">
        <f t="shared" si="122"/>
        <v>87.59</v>
      </c>
      <c r="T207" s="323">
        <f t="shared" si="105"/>
        <v>1997.8204126182793</v>
      </c>
      <c r="U207" s="323">
        <f t="shared" si="106"/>
        <v>6.6745934196524886E-2</v>
      </c>
      <c r="V207" s="322">
        <f t="shared" si="127"/>
        <v>-0.20121951219508075</v>
      </c>
      <c r="W207" s="323">
        <f t="shared" si="107"/>
        <v>-0.12804878048776683</v>
      </c>
      <c r="X207" s="323">
        <f t="shared" si="114"/>
        <v>-1.0227272727272367</v>
      </c>
      <c r="Y207" s="323">
        <f t="shared" si="108"/>
        <v>-0.6508264462809088</v>
      </c>
      <c r="Z207" s="323">
        <f t="shared" si="96"/>
        <v>7.1536367547099484</v>
      </c>
      <c r="AA207" s="326">
        <f t="shared" si="109"/>
        <v>0.1694214876033345</v>
      </c>
      <c r="AB207" s="323">
        <f t="shared" si="119"/>
        <v>25.980000000000473</v>
      </c>
      <c r="AC207" s="327"/>
      <c r="AD207" s="328">
        <f t="shared" si="110"/>
        <v>1.5287338918218334</v>
      </c>
      <c r="AE207" s="328">
        <f t="shared" si="110"/>
        <v>5.5801666844762705</v>
      </c>
      <c r="AF207" s="328">
        <f t="shared" si="111"/>
        <v>1.0000372892519687</v>
      </c>
      <c r="AG207" s="328">
        <f t="shared" si="112"/>
        <v>1.5287338918218334</v>
      </c>
      <c r="AH207" s="328">
        <f t="shared" si="115"/>
        <v>-0.20999999999997954</v>
      </c>
      <c r="AI207" s="328">
        <f t="shared" si="116"/>
        <v>9.680000000000291</v>
      </c>
      <c r="AJ207" s="329">
        <f t="shared" si="117"/>
        <v>89.971352109049832</v>
      </c>
      <c r="AK207" s="329" cm="1">
        <f t="array" ref="AK207">IF(OR(E207="", H207=""), "",
  IFERROR(
     (
      INDEX($AM$3:$AM$22, MATCH(E207, $AL$3:$AL$22, 1)) +
      (E207 - INDEX($AL$3:$AL$22, MATCH(E207, $AL$3:$AL$22, 1))) *
      (INDEX($AM$3:$AM$22, MATCH(E207, $AL$3:$AL$22, 1)+1) - INDEX($AM$3:$AM$22, MATCH(E207, $AL$3:$AL$22, 1))) /
      (INDEX($AL$3:$AL$22, MATCH(E207, $AL$3:$AL$22, 1)+1) - INDEX($AL$3:$AL$22, MATCH(E207, $AL$3:$AL$22, 1)))
    ) - H207,
    ""
  )
)</f>
        <v>2.9614530072137768</v>
      </c>
      <c r="AL207" s="341"/>
      <c r="AM207" s="342"/>
      <c r="AN207" s="343"/>
    </row>
    <row r="208" spans="1:40" s="315" customFormat="1" ht="15" customHeight="1" x14ac:dyDescent="0.35">
      <c r="A208" s="297">
        <f t="shared" si="103"/>
        <v>3</v>
      </c>
      <c r="B208" s="298">
        <f t="shared" si="103"/>
        <v>19</v>
      </c>
      <c r="C208" s="299">
        <f t="shared" si="123"/>
        <v>28.980000000000473</v>
      </c>
      <c r="D208" s="300">
        <v>5313.81</v>
      </c>
      <c r="E208" s="301">
        <f t="shared" si="120"/>
        <v>5294.81</v>
      </c>
      <c r="F208" s="302">
        <v>89.84</v>
      </c>
      <c r="G208" s="302">
        <v>320.49</v>
      </c>
      <c r="H208" s="303">
        <f t="shared" si="99"/>
        <v>1997.6713559038315</v>
      </c>
      <c r="I208" s="304">
        <f t="shared" si="113"/>
        <v>2.4617285320819806</v>
      </c>
      <c r="J208" s="302" t="str">
        <f t="shared" si="102"/>
        <v/>
      </c>
      <c r="K208" s="304" t="str">
        <f t="shared" si="118"/>
        <v/>
      </c>
      <c r="L208" s="302"/>
      <c r="M208" s="305"/>
      <c r="N208" s="304">
        <f t="shared" si="121"/>
        <v>3</v>
      </c>
      <c r="O208" s="304">
        <f t="shared" si="126"/>
        <v>0</v>
      </c>
      <c r="P208" s="306">
        <f t="shared" si="124"/>
        <v>18.886542606743944</v>
      </c>
      <c r="Q208" s="307" t="str">
        <f t="shared" si="125"/>
        <v>R</v>
      </c>
      <c r="R208" s="304">
        <f t="shared" si="104"/>
        <v>2.9232228592458107E-4</v>
      </c>
      <c r="S208" s="304">
        <f t="shared" si="122"/>
        <v>89.84</v>
      </c>
      <c r="T208" s="304">
        <f t="shared" si="105"/>
        <v>1997.7244138441326</v>
      </c>
      <c r="U208" s="304">
        <f t="shared" si="106"/>
        <v>2.9300030214194104E-4</v>
      </c>
      <c r="V208" s="303">
        <f t="shared" si="127"/>
        <v>0.75</v>
      </c>
      <c r="W208" s="304">
        <f t="shared" si="107"/>
        <v>0.2566666666666606</v>
      </c>
      <c r="X208" s="304">
        <f t="shared" si="114"/>
        <v>2.3291925465838128</v>
      </c>
      <c r="Y208" s="304">
        <f t="shared" si="108"/>
        <v>0.79710144927533044</v>
      </c>
      <c r="Z208" s="304">
        <f t="shared" si="96"/>
        <v>23.780297619912321</v>
      </c>
      <c r="AA208" s="308">
        <f t="shared" si="109"/>
        <v>0.10351966873705835</v>
      </c>
      <c r="AB208" s="304" t="str">
        <f t="shared" si="119"/>
        <v/>
      </c>
      <c r="AC208" s="309" t="s">
        <v>619</v>
      </c>
      <c r="AD208" s="310">
        <f t="shared" si="110"/>
        <v>1.5680037999917058</v>
      </c>
      <c r="AE208" s="310">
        <f t="shared" si="110"/>
        <v>5.5936057197166269</v>
      </c>
      <c r="AF208" s="310">
        <f t="shared" si="111"/>
        <v>1.0001538629258246</v>
      </c>
      <c r="AG208" s="310">
        <f t="shared" si="112"/>
        <v>1.5680037999917058</v>
      </c>
      <c r="AH208" s="310">
        <f t="shared" si="115"/>
        <v>0.76999999999998181</v>
      </c>
      <c r="AI208" s="310">
        <f t="shared" si="116"/>
        <v>28.980000000000473</v>
      </c>
      <c r="AJ208" s="311">
        <f t="shared" si="117"/>
        <v>89.971352109049832</v>
      </c>
      <c r="AK208" s="311" cm="1">
        <f t="array" ref="AK208">IF(OR(E208="", H208=""), "",
  IFERROR(
     (
      INDEX($AM$3:$AM$22, MATCH(E208, $AL$3:$AL$22, 1)) +
      (E208 - INDEX($AL$3:$AL$22, MATCH(E208, $AL$3:$AL$22, 1))) *
      (INDEX($AM$3:$AM$22, MATCH(E208, $AL$3:$AL$22, 1)+1) - INDEX($AM$3:$AM$22, MATCH(E208, $AL$3:$AL$22, 1))) /
      (INDEX($AL$3:$AL$22, MATCH(E208, $AL$3:$AL$22, 1)+1) - INDEX($AL$3:$AL$22, MATCH(E208, $AL$3:$AL$22, 1)))
    ) - H208,
    ""
  )
)</f>
        <v>2.3260490961686173</v>
      </c>
      <c r="AL208" s="338"/>
      <c r="AM208" s="339"/>
      <c r="AN208" s="340"/>
    </row>
    <row r="209" spans="1:40" s="315" customFormat="1" ht="15" customHeight="1" x14ac:dyDescent="0.35">
      <c r="A209" s="316">
        <f t="shared" ref="A209:B224" si="128">+A208</f>
        <v>3</v>
      </c>
      <c r="B209" s="317">
        <f t="shared" si="128"/>
        <v>19</v>
      </c>
      <c r="C209" s="318">
        <f t="shared" si="123"/>
        <v>28.929999999999382</v>
      </c>
      <c r="D209" s="319">
        <v>5342.74</v>
      </c>
      <c r="E209" s="320">
        <f t="shared" si="120"/>
        <v>5323.74</v>
      </c>
      <c r="F209" s="321">
        <v>90.81</v>
      </c>
      <c r="G209" s="321">
        <v>319.92</v>
      </c>
      <c r="H209" s="322">
        <f t="shared" si="99"/>
        <v>1997.5072565642276</v>
      </c>
      <c r="I209" s="323">
        <f t="shared" si="113"/>
        <v>1.1666813138866723</v>
      </c>
      <c r="J209" s="321">
        <f t="shared" si="102"/>
        <v>5342.74</v>
      </c>
      <c r="K209" s="323">
        <f t="shared" si="118"/>
        <v>5346.74</v>
      </c>
      <c r="L209" s="321">
        <v>4</v>
      </c>
      <c r="M209" s="333" t="s">
        <v>604</v>
      </c>
      <c r="N209" s="323" t="str">
        <f t="shared" si="121"/>
        <v/>
      </c>
      <c r="O209" s="323">
        <f t="shared" si="126"/>
        <v>0</v>
      </c>
      <c r="P209" s="324">
        <f t="shared" si="124"/>
        <v>30.439022849342312</v>
      </c>
      <c r="Q209" s="325" t="str">
        <f t="shared" si="125"/>
        <v>L</v>
      </c>
      <c r="R209" s="323">
        <f t="shared" si="104"/>
        <v>7.4385432125680297E-3</v>
      </c>
      <c r="S209" s="323">
        <f t="shared" si="122"/>
        <v>90.81</v>
      </c>
      <c r="T209" s="323">
        <f t="shared" si="105"/>
        <v>1997.2386593395049</v>
      </c>
      <c r="U209" s="323">
        <f t="shared" si="106"/>
        <v>7.3530184949624818E-3</v>
      </c>
      <c r="V209" s="322">
        <f t="shared" si="127"/>
        <v>-1.0207768744364893</v>
      </c>
      <c r="W209" s="323">
        <f t="shared" si="107"/>
        <v>-1.8999999999999774E-2</v>
      </c>
      <c r="X209" s="323">
        <f t="shared" si="114"/>
        <v>1.0058762530245624</v>
      </c>
      <c r="Y209" s="323">
        <f t="shared" si="108"/>
        <v>-0.59108192188040654</v>
      </c>
      <c r="Z209" s="323">
        <f t="shared" si="96"/>
        <v>1.1666813138866723</v>
      </c>
      <c r="AA209" s="326">
        <f t="shared" si="109"/>
        <v>0</v>
      </c>
      <c r="AB209" s="323">
        <f t="shared" si="119"/>
        <v>24.780000000000655</v>
      </c>
      <c r="AC209" s="327"/>
      <c r="AD209" s="328">
        <f t="shared" si="110"/>
        <v>1.5849334937360506</v>
      </c>
      <c r="AE209" s="328">
        <f t="shared" si="110"/>
        <v>5.583657342980259</v>
      </c>
      <c r="AF209" s="328">
        <f t="shared" si="111"/>
        <v>1.0000345538131703</v>
      </c>
      <c r="AG209" s="328">
        <f t="shared" si="112"/>
        <v>1.5849334937360506</v>
      </c>
      <c r="AH209" s="328">
        <f t="shared" si="115"/>
        <v>-0.56999999999999318</v>
      </c>
      <c r="AI209" s="328">
        <f t="shared" si="116"/>
        <v>28.929999999999382</v>
      </c>
      <c r="AJ209" s="329">
        <f t="shared" si="117"/>
        <v>90.286480091240904</v>
      </c>
      <c r="AK209" s="329" cm="1">
        <f t="array" ref="AK209">IF(OR(E209="", H209=""), "",
  IFERROR(
     (
      INDEX($AM$3:$AM$22, MATCH(E209, $AL$3:$AL$22, 1)) +
      (E209 - INDEX($AL$3:$AL$22, MATCH(E209, $AL$3:$AL$22, 1))) *
      (INDEX($AM$3:$AM$22, MATCH(E209, $AL$3:$AL$22, 1)+1) - INDEX($AM$3:$AM$22, MATCH(E209, $AL$3:$AL$22, 1))) /
      (INDEX($AL$3:$AL$22, MATCH(E209, $AL$3:$AL$22, 1)+1) - INDEX($AL$3:$AL$22, MATCH(E209, $AL$3:$AL$22, 1)))
    ) - H209,
    ""
  )
)</f>
        <v>2.3740434357723643</v>
      </c>
      <c r="AL209" s="341"/>
      <c r="AM209" s="342"/>
      <c r="AN209" s="343"/>
    </row>
    <row r="210" spans="1:40" s="315" customFormat="1" ht="15" customHeight="1" x14ac:dyDescent="0.35">
      <c r="A210" s="297">
        <f t="shared" si="128"/>
        <v>3</v>
      </c>
      <c r="B210" s="298">
        <f t="shared" si="128"/>
        <v>19</v>
      </c>
      <c r="C210" s="299">
        <f t="shared" si="123"/>
        <v>28.780000000000655</v>
      </c>
      <c r="D210" s="300">
        <v>5371.52</v>
      </c>
      <c r="E210" s="301">
        <f t="shared" si="120"/>
        <v>5352.52</v>
      </c>
      <c r="F210" s="302">
        <v>89.98</v>
      </c>
      <c r="G210" s="302">
        <v>321.47000000000003</v>
      </c>
      <c r="H210" s="303">
        <f t="shared" si="99"/>
        <v>1997.3088473612036</v>
      </c>
      <c r="I210" s="304">
        <f t="shared" si="113"/>
        <v>1.8327241119071414</v>
      </c>
      <c r="J210" s="302">
        <f t="shared" si="102"/>
        <v>5371.52</v>
      </c>
      <c r="K210" s="304">
        <f t="shared" si="118"/>
        <v>5376.52</v>
      </c>
      <c r="L210" s="302">
        <v>5</v>
      </c>
      <c r="M210" s="305" t="s">
        <v>618</v>
      </c>
      <c r="N210" s="304">
        <f t="shared" si="121"/>
        <v>4</v>
      </c>
      <c r="O210" s="304">
        <f t="shared" si="126"/>
        <v>0</v>
      </c>
      <c r="P210" s="306">
        <f t="shared" si="124"/>
        <v>118.16910643416435</v>
      </c>
      <c r="Q210" s="307" t="str">
        <f t="shared" si="125"/>
        <v>R</v>
      </c>
      <c r="R210" s="304">
        <f t="shared" si="104"/>
        <v>4.4964484813579289E-6</v>
      </c>
      <c r="S210" s="304">
        <f t="shared" si="122"/>
        <v>89.98</v>
      </c>
      <c r="T210" s="304">
        <f t="shared" si="105"/>
        <v>1997.3154796122265</v>
      </c>
      <c r="U210" s="304">
        <f t="shared" si="106"/>
        <v>4.4977292281606642E-6</v>
      </c>
      <c r="V210" s="303">
        <f t="shared" si="127"/>
        <v>-0.20749999999999957</v>
      </c>
      <c r="W210" s="304">
        <f t="shared" si="107"/>
        <v>0.38750000000000284</v>
      </c>
      <c r="X210" s="304">
        <f t="shared" si="114"/>
        <v>-0.86518415566363382</v>
      </c>
      <c r="Y210" s="304">
        <f t="shared" si="108"/>
        <v>1.6157053509381265</v>
      </c>
      <c r="Z210" s="304">
        <f t="shared" si="96"/>
        <v>13.186449985172182</v>
      </c>
      <c r="AA210" s="308">
        <f t="shared" si="109"/>
        <v>0.13898540653231095</v>
      </c>
      <c r="AB210" s="304">
        <f t="shared" si="119"/>
        <v>23.789999999999964</v>
      </c>
      <c r="AC210" s="309"/>
      <c r="AD210" s="310">
        <f t="shared" si="110"/>
        <v>1.5704472609444977</v>
      </c>
      <c r="AE210" s="310">
        <f t="shared" si="110"/>
        <v>5.610709946386172</v>
      </c>
      <c r="AF210" s="310">
        <f t="shared" si="111"/>
        <v>1.0000852731123659</v>
      </c>
      <c r="AG210" s="310">
        <f t="shared" si="112"/>
        <v>1.5704472609444977</v>
      </c>
      <c r="AH210" s="310">
        <f t="shared" si="115"/>
        <v>1.5500000000000114</v>
      </c>
      <c r="AI210" s="310">
        <f t="shared" si="116"/>
        <v>28.780000000000655</v>
      </c>
      <c r="AJ210" s="311">
        <f t="shared" si="117"/>
        <v>90.286480091240904</v>
      </c>
      <c r="AK210" s="311" cm="1">
        <f t="array" ref="AK210">IF(OR(E210="", H210=""), "",
  IFERROR(
     (
      INDEX($AM$3:$AM$22, MATCH(E210, $AL$3:$AL$22, 1)) +
      (E210 - INDEX($AL$3:$AL$22, MATCH(E210, $AL$3:$AL$22, 1))) *
      (INDEX($AM$3:$AM$22, MATCH(E210, $AL$3:$AL$22, 1)+1) - INDEX($AM$3:$AM$22, MATCH(E210, $AL$3:$AL$22, 1))) /
      (INDEX($AL$3:$AL$22, MATCH(E210, $AL$3:$AL$22, 1)+1) - INDEX($AL$3:$AL$22, MATCH(E210, $AL$3:$AL$22, 1)))
    ) - H210,
    ""
  )
)</f>
        <v>2.4285526387964183</v>
      </c>
      <c r="AL210" s="338"/>
      <c r="AM210" s="339"/>
      <c r="AN210" s="340"/>
    </row>
    <row r="211" spans="1:40" s="315" customFormat="1" ht="15" customHeight="1" x14ac:dyDescent="0.35">
      <c r="A211" s="316">
        <f t="shared" si="128"/>
        <v>3</v>
      </c>
      <c r="B211" s="317">
        <f t="shared" si="128"/>
        <v>19</v>
      </c>
      <c r="C211" s="318">
        <f t="shared" si="123"/>
        <v>28.789999999999964</v>
      </c>
      <c r="D211" s="319">
        <v>5400.31</v>
      </c>
      <c r="E211" s="320">
        <f t="shared" si="120"/>
        <v>5381.31</v>
      </c>
      <c r="F211" s="321">
        <v>88.85</v>
      </c>
      <c r="G211" s="321">
        <v>322.24</v>
      </c>
      <c r="H211" s="322">
        <f t="shared" si="99"/>
        <v>1997.6027932245597</v>
      </c>
      <c r="I211" s="323">
        <f t="shared" si="113"/>
        <v>1.4248454407725948</v>
      </c>
      <c r="J211" s="321" t="str">
        <f t="shared" si="102"/>
        <v/>
      </c>
      <c r="K211" s="323" t="str">
        <f t="shared" si="118"/>
        <v/>
      </c>
      <c r="L211" s="321"/>
      <c r="M211" s="333"/>
      <c r="N211" s="323">
        <f t="shared" si="121"/>
        <v>5</v>
      </c>
      <c r="O211" s="323">
        <f t="shared" si="126"/>
        <v>0</v>
      </c>
      <c r="P211" s="324">
        <f t="shared" si="124"/>
        <v>145.73068131784632</v>
      </c>
      <c r="Q211" s="325" t="str">
        <f t="shared" si="125"/>
        <v>R</v>
      </c>
      <c r="R211" s="323">
        <f t="shared" si="104"/>
        <v>1.5055896718180686E-2</v>
      </c>
      <c r="S211" s="323">
        <f t="shared" si="122"/>
        <v>88.85</v>
      </c>
      <c r="T211" s="323">
        <f t="shared" si="105"/>
        <v>1997.9841220614478</v>
      </c>
      <c r="U211" s="323">
        <f t="shared" si="106"/>
        <v>1.5309755869678148E-2</v>
      </c>
      <c r="V211" s="322">
        <f t="shared" si="127"/>
        <v>-0.22600000000000192</v>
      </c>
      <c r="W211" s="323">
        <f t="shared" si="107"/>
        <v>0.15399999999999636</v>
      </c>
      <c r="X211" s="323">
        <f t="shared" si="114"/>
        <v>-1.1774921847863957</v>
      </c>
      <c r="Y211" s="323">
        <f t="shared" si="108"/>
        <v>0.80236193122610222</v>
      </c>
      <c r="Z211" s="323">
        <f t="shared" si="96"/>
        <v>8.2042600479685905</v>
      </c>
      <c r="AA211" s="326">
        <f t="shared" si="109"/>
        <v>0.17367141368530761</v>
      </c>
      <c r="AB211" s="323" t="str">
        <f t="shared" si="119"/>
        <v/>
      </c>
      <c r="AC211" s="327"/>
      <c r="AD211" s="328">
        <f t="shared" si="110"/>
        <v>1.5507250403969617</v>
      </c>
      <c r="AE211" s="328">
        <f t="shared" si="110"/>
        <v>5.6241489816265275</v>
      </c>
      <c r="AF211" s="328">
        <f t="shared" si="111"/>
        <v>1.0000515389850961</v>
      </c>
      <c r="AG211" s="328">
        <f t="shared" si="112"/>
        <v>1.5507250403969617</v>
      </c>
      <c r="AH211" s="328">
        <f t="shared" si="115"/>
        <v>0.76999999999998181</v>
      </c>
      <c r="AI211" s="328">
        <f t="shared" si="116"/>
        <v>28.789999999999964</v>
      </c>
      <c r="AJ211" s="329">
        <f t="shared" si="117"/>
        <v>90.286480091240904</v>
      </c>
      <c r="AK211" s="329" cm="1">
        <f t="array" ref="AK211">IF(OR(E211="", H211=""), "",
  IFERROR(
     (
      INDEX($AM$3:$AM$22, MATCH(E211, $AL$3:$AL$22, 1)) +
      (E211 - INDEX($AL$3:$AL$22, MATCH(E211, $AL$3:$AL$22, 1))) *
      (INDEX($AM$3:$AM$22, MATCH(E211, $AL$3:$AL$22, 1)+1) - INDEX($AM$3:$AM$22, MATCH(E211, $AL$3:$AL$22, 1))) /
      (INDEX($AL$3:$AL$22, MATCH(E211, $AL$3:$AL$22, 1)+1) - INDEX($AL$3:$AL$22, MATCH(E211, $AL$3:$AL$22, 1)))
    ) - H211,
    ""
  )
)</f>
        <v>1.9906567754403568</v>
      </c>
      <c r="AL211" s="341"/>
      <c r="AM211" s="342"/>
      <c r="AN211" s="343"/>
    </row>
    <row r="212" spans="1:40" s="315" customFormat="1" ht="15" customHeight="1" x14ac:dyDescent="0.35">
      <c r="A212" s="297">
        <f t="shared" si="128"/>
        <v>3</v>
      </c>
      <c r="B212" s="298">
        <f t="shared" si="128"/>
        <v>19</v>
      </c>
      <c r="C212" s="299">
        <f t="shared" si="123"/>
        <v>28.779999999999745</v>
      </c>
      <c r="D212" s="300">
        <v>5429.09</v>
      </c>
      <c r="E212" s="301">
        <f t="shared" si="120"/>
        <v>5410.09</v>
      </c>
      <c r="F212" s="302">
        <v>88.53</v>
      </c>
      <c r="G212" s="302">
        <v>321.27</v>
      </c>
      <c r="H212" s="303">
        <f t="shared" si="99"/>
        <v>1998.260756439513</v>
      </c>
      <c r="I212" s="304">
        <f t="shared" si="113"/>
        <v>1.0644669384794059</v>
      </c>
      <c r="J212" s="302" t="str">
        <f t="shared" si="102"/>
        <v/>
      </c>
      <c r="K212" s="304" t="str">
        <f t="shared" si="118"/>
        <v/>
      </c>
      <c r="L212" s="302"/>
      <c r="M212" s="305"/>
      <c r="N212" s="304" t="str">
        <f t="shared" si="121"/>
        <v/>
      </c>
      <c r="O212" s="304">
        <f t="shared" si="126"/>
        <v>0</v>
      </c>
      <c r="P212" s="306">
        <f t="shared" si="124"/>
        <v>108.26204179484432</v>
      </c>
      <c r="Q212" s="307" t="str">
        <f t="shared" si="125"/>
        <v>L</v>
      </c>
      <c r="R212" s="304">
        <f t="shared" si="104"/>
        <v>2.5324623626138465E-2</v>
      </c>
      <c r="S212" s="304">
        <f t="shared" si="122"/>
        <v>88.53</v>
      </c>
      <c r="T212" s="304">
        <f t="shared" si="105"/>
        <v>1998.7481734219637</v>
      </c>
      <c r="U212" s="304">
        <f t="shared" si="106"/>
        <v>2.5889503252355076E-2</v>
      </c>
      <c r="V212" s="303">
        <f t="shared" si="127"/>
        <v>-0.48475895814549697</v>
      </c>
      <c r="W212" s="304">
        <f t="shared" si="107"/>
        <v>-3.2333333333334241E-2</v>
      </c>
      <c r="X212" s="304">
        <f t="shared" si="114"/>
        <v>-0.33356497567754972</v>
      </c>
      <c r="Y212" s="304">
        <f t="shared" si="108"/>
        <v>-1.0111188325226226</v>
      </c>
      <c r="Z212" s="304">
        <f t="shared" si="96"/>
        <v>1.0644669384794059</v>
      </c>
      <c r="AA212" s="308">
        <f t="shared" si="109"/>
        <v>0</v>
      </c>
      <c r="AB212" s="304" t="str">
        <f t="shared" si="119"/>
        <v/>
      </c>
      <c r="AC212" s="309"/>
      <c r="AD212" s="310">
        <f t="shared" si="110"/>
        <v>1.54513998679058</v>
      </c>
      <c r="AE212" s="310">
        <f t="shared" si="110"/>
        <v>5.6072192878821818</v>
      </c>
      <c r="AF212" s="310">
        <f t="shared" si="111"/>
        <v>1.0000287642353642</v>
      </c>
      <c r="AG212" s="310">
        <f t="shared" si="112"/>
        <v>1.54513998679058</v>
      </c>
      <c r="AH212" s="310">
        <f t="shared" si="115"/>
        <v>-0.97000000000002728</v>
      </c>
      <c r="AI212" s="310">
        <f t="shared" si="116"/>
        <v>28.779999999999745</v>
      </c>
      <c r="AJ212" s="311">
        <f t="shared" si="117"/>
        <v>90.286480091240904</v>
      </c>
      <c r="AK212" s="311" cm="1">
        <f t="array" ref="AK212">IF(OR(E212="", H212=""), "",
  IFERROR(
     (
      INDEX($AM$3:$AM$22, MATCH(E212, $AL$3:$AL$22, 1)) +
      (E212 - INDEX($AL$3:$AL$22, MATCH(E212, $AL$3:$AL$22, 1))) *
      (INDEX($AM$3:$AM$22, MATCH(E212, $AL$3:$AL$22, 1)+1) - INDEX($AM$3:$AM$22, MATCH(E212, $AL$3:$AL$22, 1))) /
      (INDEX($AL$3:$AL$22, MATCH(E212, $AL$3:$AL$22, 1)+1) - INDEX($AL$3:$AL$22, MATCH(E212, $AL$3:$AL$22, 1)))
    ) - H212,
    ""
  )
)</f>
        <v>1.1887935604870563</v>
      </c>
      <c r="AL212" s="338"/>
      <c r="AM212" s="339"/>
      <c r="AN212" s="340"/>
    </row>
    <row r="213" spans="1:40" s="315" customFormat="1" ht="15" customHeight="1" x14ac:dyDescent="0.35">
      <c r="A213" s="316">
        <f t="shared" si="128"/>
        <v>3</v>
      </c>
      <c r="B213" s="317">
        <f t="shared" si="128"/>
        <v>19</v>
      </c>
      <c r="C213" s="318">
        <f t="shared" si="123"/>
        <v>28.769999999999527</v>
      </c>
      <c r="D213" s="319">
        <v>5457.86</v>
      </c>
      <c r="E213" s="320">
        <f t="shared" si="120"/>
        <v>5438.86</v>
      </c>
      <c r="F213" s="321">
        <v>88.64</v>
      </c>
      <c r="G213" s="321">
        <v>320.89999999999998</v>
      </c>
      <c r="H213" s="322">
        <f t="shared" si="99"/>
        <v>1998.9711999008077</v>
      </c>
      <c r="I213" s="323">
        <f t="shared" si="113"/>
        <v>0.40239518028298676</v>
      </c>
      <c r="J213" s="321" t="str">
        <f t="shared" si="102"/>
        <v/>
      </c>
      <c r="K213" s="323" t="str">
        <f t="shared" si="118"/>
        <v/>
      </c>
      <c r="L213" s="321"/>
      <c r="M213" s="333"/>
      <c r="N213" s="323" t="str">
        <f t="shared" si="121"/>
        <v/>
      </c>
      <c r="O213" s="323">
        <f t="shared" si="126"/>
        <v>0</v>
      </c>
      <c r="P213" s="324">
        <f t="shared" si="124"/>
        <v>73.438152357434859</v>
      </c>
      <c r="Q213" s="325" t="str">
        <f t="shared" si="125"/>
        <v>L</v>
      </c>
      <c r="R213" s="323">
        <f t="shared" si="104"/>
        <v>2.2388531850301922E-2</v>
      </c>
      <c r="S213" s="323">
        <f t="shared" si="122"/>
        <v>88.64</v>
      </c>
      <c r="T213" s="323">
        <f t="shared" si="105"/>
        <v>1999.4221506309341</v>
      </c>
      <c r="U213" s="323">
        <f t="shared" si="106"/>
        <v>2.2865262258966457E-2</v>
      </c>
      <c r="V213" s="322">
        <f t="shared" si="127"/>
        <v>-0.30608631938183284</v>
      </c>
      <c r="W213" s="323">
        <f t="shared" si="107"/>
        <v>-1.2333333333333484E-2</v>
      </c>
      <c r="X213" s="323">
        <f t="shared" si="114"/>
        <v>0.11470281543274373</v>
      </c>
      <c r="Y213" s="323">
        <f t="shared" si="108"/>
        <v>-0.38581856100105383</v>
      </c>
      <c r="Z213" s="323">
        <f t="shared" si="96"/>
        <v>0.40239518028298676</v>
      </c>
      <c r="AA213" s="326">
        <f t="shared" si="109"/>
        <v>0</v>
      </c>
      <c r="AB213" s="323" t="str">
        <f t="shared" si="119"/>
        <v/>
      </c>
      <c r="AC213" s="327"/>
      <c r="AD213" s="328">
        <f t="shared" si="110"/>
        <v>1.5470598489677738</v>
      </c>
      <c r="AE213" s="328">
        <f t="shared" si="110"/>
        <v>5.6007615696498032</v>
      </c>
      <c r="AF213" s="328">
        <f t="shared" si="111"/>
        <v>1.0000041103724102</v>
      </c>
      <c r="AG213" s="328">
        <f t="shared" si="112"/>
        <v>1.5470598489677738</v>
      </c>
      <c r="AH213" s="328">
        <f t="shared" si="115"/>
        <v>-0.37000000000000455</v>
      </c>
      <c r="AI213" s="328">
        <f t="shared" si="116"/>
        <v>28.769999999999527</v>
      </c>
      <c r="AJ213" s="329">
        <f t="shared" si="117"/>
        <v>90.286480091240904</v>
      </c>
      <c r="AK213" s="329" cm="1">
        <f t="array" ref="AK213">IF(OR(E213="", H213=""), "",
  IFERROR(
     (
      INDEX($AM$3:$AM$22, MATCH(E213, $AL$3:$AL$22, 1)) +
      (E213 - INDEX($AL$3:$AL$22, MATCH(E213, $AL$3:$AL$22, 1))) *
      (INDEX($AM$3:$AM$22, MATCH(E213, $AL$3:$AL$22, 1)+1) - INDEX($AM$3:$AM$22, MATCH(E213, $AL$3:$AL$22, 1))) /
      (INDEX($AL$3:$AL$22, MATCH(E213, $AL$3:$AL$22, 1)+1) - INDEX($AL$3:$AL$22, MATCH(E213, $AL$3:$AL$22, 1)))
    ) - H213,
    ""
  )
)</f>
        <v>0.33450009919215518</v>
      </c>
      <c r="AL213" s="341"/>
      <c r="AM213" s="342"/>
      <c r="AN213" s="343"/>
    </row>
    <row r="214" spans="1:40" s="315" customFormat="1" ht="15" customHeight="1" x14ac:dyDescent="0.35">
      <c r="A214" s="297">
        <f t="shared" si="128"/>
        <v>3</v>
      </c>
      <c r="B214" s="298">
        <f t="shared" si="128"/>
        <v>19</v>
      </c>
      <c r="C214" s="299">
        <f t="shared" si="123"/>
        <v>28.850000000000364</v>
      </c>
      <c r="D214" s="300">
        <v>5486.71</v>
      </c>
      <c r="E214" s="301">
        <f t="shared" si="120"/>
        <v>5467.71</v>
      </c>
      <c r="F214" s="302">
        <v>88.29</v>
      </c>
      <c r="G214" s="302">
        <v>320.49</v>
      </c>
      <c r="H214" s="303">
        <f t="shared" si="99"/>
        <v>1999.7440221404911</v>
      </c>
      <c r="I214" s="304">
        <f t="shared" si="113"/>
        <v>0.56044460989575551</v>
      </c>
      <c r="J214" s="302">
        <f t="shared" si="102"/>
        <v>5486.71</v>
      </c>
      <c r="K214" s="304">
        <f t="shared" si="118"/>
        <v>5490.71</v>
      </c>
      <c r="L214" s="302">
        <v>4</v>
      </c>
      <c r="M214" s="305" t="s">
        <v>594</v>
      </c>
      <c r="N214" s="304" t="str">
        <f t="shared" si="121"/>
        <v/>
      </c>
      <c r="O214" s="304">
        <f t="shared" si="126"/>
        <v>0</v>
      </c>
      <c r="P214" s="306">
        <f t="shared" si="124"/>
        <v>130.49621078251121</v>
      </c>
      <c r="Q214" s="307" t="str">
        <f t="shared" si="125"/>
        <v>L</v>
      </c>
      <c r="R214" s="304">
        <f t="shared" si="104"/>
        <v>3.6705406911936141E-2</v>
      </c>
      <c r="S214" s="304">
        <f t="shared" si="122"/>
        <v>88.29</v>
      </c>
      <c r="T214" s="304">
        <f t="shared" si="105"/>
        <v>2000.3109954355261</v>
      </c>
      <c r="U214" s="304">
        <f t="shared" si="106"/>
        <v>3.7731134193741897E-2</v>
      </c>
      <c r="V214" s="303">
        <f t="shared" si="127"/>
        <v>-0.33894842584244395</v>
      </c>
      <c r="W214" s="304">
        <f t="shared" si="107"/>
        <v>-1.3666666666665606E-2</v>
      </c>
      <c r="X214" s="304">
        <f t="shared" si="114"/>
        <v>-0.36395147313690457</v>
      </c>
      <c r="Y214" s="304">
        <f t="shared" si="108"/>
        <v>-0.42634315424606206</v>
      </c>
      <c r="Z214" s="304">
        <f t="shared" si="96"/>
        <v>0.56044460989575551</v>
      </c>
      <c r="AA214" s="308">
        <f t="shared" si="109"/>
        <v>0</v>
      </c>
      <c r="AB214" s="304">
        <f t="shared" si="119"/>
        <v>24.859999999999673</v>
      </c>
      <c r="AC214" s="309"/>
      <c r="AD214" s="310">
        <f t="shared" si="110"/>
        <v>1.5409511965857936</v>
      </c>
      <c r="AE214" s="310">
        <f t="shared" si="110"/>
        <v>5.5936057197166269</v>
      </c>
      <c r="AF214" s="310">
        <f t="shared" si="111"/>
        <v>1.0000079733905636</v>
      </c>
      <c r="AG214" s="310">
        <f t="shared" si="112"/>
        <v>1.5409511965857936</v>
      </c>
      <c r="AH214" s="310">
        <f t="shared" si="115"/>
        <v>-0.40999999999996817</v>
      </c>
      <c r="AI214" s="310">
        <f t="shared" si="116"/>
        <v>28.850000000000364</v>
      </c>
      <c r="AJ214" s="311">
        <f t="shared" si="117"/>
        <v>90.286480091240904</v>
      </c>
      <c r="AK214" s="311" cm="1">
        <f t="array" ref="AK214">IF(OR(E214="", H214=""), "",
  IFERROR(
     (
      INDEX($AM$3:$AM$22, MATCH(E214, $AL$3:$AL$22, 1)) +
      (E214 - INDEX($AL$3:$AL$22, MATCH(E214, $AL$3:$AL$22, 1))) *
      (INDEX($AM$3:$AM$22, MATCH(E214, $AL$3:$AL$22, 1)+1) - INDEX($AM$3:$AM$22, MATCH(E214, $AL$3:$AL$22, 1))) /
      (INDEX($AL$3:$AL$22, MATCH(E214, $AL$3:$AL$22, 1)+1) - INDEX($AL$3:$AL$22, MATCH(E214, $AL$3:$AL$22, 1)))
    ) - H214,
    ""
  )
)</f>
        <v>-0.58257214049103823</v>
      </c>
      <c r="AL214" s="338"/>
      <c r="AM214" s="339"/>
      <c r="AN214" s="340"/>
    </row>
    <row r="215" spans="1:40" s="315" customFormat="1" ht="15" customHeight="1" x14ac:dyDescent="0.35">
      <c r="A215" s="316">
        <f t="shared" si="128"/>
        <v>3</v>
      </c>
      <c r="B215" s="317">
        <f t="shared" si="128"/>
        <v>19</v>
      </c>
      <c r="C215" s="318">
        <f t="shared" si="123"/>
        <v>28.859999999999673</v>
      </c>
      <c r="D215" s="319">
        <v>5515.57</v>
      </c>
      <c r="E215" s="320">
        <f t="shared" si="120"/>
        <v>5496.57</v>
      </c>
      <c r="F215" s="321">
        <v>90.22</v>
      </c>
      <c r="G215" s="321">
        <v>320.56</v>
      </c>
      <c r="H215" s="322">
        <f t="shared" si="99"/>
        <v>2000.1192695729012</v>
      </c>
      <c r="I215" s="323">
        <f t="shared" si="113"/>
        <v>2.0075557987376316</v>
      </c>
      <c r="J215" s="321" t="str">
        <f t="shared" si="102"/>
        <v/>
      </c>
      <c r="K215" s="323" t="str">
        <f t="shared" si="118"/>
        <v/>
      </c>
      <c r="L215" s="321"/>
      <c r="M215" s="333"/>
      <c r="N215" s="323">
        <f t="shared" si="121"/>
        <v>4</v>
      </c>
      <c r="O215" s="323">
        <f t="shared" si="126"/>
        <v>0</v>
      </c>
      <c r="P215" s="324">
        <f t="shared" si="124"/>
        <v>2.0769011630030163</v>
      </c>
      <c r="Q215" s="325" t="str">
        <f t="shared" si="125"/>
        <v>R</v>
      </c>
      <c r="R215" s="323">
        <f t="shared" si="104"/>
        <v>6.1872833176683008E-4</v>
      </c>
      <c r="S215" s="323">
        <f t="shared" si="122"/>
        <v>90.22</v>
      </c>
      <c r="T215" s="323">
        <f t="shared" si="105"/>
        <v>2000.0463149894356</v>
      </c>
      <c r="U215" s="323">
        <f t="shared" si="106"/>
        <v>6.1653217727194391E-4</v>
      </c>
      <c r="V215" s="322">
        <f t="shared" si="127"/>
        <v>0.48249999999999815</v>
      </c>
      <c r="W215" s="323">
        <f t="shared" si="107"/>
        <v>1.7499999999998295E-2</v>
      </c>
      <c r="X215" s="323">
        <f t="shared" si="114"/>
        <v>2.0062370062370212</v>
      </c>
      <c r="Y215" s="323">
        <f t="shared" si="108"/>
        <v>7.2765072765066496E-2</v>
      </c>
      <c r="Z215" s="323">
        <f t="shared" si="96"/>
        <v>14.484515087891847</v>
      </c>
      <c r="AA215" s="326">
        <f t="shared" si="109"/>
        <v>0.13860013860014017</v>
      </c>
      <c r="AB215" s="323" t="str">
        <f t="shared" si="119"/>
        <v/>
      </c>
      <c r="AC215" s="327" t="s">
        <v>620</v>
      </c>
      <c r="AD215" s="328">
        <f t="shared" si="110"/>
        <v>1.5746360511492841</v>
      </c>
      <c r="AE215" s="328">
        <f t="shared" si="110"/>
        <v>5.5948274501930229</v>
      </c>
      <c r="AF215" s="328">
        <f t="shared" si="111"/>
        <v>1.0001023203602772</v>
      </c>
      <c r="AG215" s="328">
        <f t="shared" si="112"/>
        <v>1.5746360511492841</v>
      </c>
      <c r="AH215" s="328">
        <f t="shared" si="115"/>
        <v>6.9999999999993179E-2</v>
      </c>
      <c r="AI215" s="328">
        <f t="shared" si="116"/>
        <v>28.859999999999673</v>
      </c>
      <c r="AJ215" s="329">
        <f t="shared" si="117"/>
        <v>90.286480091240904</v>
      </c>
      <c r="AK215" s="329" cm="1">
        <f t="array" ref="AK215">IF(OR(E215="", H215=""), "",
  IFERROR(
     (
      INDEX($AM$3:$AM$22, MATCH(E215, $AL$3:$AL$22, 1)) +
      (E215 - INDEX($AL$3:$AL$22, MATCH(E215, $AL$3:$AL$22, 1))) *
      (INDEX($AM$3:$AM$22, MATCH(E215, $AL$3:$AL$22, 1)+1) - INDEX($AM$3:$AM$22, MATCH(E215, $AL$3:$AL$22, 1))) /
      (INDEX($AL$3:$AL$22, MATCH(E215, $AL$3:$AL$22, 1)+1) - INDEX($AL$3:$AL$22, MATCH(E215, $AL$3:$AL$22, 1)))
    ) - H215,
    ""
  )
)</f>
        <v>-1.1021195729013016</v>
      </c>
      <c r="AL215" s="341"/>
      <c r="AM215" s="342"/>
      <c r="AN215" s="343"/>
    </row>
    <row r="216" spans="1:40" s="315" customFormat="1" ht="15" customHeight="1" x14ac:dyDescent="0.35">
      <c r="A216" s="297">
        <f t="shared" si="128"/>
        <v>3</v>
      </c>
      <c r="B216" s="298">
        <f t="shared" si="128"/>
        <v>19</v>
      </c>
      <c r="C216" s="299">
        <f t="shared" si="123"/>
        <v>28.789999999999964</v>
      </c>
      <c r="D216" s="300">
        <v>5544.36</v>
      </c>
      <c r="E216" s="301">
        <f t="shared" si="120"/>
        <v>5525.36</v>
      </c>
      <c r="F216" s="302">
        <v>91.13</v>
      </c>
      <c r="G216" s="302">
        <v>318.98</v>
      </c>
      <c r="H216" s="303">
        <f t="shared" si="99"/>
        <v>1999.7801032217221</v>
      </c>
      <c r="I216" s="304">
        <f t="shared" si="113"/>
        <v>1.8998385545541054</v>
      </c>
      <c r="J216" s="302" t="str">
        <f t="shared" si="102"/>
        <v/>
      </c>
      <c r="K216" s="304" t="str">
        <f t="shared" si="118"/>
        <v/>
      </c>
      <c r="L216" s="302"/>
      <c r="M216" s="305"/>
      <c r="N216" s="304" t="str">
        <f t="shared" si="121"/>
        <v/>
      </c>
      <c r="O216" s="304">
        <f t="shared" si="126"/>
        <v>0</v>
      </c>
      <c r="P216" s="306">
        <f t="shared" si="124"/>
        <v>60.058255500233649</v>
      </c>
      <c r="Q216" s="307" t="str">
        <f t="shared" si="125"/>
        <v>L</v>
      </c>
      <c r="R216" s="304">
        <f t="shared" si="104"/>
        <v>1.6057016511561283E-2</v>
      </c>
      <c r="S216" s="304">
        <f t="shared" si="122"/>
        <v>91.13</v>
      </c>
      <c r="T216" s="304">
        <f t="shared" si="105"/>
        <v>1999.4054053232107</v>
      </c>
      <c r="U216" s="304">
        <f t="shared" si="106"/>
        <v>1.5773145532427462E-2</v>
      </c>
      <c r="V216" s="303">
        <f t="shared" si="127"/>
        <v>-5.4178248408092877E-2</v>
      </c>
      <c r="W216" s="304">
        <f t="shared" si="107"/>
        <v>-5.2666666666666133E-2</v>
      </c>
      <c r="X216" s="304">
        <f t="shared" si="114"/>
        <v>0.94824591872177599</v>
      </c>
      <c r="Y216" s="304">
        <f t="shared" si="108"/>
        <v>-1.6464050017366996</v>
      </c>
      <c r="Z216" s="304">
        <f t="shared" si="96"/>
        <v>1.8998385545541054</v>
      </c>
      <c r="AA216" s="308">
        <f t="shared" si="109"/>
        <v>0</v>
      </c>
      <c r="AB216" s="304" t="str">
        <f t="shared" si="119"/>
        <v/>
      </c>
      <c r="AC216" s="309"/>
      <c r="AD216" s="310">
        <f t="shared" si="110"/>
        <v>1.5905185473424324</v>
      </c>
      <c r="AE216" s="310">
        <f t="shared" si="110"/>
        <v>5.5672512480115124</v>
      </c>
      <c r="AF216" s="310">
        <f t="shared" si="111"/>
        <v>1.0000916335760273</v>
      </c>
      <c r="AG216" s="310">
        <f t="shared" si="112"/>
        <v>1.5905185473424324</v>
      </c>
      <c r="AH216" s="310">
        <f t="shared" si="115"/>
        <v>-1.5799999999999841</v>
      </c>
      <c r="AI216" s="310">
        <f t="shared" si="116"/>
        <v>28.789999999999964</v>
      </c>
      <c r="AJ216" s="311">
        <f t="shared" si="117"/>
        <v>90.138898995476353</v>
      </c>
      <c r="AK216" s="311" cm="1">
        <f t="array" ref="AK216">IF(OR(E216="", H216=""), "",
  IFERROR(
     (
      INDEX($AM$3:$AM$22, MATCH(E216, $AL$3:$AL$22, 1)) +
      (E216 - INDEX($AL$3:$AL$22, MATCH(E216, $AL$3:$AL$22, 1))) *
      (INDEX($AM$3:$AM$22, MATCH(E216, $AL$3:$AL$22, 1)+1) - INDEX($AM$3:$AM$22, MATCH(E216, $AL$3:$AL$22, 1))) /
      (INDEX($AL$3:$AL$22, MATCH(E216, $AL$3:$AL$22, 1)+1) - INDEX($AL$3:$AL$22, MATCH(E216, $AL$3:$AL$22, 1)))
    ) - H216,
    ""
  )
)</f>
        <v>-0.84158200960087015</v>
      </c>
      <c r="AL216" s="338"/>
      <c r="AM216" s="339"/>
      <c r="AN216" s="340"/>
    </row>
    <row r="217" spans="1:40" s="315" customFormat="1" ht="15" customHeight="1" x14ac:dyDescent="0.35">
      <c r="A217" s="316">
        <f t="shared" si="128"/>
        <v>3</v>
      </c>
      <c r="B217" s="317">
        <f t="shared" si="128"/>
        <v>19</v>
      </c>
      <c r="C217" s="318">
        <f t="shared" si="123"/>
        <v>28.800000000000182</v>
      </c>
      <c r="D217" s="319">
        <v>5573.16</v>
      </c>
      <c r="E217" s="320">
        <f t="shared" si="120"/>
        <v>5554.16</v>
      </c>
      <c r="F217" s="321">
        <v>91.19</v>
      </c>
      <c r="G217" s="321">
        <v>315.49</v>
      </c>
      <c r="H217" s="322">
        <f t="shared" si="99"/>
        <v>1999.1970634577931</v>
      </c>
      <c r="I217" s="323">
        <f t="shared" si="113"/>
        <v>3.6352085489171215</v>
      </c>
      <c r="J217" s="321">
        <f t="shared" si="102"/>
        <v>5573.16</v>
      </c>
      <c r="K217" s="323">
        <f t="shared" si="118"/>
        <v>5578.16</v>
      </c>
      <c r="L217" s="321">
        <v>5</v>
      </c>
      <c r="M217" s="333" t="s">
        <v>579</v>
      </c>
      <c r="N217" s="323" t="str">
        <f t="shared" si="121"/>
        <v/>
      </c>
      <c r="O217" s="323">
        <f t="shared" si="126"/>
        <v>0</v>
      </c>
      <c r="P217" s="324">
        <f t="shared" si="124"/>
        <v>89.014867340659535</v>
      </c>
      <c r="Q217" s="325" t="str">
        <f t="shared" si="125"/>
        <v>L</v>
      </c>
      <c r="R217" s="323">
        <f t="shared" si="104"/>
        <v>1.7322300302438514E-2</v>
      </c>
      <c r="S217" s="323">
        <f t="shared" si="122"/>
        <v>91.19</v>
      </c>
      <c r="T217" s="323">
        <f t="shared" si="105"/>
        <v>1998.8024728843507</v>
      </c>
      <c r="U217" s="323">
        <f t="shared" si="106"/>
        <v>1.70087226946018E-2</v>
      </c>
      <c r="V217" s="322">
        <f t="shared" si="127"/>
        <v>2.9791108583153775E-2</v>
      </c>
      <c r="W217" s="323">
        <f t="shared" si="107"/>
        <v>-0.11633333333333364</v>
      </c>
      <c r="X217" s="323">
        <f t="shared" si="114"/>
        <v>6.2500000000001971E-2</v>
      </c>
      <c r="Y217" s="323">
        <f t="shared" si="108"/>
        <v>-3.6354166666666532</v>
      </c>
      <c r="Z217" s="323">
        <f t="shared" si="96"/>
        <v>3.6352085489171215</v>
      </c>
      <c r="AA217" s="326">
        <f t="shared" si="109"/>
        <v>0</v>
      </c>
      <c r="AB217" s="323">
        <f t="shared" si="119"/>
        <v>23.819999999999709</v>
      </c>
      <c r="AC217" s="327"/>
      <c r="AD217" s="328">
        <f t="shared" si="110"/>
        <v>1.5915657448936291</v>
      </c>
      <c r="AE217" s="328">
        <f t="shared" si="110"/>
        <v>5.5063392571169105</v>
      </c>
      <c r="AF217" s="328">
        <f t="shared" si="111"/>
        <v>1.0003355884535865</v>
      </c>
      <c r="AG217" s="328">
        <f t="shared" si="112"/>
        <v>1.5915657448936291</v>
      </c>
      <c r="AH217" s="328">
        <f t="shared" si="115"/>
        <v>-3.4900000000000091</v>
      </c>
      <c r="AI217" s="328">
        <f t="shared" si="116"/>
        <v>28.800000000000182</v>
      </c>
      <c r="AJ217" s="329">
        <f t="shared" si="117"/>
        <v>90.138898995476353</v>
      </c>
      <c r="AK217" s="329" cm="1">
        <f t="array" ref="AK217">IF(OR(E217="", H217=""), "",
  IFERROR(
     (
      INDEX($AM$3:$AM$22, MATCH(E217, $AL$3:$AL$22, 1)) +
      (E217 - INDEX($AL$3:$AL$22, MATCH(E217, $AL$3:$AL$22, 1))) *
      (INDEX($AM$3:$AM$22, MATCH(E217, $AL$3:$AL$22, 1)+1) - INDEX($AM$3:$AM$22, MATCH(E217, $AL$3:$AL$22, 1))) /
      (INDEX($AL$3:$AL$22, MATCH(E217, $AL$3:$AL$22, 1)+1) - INDEX($AL$3:$AL$22, MATCH(E217, $AL$3:$AL$22, 1)))
    ) - H217,
    ""
  )
)</f>
        <v>-0.32836042748999716</v>
      </c>
      <c r="AL217" s="341"/>
      <c r="AM217" s="342"/>
      <c r="AN217" s="343"/>
    </row>
    <row r="218" spans="1:40" s="315" customFormat="1" ht="15" customHeight="1" x14ac:dyDescent="0.35">
      <c r="A218" s="297">
        <f t="shared" si="128"/>
        <v>3</v>
      </c>
      <c r="B218" s="298">
        <f t="shared" si="128"/>
        <v>19</v>
      </c>
      <c r="C218" s="299">
        <f t="shared" si="123"/>
        <v>28.819999999999709</v>
      </c>
      <c r="D218" s="300">
        <v>5601.98</v>
      </c>
      <c r="E218" s="301">
        <f t="shared" si="120"/>
        <v>5582.98</v>
      </c>
      <c r="F218" s="302">
        <v>90.78</v>
      </c>
      <c r="G218" s="302">
        <v>319.16000000000003</v>
      </c>
      <c r="H218" s="303">
        <f t="shared" si="99"/>
        <v>1998.7016290306287</v>
      </c>
      <c r="I218" s="304">
        <f t="shared" si="113"/>
        <v>3.8434600525225009</v>
      </c>
      <c r="J218" s="302" t="str">
        <f t="shared" si="102"/>
        <v/>
      </c>
      <c r="K218" s="304" t="str">
        <f t="shared" si="118"/>
        <v/>
      </c>
      <c r="L218" s="302"/>
      <c r="M218" s="305"/>
      <c r="N218" s="304">
        <f t="shared" si="121"/>
        <v>5</v>
      </c>
      <c r="O218" s="304">
        <f t="shared" si="126"/>
        <v>0</v>
      </c>
      <c r="P218" s="306">
        <f t="shared" si="124"/>
        <v>96.375407712654749</v>
      </c>
      <c r="Q218" s="307" t="str">
        <f t="shared" si="125"/>
        <v>R</v>
      </c>
      <c r="R218" s="304">
        <f t="shared" si="104"/>
        <v>7.2739666512562544E-3</v>
      </c>
      <c r="S218" s="304">
        <f t="shared" si="122"/>
        <v>90.78</v>
      </c>
      <c r="T218" s="304">
        <f t="shared" si="105"/>
        <v>1998.4429792248845</v>
      </c>
      <c r="U218" s="304">
        <f t="shared" si="106"/>
        <v>7.1890540594221472E-3</v>
      </c>
      <c r="V218" s="303">
        <f t="shared" si="127"/>
        <v>-8.1999999999999323E-2</v>
      </c>
      <c r="W218" s="304">
        <f t="shared" si="107"/>
        <v>0.73400000000000321</v>
      </c>
      <c r="X218" s="304">
        <f t="shared" si="114"/>
        <v>-0.42678695350451151</v>
      </c>
      <c r="Y218" s="304">
        <f t="shared" si="108"/>
        <v>3.820263705759944</v>
      </c>
      <c r="Z218" s="304">
        <f t="shared" si="96"/>
        <v>22.15370374273947</v>
      </c>
      <c r="AA218" s="308">
        <f t="shared" si="109"/>
        <v>0.17349063150590044</v>
      </c>
      <c r="AB218" s="304" t="str">
        <f t="shared" si="119"/>
        <v/>
      </c>
      <c r="AC218" s="309"/>
      <c r="AD218" s="310">
        <f t="shared" si="110"/>
        <v>1.5844098949604524</v>
      </c>
      <c r="AE218" s="310">
        <f t="shared" si="110"/>
        <v>5.5703928406651029</v>
      </c>
      <c r="AF218" s="310">
        <f t="shared" si="111"/>
        <v>1.0003751575611333</v>
      </c>
      <c r="AG218" s="310">
        <f t="shared" si="112"/>
        <v>1.5844098949604524</v>
      </c>
      <c r="AH218" s="310">
        <f t="shared" si="115"/>
        <v>3.6700000000000159</v>
      </c>
      <c r="AI218" s="310">
        <f t="shared" si="116"/>
        <v>28.819999999999709</v>
      </c>
      <c r="AJ218" s="311">
        <f t="shared" si="117"/>
        <v>90.138898995476353</v>
      </c>
      <c r="AK218" s="311" cm="1">
        <f t="array" ref="AK218">IF(OR(E218="", H218=""), "",
  IFERROR(
     (
      INDEX($AM$3:$AM$22, MATCH(E218, $AL$3:$AL$22, 1)) +
      (E218 - INDEX($AL$3:$AL$22, MATCH(E218, $AL$3:$AL$22, 1))) *
      (INDEX($AM$3:$AM$22, MATCH(E218, $AL$3:$AL$22, 1)+1) - INDEX($AM$3:$AM$22, MATCH(E218, $AL$3:$AL$22, 1))) /
      (INDEX($AL$3:$AL$22, MATCH(E218, $AL$3:$AL$22, 1)+1) - INDEX($AL$3:$AL$22, MATCH(E218, $AL$3:$AL$22, 1)))
    ) - H218,
    ""
  )
)</f>
        <v>9.7207333007645502E-2</v>
      </c>
      <c r="AL218" s="338"/>
      <c r="AM218" s="339"/>
      <c r="AN218" s="340"/>
    </row>
    <row r="219" spans="1:40" s="315" customFormat="1" ht="15" customHeight="1" x14ac:dyDescent="0.35">
      <c r="A219" s="316">
        <f t="shared" si="128"/>
        <v>3</v>
      </c>
      <c r="B219" s="317">
        <f t="shared" si="128"/>
        <v>19</v>
      </c>
      <c r="C219" s="318">
        <f t="shared" si="123"/>
        <v>28.890000000000327</v>
      </c>
      <c r="D219" s="319">
        <v>5630.87</v>
      </c>
      <c r="E219" s="320">
        <f t="shared" si="120"/>
        <v>5611.87</v>
      </c>
      <c r="F219" s="321">
        <v>91.1</v>
      </c>
      <c r="G219" s="321">
        <v>318.41000000000003</v>
      </c>
      <c r="H219" s="322">
        <f t="shared" si="99"/>
        <v>1998.2276782090794</v>
      </c>
      <c r="I219" s="323">
        <f t="shared" si="113"/>
        <v>0.84664618072323683</v>
      </c>
      <c r="J219" s="321" t="str">
        <f t="shared" si="102"/>
        <v/>
      </c>
      <c r="K219" s="323" t="str">
        <f t="shared" si="118"/>
        <v/>
      </c>
      <c r="L219" s="321"/>
      <c r="M219" s="333"/>
      <c r="N219" s="323" t="str">
        <f t="shared" si="121"/>
        <v/>
      </c>
      <c r="O219" s="323">
        <f t="shared" si="126"/>
        <v>0</v>
      </c>
      <c r="P219" s="324">
        <f t="shared" si="124"/>
        <v>66.89086265669026</v>
      </c>
      <c r="Q219" s="325" t="str">
        <f t="shared" si="125"/>
        <v>L</v>
      </c>
      <c r="R219" s="323">
        <f t="shared" si="104"/>
        <v>1.41599457514577E-2</v>
      </c>
      <c r="S219" s="323">
        <f t="shared" si="122"/>
        <v>91.1</v>
      </c>
      <c r="T219" s="323">
        <f t="shared" si="105"/>
        <v>1997.8629268034854</v>
      </c>
      <c r="U219" s="323">
        <f t="shared" si="106"/>
        <v>1.3932789860664737E-2</v>
      </c>
      <c r="V219" s="322">
        <f t="shared" si="127"/>
        <v>-3.5462379941646145E-2</v>
      </c>
      <c r="W219" s="323">
        <f t="shared" si="107"/>
        <v>-2.5000000000000001E-2</v>
      </c>
      <c r="X219" s="323">
        <f t="shared" si="114"/>
        <v>0.33229491173415321</v>
      </c>
      <c r="Y219" s="323">
        <f t="shared" si="108"/>
        <v>-0.77881619937693825</v>
      </c>
      <c r="Z219" s="323">
        <f t="shared" si="96"/>
        <v>0.84664618072323683</v>
      </c>
      <c r="AA219" s="326">
        <f t="shared" si="109"/>
        <v>0</v>
      </c>
      <c r="AB219" s="323" t="str">
        <f t="shared" si="119"/>
        <v/>
      </c>
      <c r="AC219" s="327"/>
      <c r="AD219" s="328">
        <f t="shared" si="110"/>
        <v>1.5899949485668341</v>
      </c>
      <c r="AE219" s="328">
        <f t="shared" si="110"/>
        <v>5.5573028712751453</v>
      </c>
      <c r="AF219" s="328">
        <f t="shared" si="111"/>
        <v>1.000018196458837</v>
      </c>
      <c r="AG219" s="328">
        <f t="shared" si="112"/>
        <v>1.5899949485668341</v>
      </c>
      <c r="AH219" s="328">
        <f t="shared" si="115"/>
        <v>-0.75</v>
      </c>
      <c r="AI219" s="328">
        <f t="shared" si="116"/>
        <v>28.890000000000327</v>
      </c>
      <c r="AJ219" s="329">
        <f t="shared" si="117"/>
        <v>90.138898995476353</v>
      </c>
      <c r="AK219" s="329" cm="1">
        <f t="array" ref="AK219">IF(OR(E219="", H219=""), "",
  IFERROR(
     (
      INDEX($AM$3:$AM$22, MATCH(E219, $AL$3:$AL$22, 1)) +
      (E219 - INDEX($AL$3:$AL$22, MATCH(E219, $AL$3:$AL$22, 1))) *
      (INDEX($AM$3:$AM$22, MATCH(E219, $AL$3:$AL$22, 1)+1) - INDEX($AM$3:$AM$22, MATCH(E219, $AL$3:$AL$22, 1))) /
      (INDEX($AL$3:$AL$22, MATCH(E219, $AL$3:$AL$22, 1)+1) - INDEX($AL$3:$AL$22, MATCH(E219, $AL$3:$AL$22, 1)))
    ) - H219,
    ""
  )
)</f>
        <v>0.50112179092047882</v>
      </c>
      <c r="AL219" s="341"/>
      <c r="AM219" s="342"/>
      <c r="AN219" s="343"/>
    </row>
    <row r="220" spans="1:40" s="315" customFormat="1" ht="15" customHeight="1" x14ac:dyDescent="0.35">
      <c r="A220" s="297">
        <f t="shared" si="128"/>
        <v>3</v>
      </c>
      <c r="B220" s="298">
        <f t="shared" si="128"/>
        <v>19</v>
      </c>
      <c r="C220" s="299">
        <f t="shared" si="123"/>
        <v>28.869999999999891</v>
      </c>
      <c r="D220" s="300">
        <v>5659.74</v>
      </c>
      <c r="E220" s="301">
        <f t="shared" si="120"/>
        <v>5640.74</v>
      </c>
      <c r="F220" s="302">
        <v>88.56</v>
      </c>
      <c r="G220" s="302">
        <v>315.82</v>
      </c>
      <c r="H220" s="303">
        <f t="shared" si="99"/>
        <v>1998.3133370977557</v>
      </c>
      <c r="I220" s="304">
        <f t="shared" si="113"/>
        <v>3.7694532404396739</v>
      </c>
      <c r="J220" s="302" t="str">
        <f t="shared" si="102"/>
        <v/>
      </c>
      <c r="K220" s="304" t="str">
        <f t="shared" si="118"/>
        <v/>
      </c>
      <c r="L220" s="302"/>
      <c r="M220" s="305"/>
      <c r="N220" s="304" t="str">
        <f t="shared" si="121"/>
        <v/>
      </c>
      <c r="O220" s="304">
        <f t="shared" si="126"/>
        <v>0</v>
      </c>
      <c r="P220" s="306">
        <f t="shared" si="124"/>
        <v>134.44405121821467</v>
      </c>
      <c r="Q220" s="307" t="str">
        <f t="shared" si="125"/>
        <v>L</v>
      </c>
      <c r="R220" s="304">
        <f t="shared" si="104"/>
        <v>2.4358901302928459E-2</v>
      </c>
      <c r="S220" s="304">
        <f t="shared" si="122"/>
        <v>88.56</v>
      </c>
      <c r="T220" s="304">
        <f t="shared" si="105"/>
        <v>1998.7908089111791</v>
      </c>
      <c r="U220" s="304">
        <f t="shared" si="106"/>
        <v>2.4892194295352697E-2</v>
      </c>
      <c r="V220" s="303">
        <f t="shared" si="127"/>
        <v>-2.9223757119497231E-2</v>
      </c>
      <c r="W220" s="304">
        <f t="shared" si="107"/>
        <v>-8.63333333333344E-2</v>
      </c>
      <c r="X220" s="304">
        <f t="shared" si="114"/>
        <v>-2.6394180810529977</v>
      </c>
      <c r="Y220" s="304">
        <f t="shared" si="108"/>
        <v>-2.6913751298926654</v>
      </c>
      <c r="Z220" s="304">
        <f t="shared" si="96"/>
        <v>3.7694532404396739</v>
      </c>
      <c r="AA220" s="308">
        <f t="shared" si="109"/>
        <v>0</v>
      </c>
      <c r="AB220" s="304" t="str">
        <f t="shared" si="119"/>
        <v/>
      </c>
      <c r="AC220" s="309"/>
      <c r="AD220" s="310">
        <f t="shared" si="110"/>
        <v>1.5456635855661782</v>
      </c>
      <c r="AE220" s="310">
        <f t="shared" si="110"/>
        <v>5.5120988436484915</v>
      </c>
      <c r="AF220" s="310">
        <f t="shared" si="111"/>
        <v>1.0003608429499209</v>
      </c>
      <c r="AG220" s="310">
        <f t="shared" si="112"/>
        <v>1.5456635855661782</v>
      </c>
      <c r="AH220" s="310">
        <f t="shared" si="115"/>
        <v>-2.5900000000000318</v>
      </c>
      <c r="AI220" s="310">
        <f t="shared" si="116"/>
        <v>28.869999999999891</v>
      </c>
      <c r="AJ220" s="311">
        <f t="shared" si="117"/>
        <v>90.138898995476353</v>
      </c>
      <c r="AK220" s="311" cm="1">
        <f t="array" ref="AK220">IF(OR(E220="", H220=""), "",
  IFERROR(
     (
      INDEX($AM$3:$AM$22, MATCH(E220, $AL$3:$AL$22, 1)) +
      (E220 - INDEX($AL$3:$AL$22, MATCH(E220, $AL$3:$AL$22, 1))) *
      (INDEX($AM$3:$AM$22, MATCH(E220, $AL$3:$AL$22, 1)+1) - INDEX($AM$3:$AM$22, MATCH(E220, $AL$3:$AL$22, 1))) /
      (INDEX($AL$3:$AL$22, MATCH(E220, $AL$3:$AL$22, 1)+1) - INDEX($AL$3:$AL$22, MATCH(E220, $AL$3:$AL$22, 1)))
    ) - H220,
    ""
  )
)</f>
        <v>0.34547502345640169</v>
      </c>
      <c r="AL220" s="338"/>
      <c r="AM220" s="339"/>
      <c r="AN220" s="340"/>
    </row>
    <row r="221" spans="1:40" s="315" customFormat="1" ht="15" customHeight="1" x14ac:dyDescent="0.35">
      <c r="A221" s="316">
        <f t="shared" si="128"/>
        <v>3</v>
      </c>
      <c r="B221" s="317">
        <f t="shared" si="128"/>
        <v>19</v>
      </c>
      <c r="C221" s="318">
        <f t="shared" si="123"/>
        <v>5.2600000000002183</v>
      </c>
      <c r="D221" s="319">
        <v>5665</v>
      </c>
      <c r="E221" s="320">
        <f t="shared" si="120"/>
        <v>5646</v>
      </c>
      <c r="F221" s="321">
        <v>88.18</v>
      </c>
      <c r="G221" s="321">
        <v>315.05</v>
      </c>
      <c r="H221" s="322">
        <f t="shared" si="99"/>
        <v>1998.4629579529496</v>
      </c>
      <c r="I221" s="323">
        <f t="shared" si="113"/>
        <v>4.8957096162147362</v>
      </c>
      <c r="J221" s="321" t="str">
        <f t="shared" si="102"/>
        <v/>
      </c>
      <c r="K221" s="323" t="str">
        <f t="shared" si="118"/>
        <v/>
      </c>
      <c r="L221" s="321"/>
      <c r="M221" s="333"/>
      <c r="N221" s="323" t="str">
        <f t="shared" si="121"/>
        <v/>
      </c>
      <c r="O221" s="323">
        <f t="shared" si="126"/>
        <v>0</v>
      </c>
      <c r="P221" s="324">
        <f t="shared" si="124"/>
        <v>116.27588402904064</v>
      </c>
      <c r="Q221" s="325" t="str">
        <f t="shared" si="125"/>
        <v>L</v>
      </c>
      <c r="R221" s="323">
        <f t="shared" si="104"/>
        <v>3.9173040760181729E-2</v>
      </c>
      <c r="S221" s="323">
        <f t="shared" si="122"/>
        <v>88.18</v>
      </c>
      <c r="T221" s="323">
        <f t="shared" si="105"/>
        <v>1999.0663913174819</v>
      </c>
      <c r="U221" s="323">
        <f t="shared" si="106"/>
        <v>4.0270781512017156E-2</v>
      </c>
      <c r="V221" s="322">
        <f t="shared" si="127"/>
        <v>-4.8895379020380901E-2</v>
      </c>
      <c r="W221" s="323">
        <f t="shared" si="107"/>
        <v>-2.566666666666606E-2</v>
      </c>
      <c r="X221" s="323">
        <f t="shared" si="114"/>
        <v>-2.1673003802280211</v>
      </c>
      <c r="Y221" s="323">
        <f t="shared" si="108"/>
        <v>-4.3916349809883073</v>
      </c>
      <c r="Z221" s="323">
        <f t="shared" ref="Z221:Z284" si="129">IF(V221="","",IF(N221="",I221,AI221/N221*I221))</f>
        <v>4.8957096162147362</v>
      </c>
      <c r="AA221" s="326">
        <f t="shared" si="109"/>
        <v>0</v>
      </c>
      <c r="AB221" s="323" t="str">
        <f t="shared" si="119"/>
        <v/>
      </c>
      <c r="AC221" s="327" t="s">
        <v>621</v>
      </c>
      <c r="AD221" s="328">
        <f t="shared" si="110"/>
        <v>1.5390313344086</v>
      </c>
      <c r="AE221" s="328">
        <f t="shared" si="110"/>
        <v>5.4986598084081351</v>
      </c>
      <c r="AF221" s="328">
        <f t="shared" si="111"/>
        <v>1.0006088663730632</v>
      </c>
      <c r="AG221" s="328">
        <f t="shared" si="112"/>
        <v>1.5390313344086</v>
      </c>
      <c r="AH221" s="328">
        <f t="shared" si="115"/>
        <v>-0.76999999999998181</v>
      </c>
      <c r="AI221" s="328">
        <f t="shared" si="116"/>
        <v>5.2600000000002183</v>
      </c>
      <c r="AJ221" s="329">
        <f t="shared" si="117"/>
        <v>90.138898995476353</v>
      </c>
      <c r="AK221" s="329" cm="1">
        <f t="array" ref="AK221">IF(OR(E221="", H221=""), "",
  IFERROR(
     (
      INDEX($AM$3:$AM$22, MATCH(E221, $AL$3:$AL$22, 1)) +
      (E221 - INDEX($AL$3:$AL$22, MATCH(E221, $AL$3:$AL$22, 1))) *
      (INDEX($AM$3:$AM$22, MATCH(E221, $AL$3:$AL$22, 1)+1) - INDEX($AM$3:$AM$22, MATCH(E221, $AL$3:$AL$22, 1))) /
      (INDEX($AL$3:$AL$22, MATCH(E221, $AL$3:$AL$22, 1)+1) - INDEX($AL$3:$AL$22, MATCH(E221, $AL$3:$AL$22, 1)))
    ) - H221,
    ""
  )
)</f>
        <v>0.1831026531108364</v>
      </c>
      <c r="AL221" s="341"/>
      <c r="AM221" s="342"/>
      <c r="AN221" s="343"/>
    </row>
    <row r="222" spans="1:40" s="315" customFormat="1" ht="15" customHeight="1" x14ac:dyDescent="0.35">
      <c r="A222" s="297">
        <f t="shared" si="128"/>
        <v>3</v>
      </c>
      <c r="B222" s="298">
        <f t="shared" si="128"/>
        <v>19</v>
      </c>
      <c r="C222" s="299" t="str">
        <f t="shared" si="123"/>
        <v/>
      </c>
      <c r="D222" s="300"/>
      <c r="E222" s="301" t="str">
        <f t="shared" si="120"/>
        <v/>
      </c>
      <c r="F222" s="302"/>
      <c r="G222" s="302"/>
      <c r="H222" s="303" t="str">
        <f t="shared" si="99"/>
        <v/>
      </c>
      <c r="I222" s="304" t="str">
        <f t="shared" si="113"/>
        <v/>
      </c>
      <c r="J222" s="302" t="str">
        <f t="shared" si="102"/>
        <v/>
      </c>
      <c r="K222" s="304" t="str">
        <f t="shared" si="118"/>
        <v/>
      </c>
      <c r="L222" s="302"/>
      <c r="M222" s="305"/>
      <c r="N222" s="304" t="str">
        <f t="shared" si="121"/>
        <v/>
      </c>
      <c r="O222" s="304">
        <f t="shared" si="126"/>
        <v>0</v>
      </c>
      <c r="P222" s="306" t="str">
        <f t="shared" si="124"/>
        <v/>
      </c>
      <c r="Q222" s="307" t="str">
        <f t="shared" si="125"/>
        <v/>
      </c>
      <c r="R222" s="304" t="str">
        <f t="shared" si="104"/>
        <v/>
      </c>
      <c r="S222" s="304" t="str">
        <f t="shared" si="122"/>
        <v/>
      </c>
      <c r="T222" s="304" t="str">
        <f t="shared" si="105"/>
        <v/>
      </c>
      <c r="U222" s="304" t="str">
        <f t="shared" si="106"/>
        <v/>
      </c>
      <c r="V222" s="303" t="str">
        <f t="shared" si="127"/>
        <v/>
      </c>
      <c r="W222" s="304" t="str">
        <f t="shared" si="107"/>
        <v/>
      </c>
      <c r="X222" s="304" t="str">
        <f t="shared" si="114"/>
        <v/>
      </c>
      <c r="Y222" s="304" t="str">
        <f t="shared" si="108"/>
        <v/>
      </c>
      <c r="Z222" s="304" t="str">
        <f t="shared" si="129"/>
        <v/>
      </c>
      <c r="AA222" s="308" t="str">
        <f t="shared" si="109"/>
        <v/>
      </c>
      <c r="AB222" s="304" t="str">
        <f t="shared" si="119"/>
        <v/>
      </c>
      <c r="AC222" s="309"/>
      <c r="AD222" s="310" t="str">
        <f t="shared" si="110"/>
        <v/>
      </c>
      <c r="AE222" s="310" t="str">
        <f t="shared" si="110"/>
        <v/>
      </c>
      <c r="AF222" s="310" t="str">
        <f t="shared" si="111"/>
        <v/>
      </c>
      <c r="AG222" s="310" t="str">
        <f t="shared" si="112"/>
        <v/>
      </c>
      <c r="AH222" s="310" t="str">
        <f t="shared" si="115"/>
        <v/>
      </c>
      <c r="AI222" s="310" t="str">
        <f t="shared" si="116"/>
        <v/>
      </c>
      <c r="AJ222" s="311" t="str">
        <f t="shared" si="117"/>
        <v/>
      </c>
      <c r="AK222" s="311" t="str" cm="1">
        <f t="array" ref="AK222">IF(OR(E222="", H222=""), "",
  IFERROR(
     (
      INDEX($AM$3:$AM$22, MATCH(E222, $AL$3:$AL$22, 1)) +
      (E222 - INDEX($AL$3:$AL$22, MATCH(E222, $AL$3:$AL$22, 1))) *
      (INDEX($AM$3:$AM$22, MATCH(E222, $AL$3:$AL$22, 1)+1) - INDEX($AM$3:$AM$22, MATCH(E222, $AL$3:$AL$22, 1))) /
      (INDEX($AL$3:$AL$22, MATCH(E222, $AL$3:$AL$22, 1)+1) - INDEX($AL$3:$AL$22, MATCH(E222, $AL$3:$AL$22, 1)))
    ) - H222,
    ""
  )
)</f>
        <v/>
      </c>
      <c r="AL222" s="338"/>
      <c r="AM222" s="339"/>
      <c r="AN222" s="340"/>
    </row>
    <row r="223" spans="1:40" s="315" customFormat="1" ht="15" customHeight="1" x14ac:dyDescent="0.35">
      <c r="A223" s="316">
        <f t="shared" si="128"/>
        <v>3</v>
      </c>
      <c r="B223" s="317">
        <f t="shared" si="128"/>
        <v>19</v>
      </c>
      <c r="C223" s="318" t="str">
        <f t="shared" si="123"/>
        <v/>
      </c>
      <c r="D223" s="319"/>
      <c r="E223" s="320" t="str">
        <f t="shared" si="120"/>
        <v/>
      </c>
      <c r="F223" s="321"/>
      <c r="G223" s="321"/>
      <c r="H223" s="322" t="str">
        <f t="shared" si="99"/>
        <v/>
      </c>
      <c r="I223" s="323" t="str">
        <f t="shared" si="113"/>
        <v/>
      </c>
      <c r="J223" s="321" t="str">
        <f t="shared" si="102"/>
        <v/>
      </c>
      <c r="K223" s="323" t="str">
        <f t="shared" si="118"/>
        <v/>
      </c>
      <c r="L223" s="321"/>
      <c r="M223" s="333"/>
      <c r="N223" s="323" t="str">
        <f t="shared" si="121"/>
        <v/>
      </c>
      <c r="O223" s="323">
        <f t="shared" si="126"/>
        <v>0</v>
      </c>
      <c r="P223" s="324" t="str">
        <f t="shared" si="124"/>
        <v/>
      </c>
      <c r="Q223" s="325" t="str">
        <f t="shared" si="125"/>
        <v/>
      </c>
      <c r="R223" s="323" t="str">
        <f t="shared" si="104"/>
        <v/>
      </c>
      <c r="S223" s="323" t="str">
        <f t="shared" si="122"/>
        <v/>
      </c>
      <c r="T223" s="323" t="str">
        <f t="shared" si="105"/>
        <v/>
      </c>
      <c r="U223" s="323" t="str">
        <f t="shared" si="106"/>
        <v/>
      </c>
      <c r="V223" s="322" t="str">
        <f t="shared" si="127"/>
        <v/>
      </c>
      <c r="W223" s="323" t="str">
        <f t="shared" si="107"/>
        <v/>
      </c>
      <c r="X223" s="323" t="str">
        <f t="shared" si="114"/>
        <v/>
      </c>
      <c r="Y223" s="323" t="str">
        <f t="shared" si="108"/>
        <v/>
      </c>
      <c r="Z223" s="323" t="str">
        <f t="shared" si="129"/>
        <v/>
      </c>
      <c r="AA223" s="326" t="str">
        <f t="shared" si="109"/>
        <v/>
      </c>
      <c r="AB223" s="323" t="str">
        <f t="shared" si="119"/>
        <v/>
      </c>
      <c r="AC223" s="327"/>
      <c r="AD223" s="328" t="str">
        <f t="shared" si="110"/>
        <v/>
      </c>
      <c r="AE223" s="328" t="str">
        <f t="shared" si="110"/>
        <v/>
      </c>
      <c r="AF223" s="328" t="str">
        <f t="shared" si="111"/>
        <v/>
      </c>
      <c r="AG223" s="328" t="str">
        <f t="shared" si="112"/>
        <v/>
      </c>
      <c r="AH223" s="328" t="str">
        <f t="shared" si="115"/>
        <v/>
      </c>
      <c r="AI223" s="328" t="str">
        <f t="shared" si="116"/>
        <v/>
      </c>
      <c r="AJ223" s="329" t="str">
        <f t="shared" si="117"/>
        <v/>
      </c>
      <c r="AK223" s="329" t="str" cm="1">
        <f t="array" ref="AK223">IF(OR(E223="", H223=""), "",
  IFERROR(
     (
      INDEX($AM$3:$AM$22, MATCH(E223, $AL$3:$AL$22, 1)) +
      (E223 - INDEX($AL$3:$AL$22, MATCH(E223, $AL$3:$AL$22, 1))) *
      (INDEX($AM$3:$AM$22, MATCH(E223, $AL$3:$AL$22, 1)+1) - INDEX($AM$3:$AM$22, MATCH(E223, $AL$3:$AL$22, 1))) /
      (INDEX($AL$3:$AL$22, MATCH(E223, $AL$3:$AL$22, 1)+1) - INDEX($AL$3:$AL$22, MATCH(E223, $AL$3:$AL$22, 1)))
    ) - H223,
    ""
  )
)</f>
        <v/>
      </c>
      <c r="AL223" s="341"/>
      <c r="AM223" s="342"/>
      <c r="AN223" s="343"/>
    </row>
    <row r="224" spans="1:40" s="315" customFormat="1" ht="15" customHeight="1" x14ac:dyDescent="0.35">
      <c r="A224" s="297">
        <f t="shared" si="128"/>
        <v>3</v>
      </c>
      <c r="B224" s="298">
        <f t="shared" si="128"/>
        <v>19</v>
      </c>
      <c r="C224" s="299" t="str">
        <f t="shared" si="123"/>
        <v/>
      </c>
      <c r="D224" s="300"/>
      <c r="E224" s="301" t="str">
        <f t="shared" si="120"/>
        <v/>
      </c>
      <c r="F224" s="302"/>
      <c r="G224" s="302"/>
      <c r="H224" s="303" t="str">
        <f t="shared" si="99"/>
        <v/>
      </c>
      <c r="I224" s="304" t="str">
        <f t="shared" si="113"/>
        <v/>
      </c>
      <c r="J224" s="302" t="str">
        <f t="shared" si="102"/>
        <v/>
      </c>
      <c r="K224" s="304" t="str">
        <f t="shared" si="118"/>
        <v/>
      </c>
      <c r="L224" s="302"/>
      <c r="M224" s="305"/>
      <c r="N224" s="304" t="str">
        <f t="shared" si="121"/>
        <v/>
      </c>
      <c r="O224" s="304">
        <f t="shared" si="126"/>
        <v>0</v>
      </c>
      <c r="P224" s="306" t="str">
        <f t="shared" si="124"/>
        <v/>
      </c>
      <c r="Q224" s="307" t="str">
        <f t="shared" si="125"/>
        <v/>
      </c>
      <c r="R224" s="304" t="str">
        <f t="shared" si="104"/>
        <v/>
      </c>
      <c r="S224" s="304" t="str">
        <f t="shared" si="122"/>
        <v/>
      </c>
      <c r="T224" s="304" t="str">
        <f t="shared" si="105"/>
        <v/>
      </c>
      <c r="U224" s="304" t="str">
        <f t="shared" si="106"/>
        <v/>
      </c>
      <c r="V224" s="303" t="str">
        <f t="shared" si="127"/>
        <v/>
      </c>
      <c r="W224" s="304" t="str">
        <f t="shared" si="107"/>
        <v/>
      </c>
      <c r="X224" s="304" t="str">
        <f t="shared" si="114"/>
        <v/>
      </c>
      <c r="Y224" s="304" t="str">
        <f t="shared" si="108"/>
        <v/>
      </c>
      <c r="Z224" s="304" t="str">
        <f t="shared" si="129"/>
        <v/>
      </c>
      <c r="AA224" s="308" t="str">
        <f t="shared" si="109"/>
        <v/>
      </c>
      <c r="AB224" s="304" t="str">
        <f t="shared" si="119"/>
        <v/>
      </c>
      <c r="AC224" s="309"/>
      <c r="AD224" s="310" t="str">
        <f t="shared" si="110"/>
        <v/>
      </c>
      <c r="AE224" s="310" t="str">
        <f t="shared" si="110"/>
        <v/>
      </c>
      <c r="AF224" s="310" t="str">
        <f t="shared" si="111"/>
        <v/>
      </c>
      <c r="AG224" s="310" t="str">
        <f t="shared" si="112"/>
        <v/>
      </c>
      <c r="AH224" s="310" t="str">
        <f t="shared" si="115"/>
        <v/>
      </c>
      <c r="AI224" s="310" t="str">
        <f t="shared" si="116"/>
        <v/>
      </c>
      <c r="AJ224" s="311" t="str">
        <f t="shared" si="117"/>
        <v/>
      </c>
      <c r="AK224" s="311" t="str" cm="1">
        <f t="array" ref="AK224">IF(OR(E224="", H224=""), "",
  IFERROR(
     (
      INDEX($AM$3:$AM$22, MATCH(E224, $AL$3:$AL$22, 1)) +
      (E224 - INDEX($AL$3:$AL$22, MATCH(E224, $AL$3:$AL$22, 1))) *
      (INDEX($AM$3:$AM$22, MATCH(E224, $AL$3:$AL$22, 1)+1) - INDEX($AM$3:$AM$22, MATCH(E224, $AL$3:$AL$22, 1))) /
      (INDEX($AL$3:$AL$22, MATCH(E224, $AL$3:$AL$22, 1)+1) - INDEX($AL$3:$AL$22, MATCH(E224, $AL$3:$AL$22, 1)))
    ) - H224,
    ""
  )
)</f>
        <v/>
      </c>
      <c r="AL224" s="338"/>
      <c r="AM224" s="339"/>
      <c r="AN224" s="340"/>
    </row>
    <row r="225" spans="1:40" s="315" customFormat="1" ht="15" customHeight="1" x14ac:dyDescent="0.35">
      <c r="A225" s="316">
        <f t="shared" ref="A225:B240" si="130">+A224</f>
        <v>3</v>
      </c>
      <c r="B225" s="317">
        <f t="shared" si="130"/>
        <v>19</v>
      </c>
      <c r="C225" s="318" t="str">
        <f t="shared" si="123"/>
        <v/>
      </c>
      <c r="D225" s="319"/>
      <c r="E225" s="320" t="str">
        <f t="shared" si="120"/>
        <v/>
      </c>
      <c r="F225" s="321"/>
      <c r="G225" s="321"/>
      <c r="H225" s="322" t="str">
        <f t="shared" si="99"/>
        <v/>
      </c>
      <c r="I225" s="323" t="str">
        <f t="shared" si="113"/>
        <v/>
      </c>
      <c r="J225" s="321" t="str">
        <f t="shared" si="102"/>
        <v/>
      </c>
      <c r="K225" s="323" t="str">
        <f t="shared" si="118"/>
        <v/>
      </c>
      <c r="L225" s="321"/>
      <c r="M225" s="333"/>
      <c r="N225" s="323" t="str">
        <f t="shared" si="121"/>
        <v/>
      </c>
      <c r="O225" s="323">
        <f t="shared" si="126"/>
        <v>0</v>
      </c>
      <c r="P225" s="324" t="str">
        <f t="shared" si="124"/>
        <v/>
      </c>
      <c r="Q225" s="325" t="str">
        <f t="shared" si="125"/>
        <v/>
      </c>
      <c r="R225" s="323" t="str">
        <f t="shared" si="104"/>
        <v/>
      </c>
      <c r="S225" s="323" t="str">
        <f t="shared" si="122"/>
        <v/>
      </c>
      <c r="T225" s="323" t="str">
        <f t="shared" si="105"/>
        <v/>
      </c>
      <c r="U225" s="323" t="str">
        <f t="shared" si="106"/>
        <v/>
      </c>
      <c r="V225" s="322" t="str">
        <f t="shared" si="127"/>
        <v/>
      </c>
      <c r="W225" s="323" t="str">
        <f t="shared" si="107"/>
        <v/>
      </c>
      <c r="X225" s="323" t="str">
        <f t="shared" si="114"/>
        <v/>
      </c>
      <c r="Y225" s="323" t="str">
        <f t="shared" si="108"/>
        <v/>
      </c>
      <c r="Z225" s="323" t="str">
        <f t="shared" si="129"/>
        <v/>
      </c>
      <c r="AA225" s="326" t="str">
        <f t="shared" si="109"/>
        <v/>
      </c>
      <c r="AB225" s="323" t="str">
        <f t="shared" si="119"/>
        <v/>
      </c>
      <c r="AC225" s="327"/>
      <c r="AD225" s="328" t="str">
        <f t="shared" si="110"/>
        <v/>
      </c>
      <c r="AE225" s="328" t="str">
        <f t="shared" si="110"/>
        <v/>
      </c>
      <c r="AF225" s="328" t="str">
        <f t="shared" si="111"/>
        <v/>
      </c>
      <c r="AG225" s="328" t="str">
        <f t="shared" si="112"/>
        <v/>
      </c>
      <c r="AH225" s="328" t="str">
        <f t="shared" si="115"/>
        <v/>
      </c>
      <c r="AI225" s="328" t="str">
        <f t="shared" si="116"/>
        <v/>
      </c>
      <c r="AJ225" s="329" t="str">
        <f t="shared" si="117"/>
        <v/>
      </c>
      <c r="AK225" s="329" t="str" cm="1">
        <f t="array" ref="AK225">IF(OR(E225="", H225=""), "",
  IFERROR(
     (
      INDEX($AM$3:$AM$22, MATCH(E225, $AL$3:$AL$22, 1)) +
      (E225 - INDEX($AL$3:$AL$22, MATCH(E225, $AL$3:$AL$22, 1))) *
      (INDEX($AM$3:$AM$22, MATCH(E225, $AL$3:$AL$22, 1)+1) - INDEX($AM$3:$AM$22, MATCH(E225, $AL$3:$AL$22, 1))) /
      (INDEX($AL$3:$AL$22, MATCH(E225, $AL$3:$AL$22, 1)+1) - INDEX($AL$3:$AL$22, MATCH(E225, $AL$3:$AL$22, 1)))
    ) - H225,
    ""
  )
)</f>
        <v/>
      </c>
      <c r="AL225" s="341"/>
      <c r="AM225" s="342"/>
      <c r="AN225" s="343"/>
    </row>
    <row r="226" spans="1:40" s="315" customFormat="1" ht="15" customHeight="1" x14ac:dyDescent="0.35">
      <c r="A226" s="297">
        <f t="shared" si="130"/>
        <v>3</v>
      </c>
      <c r="B226" s="298">
        <f t="shared" si="130"/>
        <v>19</v>
      </c>
      <c r="C226" s="299" t="str">
        <f t="shared" si="123"/>
        <v/>
      </c>
      <c r="D226" s="300"/>
      <c r="E226" s="301" t="str">
        <f t="shared" si="120"/>
        <v/>
      </c>
      <c r="F226" s="302"/>
      <c r="G226" s="302"/>
      <c r="H226" s="303" t="str">
        <f t="shared" si="99"/>
        <v/>
      </c>
      <c r="I226" s="304" t="str">
        <f t="shared" si="113"/>
        <v/>
      </c>
      <c r="J226" s="302" t="str">
        <f t="shared" si="102"/>
        <v/>
      </c>
      <c r="K226" s="304" t="str">
        <f t="shared" si="118"/>
        <v/>
      </c>
      <c r="L226" s="302"/>
      <c r="M226" s="305"/>
      <c r="N226" s="304" t="str">
        <f t="shared" si="121"/>
        <v/>
      </c>
      <c r="O226" s="304">
        <f t="shared" si="126"/>
        <v>0</v>
      </c>
      <c r="P226" s="306" t="str">
        <f t="shared" si="124"/>
        <v/>
      </c>
      <c r="Q226" s="307" t="str">
        <f t="shared" si="125"/>
        <v/>
      </c>
      <c r="R226" s="304" t="str">
        <f t="shared" si="104"/>
        <v/>
      </c>
      <c r="S226" s="304" t="str">
        <f t="shared" si="122"/>
        <v/>
      </c>
      <c r="T226" s="304" t="str">
        <f t="shared" si="105"/>
        <v/>
      </c>
      <c r="U226" s="304" t="str">
        <f t="shared" si="106"/>
        <v/>
      </c>
      <c r="V226" s="303" t="str">
        <f t="shared" si="127"/>
        <v/>
      </c>
      <c r="W226" s="304" t="str">
        <f t="shared" si="107"/>
        <v/>
      </c>
      <c r="X226" s="304" t="str">
        <f t="shared" si="114"/>
        <v/>
      </c>
      <c r="Y226" s="304" t="str">
        <f t="shared" si="108"/>
        <v/>
      </c>
      <c r="Z226" s="304" t="str">
        <f t="shared" si="129"/>
        <v/>
      </c>
      <c r="AA226" s="308" t="str">
        <f t="shared" si="109"/>
        <v/>
      </c>
      <c r="AB226" s="304" t="str">
        <f t="shared" si="119"/>
        <v/>
      </c>
      <c r="AC226" s="309"/>
      <c r="AD226" s="310" t="str">
        <f t="shared" si="110"/>
        <v/>
      </c>
      <c r="AE226" s="310" t="str">
        <f t="shared" si="110"/>
        <v/>
      </c>
      <c r="AF226" s="310" t="str">
        <f t="shared" si="111"/>
        <v/>
      </c>
      <c r="AG226" s="310" t="str">
        <f t="shared" si="112"/>
        <v/>
      </c>
      <c r="AH226" s="310" t="str">
        <f t="shared" si="115"/>
        <v/>
      </c>
      <c r="AI226" s="310" t="str">
        <f t="shared" si="116"/>
        <v/>
      </c>
      <c r="AJ226" s="311" t="str">
        <f t="shared" si="117"/>
        <v/>
      </c>
      <c r="AK226" s="311" t="str" cm="1">
        <f t="array" ref="AK226">IF(OR(E226="", H226=""), "",
  IFERROR(
     (
      INDEX($AM$3:$AM$22, MATCH(E226, $AL$3:$AL$22, 1)) +
      (E226 - INDEX($AL$3:$AL$22, MATCH(E226, $AL$3:$AL$22, 1))) *
      (INDEX($AM$3:$AM$22, MATCH(E226, $AL$3:$AL$22, 1)+1) - INDEX($AM$3:$AM$22, MATCH(E226, $AL$3:$AL$22, 1))) /
      (INDEX($AL$3:$AL$22, MATCH(E226, $AL$3:$AL$22, 1)+1) - INDEX($AL$3:$AL$22, MATCH(E226, $AL$3:$AL$22, 1)))
    ) - H226,
    ""
  )
)</f>
        <v/>
      </c>
      <c r="AL226" s="338"/>
      <c r="AM226" s="339"/>
      <c r="AN226" s="340"/>
    </row>
    <row r="227" spans="1:40" s="315" customFormat="1" ht="15" customHeight="1" x14ac:dyDescent="0.35">
      <c r="A227" s="316">
        <f t="shared" si="130"/>
        <v>3</v>
      </c>
      <c r="B227" s="317">
        <f t="shared" si="130"/>
        <v>19</v>
      </c>
      <c r="C227" s="318" t="str">
        <f t="shared" si="123"/>
        <v/>
      </c>
      <c r="D227" s="319"/>
      <c r="E227" s="320" t="str">
        <f t="shared" si="120"/>
        <v/>
      </c>
      <c r="F227" s="321"/>
      <c r="G227" s="321"/>
      <c r="H227" s="322" t="str">
        <f t="shared" si="99"/>
        <v/>
      </c>
      <c r="I227" s="323" t="str">
        <f t="shared" si="113"/>
        <v/>
      </c>
      <c r="J227" s="321" t="str">
        <f t="shared" si="102"/>
        <v/>
      </c>
      <c r="K227" s="323" t="str">
        <f t="shared" si="118"/>
        <v/>
      </c>
      <c r="L227" s="321"/>
      <c r="M227" s="333"/>
      <c r="N227" s="323" t="str">
        <f t="shared" si="121"/>
        <v/>
      </c>
      <c r="O227" s="323">
        <f t="shared" si="126"/>
        <v>0</v>
      </c>
      <c r="P227" s="324" t="str">
        <f t="shared" si="124"/>
        <v/>
      </c>
      <c r="Q227" s="325" t="str">
        <f t="shared" si="125"/>
        <v/>
      </c>
      <c r="R227" s="323" t="str">
        <f t="shared" si="104"/>
        <v/>
      </c>
      <c r="S227" s="323" t="str">
        <f t="shared" si="122"/>
        <v/>
      </c>
      <c r="T227" s="323" t="str">
        <f t="shared" si="105"/>
        <v/>
      </c>
      <c r="U227" s="323" t="str">
        <f t="shared" si="106"/>
        <v/>
      </c>
      <c r="V227" s="322" t="str">
        <f t="shared" si="127"/>
        <v/>
      </c>
      <c r="W227" s="323" t="str">
        <f t="shared" si="107"/>
        <v/>
      </c>
      <c r="X227" s="323" t="str">
        <f t="shared" si="114"/>
        <v/>
      </c>
      <c r="Y227" s="323" t="str">
        <f t="shared" si="108"/>
        <v/>
      </c>
      <c r="Z227" s="323" t="str">
        <f t="shared" si="129"/>
        <v/>
      </c>
      <c r="AA227" s="326" t="str">
        <f t="shared" si="109"/>
        <v/>
      </c>
      <c r="AB227" s="323" t="str">
        <f t="shared" si="119"/>
        <v/>
      </c>
      <c r="AC227" s="327"/>
      <c r="AD227" s="328" t="str">
        <f t="shared" si="110"/>
        <v/>
      </c>
      <c r="AE227" s="328" t="str">
        <f t="shared" si="110"/>
        <v/>
      </c>
      <c r="AF227" s="328" t="str">
        <f t="shared" si="111"/>
        <v/>
      </c>
      <c r="AG227" s="328" t="str">
        <f t="shared" si="112"/>
        <v/>
      </c>
      <c r="AH227" s="328" t="str">
        <f t="shared" si="115"/>
        <v/>
      </c>
      <c r="AI227" s="328" t="str">
        <f t="shared" si="116"/>
        <v/>
      </c>
      <c r="AJ227" s="329" t="str">
        <f t="shared" si="117"/>
        <v/>
      </c>
      <c r="AK227" s="329" t="str" cm="1">
        <f t="array" ref="AK227">IF(OR(E227="", H227=""), "",
  IFERROR(
     (
      INDEX($AM$3:$AM$22, MATCH(E227, $AL$3:$AL$22, 1)) +
      (E227 - INDEX($AL$3:$AL$22, MATCH(E227, $AL$3:$AL$22, 1))) *
      (INDEX($AM$3:$AM$22, MATCH(E227, $AL$3:$AL$22, 1)+1) - INDEX($AM$3:$AM$22, MATCH(E227, $AL$3:$AL$22, 1))) /
      (INDEX($AL$3:$AL$22, MATCH(E227, $AL$3:$AL$22, 1)+1) - INDEX($AL$3:$AL$22, MATCH(E227, $AL$3:$AL$22, 1)))
    ) - H227,
    ""
  )
)</f>
        <v/>
      </c>
      <c r="AL227" s="341"/>
      <c r="AM227" s="342"/>
      <c r="AN227" s="343"/>
    </row>
    <row r="228" spans="1:40" s="315" customFormat="1" ht="15" customHeight="1" x14ac:dyDescent="0.35">
      <c r="A228" s="297">
        <f t="shared" si="130"/>
        <v>3</v>
      </c>
      <c r="B228" s="298">
        <f t="shared" si="130"/>
        <v>19</v>
      </c>
      <c r="C228" s="299" t="str">
        <f t="shared" si="123"/>
        <v/>
      </c>
      <c r="D228" s="300"/>
      <c r="E228" s="301" t="str">
        <f t="shared" si="120"/>
        <v/>
      </c>
      <c r="F228" s="302"/>
      <c r="G228" s="302"/>
      <c r="H228" s="303" t="str">
        <f t="shared" si="99"/>
        <v/>
      </c>
      <c r="I228" s="304" t="str">
        <f t="shared" si="113"/>
        <v/>
      </c>
      <c r="J228" s="302" t="str">
        <f t="shared" si="102"/>
        <v/>
      </c>
      <c r="K228" s="304" t="str">
        <f t="shared" si="118"/>
        <v/>
      </c>
      <c r="L228" s="302"/>
      <c r="M228" s="305"/>
      <c r="N228" s="304" t="str">
        <f t="shared" si="121"/>
        <v/>
      </c>
      <c r="O228" s="304">
        <f t="shared" si="126"/>
        <v>0</v>
      </c>
      <c r="P228" s="306" t="str">
        <f t="shared" si="124"/>
        <v/>
      </c>
      <c r="Q228" s="307" t="str">
        <f t="shared" si="125"/>
        <v/>
      </c>
      <c r="R228" s="304" t="str">
        <f t="shared" si="104"/>
        <v/>
      </c>
      <c r="S228" s="304" t="str">
        <f t="shared" si="122"/>
        <v/>
      </c>
      <c r="T228" s="304" t="str">
        <f t="shared" si="105"/>
        <v/>
      </c>
      <c r="U228" s="304" t="str">
        <f t="shared" si="106"/>
        <v/>
      </c>
      <c r="V228" s="303" t="str">
        <f t="shared" si="127"/>
        <v/>
      </c>
      <c r="W228" s="304" t="str">
        <f t="shared" si="107"/>
        <v/>
      </c>
      <c r="X228" s="304" t="str">
        <f t="shared" si="114"/>
        <v/>
      </c>
      <c r="Y228" s="304" t="str">
        <f t="shared" si="108"/>
        <v/>
      </c>
      <c r="Z228" s="304" t="str">
        <f t="shared" si="129"/>
        <v/>
      </c>
      <c r="AA228" s="308" t="str">
        <f t="shared" si="109"/>
        <v/>
      </c>
      <c r="AB228" s="304" t="str">
        <f t="shared" si="119"/>
        <v/>
      </c>
      <c r="AC228" s="309"/>
      <c r="AD228" s="310" t="str">
        <f t="shared" si="110"/>
        <v/>
      </c>
      <c r="AE228" s="310" t="str">
        <f t="shared" si="110"/>
        <v/>
      </c>
      <c r="AF228" s="310" t="str">
        <f t="shared" si="111"/>
        <v/>
      </c>
      <c r="AG228" s="310" t="str">
        <f t="shared" si="112"/>
        <v/>
      </c>
      <c r="AH228" s="310" t="str">
        <f t="shared" si="115"/>
        <v/>
      </c>
      <c r="AI228" s="310" t="str">
        <f t="shared" si="116"/>
        <v/>
      </c>
      <c r="AJ228" s="311" t="str">
        <f t="shared" si="117"/>
        <v/>
      </c>
      <c r="AK228" s="311" t="str" cm="1">
        <f t="array" ref="AK228">IF(OR(E228="", H228=""), "",
  IFERROR(
     (
      INDEX($AM$3:$AM$22, MATCH(E228, $AL$3:$AL$22, 1)) +
      (E228 - INDEX($AL$3:$AL$22, MATCH(E228, $AL$3:$AL$22, 1))) *
      (INDEX($AM$3:$AM$22, MATCH(E228, $AL$3:$AL$22, 1)+1) - INDEX($AM$3:$AM$22, MATCH(E228, $AL$3:$AL$22, 1))) /
      (INDEX($AL$3:$AL$22, MATCH(E228, $AL$3:$AL$22, 1)+1) - INDEX($AL$3:$AL$22, MATCH(E228, $AL$3:$AL$22, 1)))
    ) - H228,
    ""
  )
)</f>
        <v/>
      </c>
      <c r="AL228" s="338"/>
      <c r="AM228" s="339"/>
      <c r="AN228" s="340"/>
    </row>
    <row r="229" spans="1:40" s="315" customFormat="1" ht="15" customHeight="1" x14ac:dyDescent="0.35">
      <c r="A229" s="316">
        <f t="shared" si="130"/>
        <v>3</v>
      </c>
      <c r="B229" s="317">
        <f t="shared" si="130"/>
        <v>19</v>
      </c>
      <c r="C229" s="318" t="str">
        <f t="shared" si="123"/>
        <v/>
      </c>
      <c r="D229" s="319"/>
      <c r="E229" s="320" t="str">
        <f t="shared" si="120"/>
        <v/>
      </c>
      <c r="F229" s="321"/>
      <c r="G229" s="321"/>
      <c r="H229" s="322" t="str">
        <f t="shared" si="99"/>
        <v/>
      </c>
      <c r="I229" s="323" t="str">
        <f t="shared" si="113"/>
        <v/>
      </c>
      <c r="J229" s="321" t="str">
        <f t="shared" si="102"/>
        <v/>
      </c>
      <c r="K229" s="323" t="str">
        <f t="shared" si="118"/>
        <v/>
      </c>
      <c r="L229" s="321"/>
      <c r="M229" s="333"/>
      <c r="N229" s="323" t="str">
        <f t="shared" si="121"/>
        <v/>
      </c>
      <c r="O229" s="323">
        <f t="shared" si="126"/>
        <v>0</v>
      </c>
      <c r="P229" s="324" t="str">
        <f t="shared" si="124"/>
        <v/>
      </c>
      <c r="Q229" s="325" t="str">
        <f t="shared" si="125"/>
        <v/>
      </c>
      <c r="R229" s="323" t="str">
        <f t="shared" si="104"/>
        <v/>
      </c>
      <c r="S229" s="323" t="str">
        <f t="shared" si="122"/>
        <v/>
      </c>
      <c r="T229" s="323" t="str">
        <f t="shared" si="105"/>
        <v/>
      </c>
      <c r="U229" s="323" t="str">
        <f t="shared" si="106"/>
        <v/>
      </c>
      <c r="V229" s="322" t="str">
        <f t="shared" si="127"/>
        <v/>
      </c>
      <c r="W229" s="323" t="str">
        <f t="shared" si="107"/>
        <v/>
      </c>
      <c r="X229" s="323" t="str">
        <f t="shared" si="114"/>
        <v/>
      </c>
      <c r="Y229" s="323" t="str">
        <f t="shared" si="108"/>
        <v/>
      </c>
      <c r="Z229" s="323" t="str">
        <f t="shared" si="129"/>
        <v/>
      </c>
      <c r="AA229" s="326" t="str">
        <f t="shared" si="109"/>
        <v/>
      </c>
      <c r="AB229" s="323" t="str">
        <f t="shared" si="119"/>
        <v/>
      </c>
      <c r="AC229" s="327"/>
      <c r="AD229" s="328" t="str">
        <f t="shared" si="110"/>
        <v/>
      </c>
      <c r="AE229" s="328" t="str">
        <f t="shared" si="110"/>
        <v/>
      </c>
      <c r="AF229" s="328" t="str">
        <f t="shared" si="111"/>
        <v/>
      </c>
      <c r="AG229" s="328" t="str">
        <f t="shared" si="112"/>
        <v/>
      </c>
      <c r="AH229" s="328" t="str">
        <f t="shared" si="115"/>
        <v/>
      </c>
      <c r="AI229" s="328" t="str">
        <f t="shared" si="116"/>
        <v/>
      </c>
      <c r="AJ229" s="329" t="str">
        <f t="shared" si="117"/>
        <v/>
      </c>
      <c r="AK229" s="329" t="str" cm="1">
        <f t="array" ref="AK229">IF(OR(E229="", H229=""), "",
  IFERROR(
     (
      INDEX($AM$3:$AM$22, MATCH(E229, $AL$3:$AL$22, 1)) +
      (E229 - INDEX($AL$3:$AL$22, MATCH(E229, $AL$3:$AL$22, 1))) *
      (INDEX($AM$3:$AM$22, MATCH(E229, $AL$3:$AL$22, 1)+1) - INDEX($AM$3:$AM$22, MATCH(E229, $AL$3:$AL$22, 1))) /
      (INDEX($AL$3:$AL$22, MATCH(E229, $AL$3:$AL$22, 1)+1) - INDEX($AL$3:$AL$22, MATCH(E229, $AL$3:$AL$22, 1)))
    ) - H229,
    ""
  )
)</f>
        <v/>
      </c>
      <c r="AL229" s="341"/>
      <c r="AM229" s="342"/>
      <c r="AN229" s="343"/>
    </row>
    <row r="230" spans="1:40" s="315" customFormat="1" ht="15" customHeight="1" x14ac:dyDescent="0.35">
      <c r="A230" s="297">
        <f t="shared" si="130"/>
        <v>3</v>
      </c>
      <c r="B230" s="298">
        <f t="shared" si="130"/>
        <v>19</v>
      </c>
      <c r="C230" s="299" t="str">
        <f t="shared" si="123"/>
        <v/>
      </c>
      <c r="D230" s="300"/>
      <c r="E230" s="301" t="str">
        <f t="shared" si="120"/>
        <v/>
      </c>
      <c r="F230" s="302"/>
      <c r="G230" s="302"/>
      <c r="H230" s="303" t="str">
        <f t="shared" si="99"/>
        <v/>
      </c>
      <c r="I230" s="304" t="str">
        <f t="shared" si="113"/>
        <v/>
      </c>
      <c r="J230" s="302" t="str">
        <f t="shared" si="102"/>
        <v/>
      </c>
      <c r="K230" s="304" t="str">
        <f t="shared" si="118"/>
        <v/>
      </c>
      <c r="L230" s="302"/>
      <c r="M230" s="305"/>
      <c r="N230" s="304" t="str">
        <f t="shared" si="121"/>
        <v/>
      </c>
      <c r="O230" s="304">
        <f t="shared" si="126"/>
        <v>0</v>
      </c>
      <c r="P230" s="306" t="str">
        <f t="shared" si="124"/>
        <v/>
      </c>
      <c r="Q230" s="307" t="str">
        <f t="shared" si="125"/>
        <v/>
      </c>
      <c r="R230" s="304" t="str">
        <f t="shared" si="104"/>
        <v/>
      </c>
      <c r="S230" s="304" t="str">
        <f t="shared" si="122"/>
        <v/>
      </c>
      <c r="T230" s="304" t="str">
        <f t="shared" si="105"/>
        <v/>
      </c>
      <c r="U230" s="304" t="str">
        <f t="shared" si="106"/>
        <v/>
      </c>
      <c r="V230" s="303" t="str">
        <f t="shared" si="127"/>
        <v/>
      </c>
      <c r="W230" s="304" t="str">
        <f t="shared" si="107"/>
        <v/>
      </c>
      <c r="X230" s="304" t="str">
        <f t="shared" si="114"/>
        <v/>
      </c>
      <c r="Y230" s="304" t="str">
        <f t="shared" si="108"/>
        <v/>
      </c>
      <c r="Z230" s="304" t="str">
        <f t="shared" si="129"/>
        <v/>
      </c>
      <c r="AA230" s="308" t="str">
        <f t="shared" si="109"/>
        <v/>
      </c>
      <c r="AB230" s="304" t="str">
        <f t="shared" si="119"/>
        <v/>
      </c>
      <c r="AC230" s="309"/>
      <c r="AD230" s="310" t="str">
        <f t="shared" si="110"/>
        <v/>
      </c>
      <c r="AE230" s="310" t="str">
        <f t="shared" si="110"/>
        <v/>
      </c>
      <c r="AF230" s="310" t="str">
        <f t="shared" si="111"/>
        <v/>
      </c>
      <c r="AG230" s="310" t="str">
        <f t="shared" si="112"/>
        <v/>
      </c>
      <c r="AH230" s="310" t="str">
        <f t="shared" si="115"/>
        <v/>
      </c>
      <c r="AI230" s="310" t="str">
        <f t="shared" si="116"/>
        <v/>
      </c>
      <c r="AJ230" s="311" t="str">
        <f t="shared" si="117"/>
        <v/>
      </c>
      <c r="AK230" s="311" t="str" cm="1">
        <f t="array" ref="AK230">IF(OR(E230="", H230=""), "",
  IFERROR(
     (
      INDEX($AM$3:$AM$22, MATCH(E230, $AL$3:$AL$22, 1)) +
      (E230 - INDEX($AL$3:$AL$22, MATCH(E230, $AL$3:$AL$22, 1))) *
      (INDEX($AM$3:$AM$22, MATCH(E230, $AL$3:$AL$22, 1)+1) - INDEX($AM$3:$AM$22, MATCH(E230, $AL$3:$AL$22, 1))) /
      (INDEX($AL$3:$AL$22, MATCH(E230, $AL$3:$AL$22, 1)+1) - INDEX($AL$3:$AL$22, MATCH(E230, $AL$3:$AL$22, 1)))
    ) - H230,
    ""
  )
)</f>
        <v/>
      </c>
      <c r="AL230" s="338"/>
      <c r="AM230" s="339"/>
      <c r="AN230" s="340"/>
    </row>
    <row r="231" spans="1:40" s="315" customFormat="1" ht="15" customHeight="1" x14ac:dyDescent="0.35">
      <c r="A231" s="316">
        <f t="shared" si="130"/>
        <v>3</v>
      </c>
      <c r="B231" s="317">
        <f t="shared" si="130"/>
        <v>19</v>
      </c>
      <c r="C231" s="318" t="str">
        <f t="shared" si="123"/>
        <v/>
      </c>
      <c r="D231" s="319"/>
      <c r="E231" s="320" t="str">
        <f t="shared" si="120"/>
        <v/>
      </c>
      <c r="F231" s="321"/>
      <c r="G231" s="321"/>
      <c r="H231" s="322" t="str">
        <f t="shared" si="99"/>
        <v/>
      </c>
      <c r="I231" s="323" t="str">
        <f t="shared" si="113"/>
        <v/>
      </c>
      <c r="J231" s="321" t="str">
        <f t="shared" si="102"/>
        <v/>
      </c>
      <c r="K231" s="323" t="str">
        <f t="shared" si="118"/>
        <v/>
      </c>
      <c r="L231" s="321"/>
      <c r="M231" s="333"/>
      <c r="N231" s="323" t="str">
        <f t="shared" si="121"/>
        <v/>
      </c>
      <c r="O231" s="323">
        <f t="shared" si="126"/>
        <v>0</v>
      </c>
      <c r="P231" s="324" t="str">
        <f t="shared" si="124"/>
        <v/>
      </c>
      <c r="Q231" s="325" t="str">
        <f t="shared" si="125"/>
        <v/>
      </c>
      <c r="R231" s="323" t="str">
        <f t="shared" si="104"/>
        <v/>
      </c>
      <c r="S231" s="323" t="str">
        <f t="shared" si="122"/>
        <v/>
      </c>
      <c r="T231" s="323" t="str">
        <f t="shared" si="105"/>
        <v/>
      </c>
      <c r="U231" s="323" t="str">
        <f t="shared" si="106"/>
        <v/>
      </c>
      <c r="V231" s="322" t="str">
        <f t="shared" si="127"/>
        <v/>
      </c>
      <c r="W231" s="323" t="str">
        <f t="shared" si="107"/>
        <v/>
      </c>
      <c r="X231" s="323" t="str">
        <f t="shared" si="114"/>
        <v/>
      </c>
      <c r="Y231" s="323" t="str">
        <f t="shared" si="108"/>
        <v/>
      </c>
      <c r="Z231" s="323" t="str">
        <f t="shared" si="129"/>
        <v/>
      </c>
      <c r="AA231" s="326" t="str">
        <f t="shared" si="109"/>
        <v/>
      </c>
      <c r="AB231" s="323" t="str">
        <f t="shared" si="119"/>
        <v/>
      </c>
      <c r="AC231" s="327"/>
      <c r="AD231" s="328" t="str">
        <f t="shared" si="110"/>
        <v/>
      </c>
      <c r="AE231" s="328" t="str">
        <f t="shared" si="110"/>
        <v/>
      </c>
      <c r="AF231" s="328" t="str">
        <f t="shared" si="111"/>
        <v/>
      </c>
      <c r="AG231" s="328" t="str">
        <f t="shared" si="112"/>
        <v/>
      </c>
      <c r="AH231" s="328" t="str">
        <f t="shared" si="115"/>
        <v/>
      </c>
      <c r="AI231" s="328" t="str">
        <f t="shared" si="116"/>
        <v/>
      </c>
      <c r="AJ231" s="329" t="str">
        <f t="shared" si="117"/>
        <v/>
      </c>
      <c r="AK231" s="329" t="str" cm="1">
        <f t="array" ref="AK231">IF(OR(E231="", H231=""), "",
  IFERROR(
     (
      INDEX($AM$3:$AM$22, MATCH(E231, $AL$3:$AL$22, 1)) +
      (E231 - INDEX($AL$3:$AL$22, MATCH(E231, $AL$3:$AL$22, 1))) *
      (INDEX($AM$3:$AM$22, MATCH(E231, $AL$3:$AL$22, 1)+1) - INDEX($AM$3:$AM$22, MATCH(E231, $AL$3:$AL$22, 1))) /
      (INDEX($AL$3:$AL$22, MATCH(E231, $AL$3:$AL$22, 1)+1) - INDEX($AL$3:$AL$22, MATCH(E231, $AL$3:$AL$22, 1)))
    ) - H231,
    ""
  )
)</f>
        <v/>
      </c>
      <c r="AL231" s="341"/>
      <c r="AM231" s="342"/>
      <c r="AN231" s="343"/>
    </row>
    <row r="232" spans="1:40" s="315" customFormat="1" ht="15" customHeight="1" x14ac:dyDescent="0.35">
      <c r="A232" s="297">
        <f t="shared" si="130"/>
        <v>3</v>
      </c>
      <c r="B232" s="298">
        <f t="shared" si="130"/>
        <v>19</v>
      </c>
      <c r="C232" s="299" t="str">
        <f t="shared" si="123"/>
        <v/>
      </c>
      <c r="D232" s="300"/>
      <c r="E232" s="301" t="str">
        <f t="shared" si="120"/>
        <v/>
      </c>
      <c r="F232" s="302"/>
      <c r="G232" s="302"/>
      <c r="H232" s="303" t="str">
        <f t="shared" si="99"/>
        <v/>
      </c>
      <c r="I232" s="304" t="str">
        <f t="shared" si="113"/>
        <v/>
      </c>
      <c r="J232" s="302" t="str">
        <f t="shared" si="102"/>
        <v/>
      </c>
      <c r="K232" s="304" t="str">
        <f t="shared" si="118"/>
        <v/>
      </c>
      <c r="L232" s="302"/>
      <c r="M232" s="305"/>
      <c r="N232" s="304" t="str">
        <f t="shared" si="121"/>
        <v/>
      </c>
      <c r="O232" s="304">
        <f t="shared" si="126"/>
        <v>0</v>
      </c>
      <c r="P232" s="306" t="str">
        <f t="shared" si="124"/>
        <v/>
      </c>
      <c r="Q232" s="307" t="str">
        <f t="shared" si="125"/>
        <v/>
      </c>
      <c r="R232" s="304" t="str">
        <f t="shared" si="104"/>
        <v/>
      </c>
      <c r="S232" s="304" t="str">
        <f t="shared" si="122"/>
        <v/>
      </c>
      <c r="T232" s="304" t="str">
        <f t="shared" si="105"/>
        <v/>
      </c>
      <c r="U232" s="304" t="str">
        <f t="shared" si="106"/>
        <v/>
      </c>
      <c r="V232" s="303" t="str">
        <f t="shared" si="127"/>
        <v/>
      </c>
      <c r="W232" s="304" t="str">
        <f t="shared" si="107"/>
        <v/>
      </c>
      <c r="X232" s="304" t="str">
        <f t="shared" si="114"/>
        <v/>
      </c>
      <c r="Y232" s="304" t="str">
        <f t="shared" si="108"/>
        <v/>
      </c>
      <c r="Z232" s="304" t="str">
        <f t="shared" si="129"/>
        <v/>
      </c>
      <c r="AA232" s="308" t="str">
        <f t="shared" si="109"/>
        <v/>
      </c>
      <c r="AB232" s="304" t="str">
        <f t="shared" si="119"/>
        <v/>
      </c>
      <c r="AC232" s="309"/>
      <c r="AD232" s="310" t="str">
        <f t="shared" si="110"/>
        <v/>
      </c>
      <c r="AE232" s="310" t="str">
        <f t="shared" si="110"/>
        <v/>
      </c>
      <c r="AF232" s="310" t="str">
        <f t="shared" si="111"/>
        <v/>
      </c>
      <c r="AG232" s="310" t="str">
        <f t="shared" si="112"/>
        <v/>
      </c>
      <c r="AH232" s="310" t="str">
        <f t="shared" si="115"/>
        <v/>
      </c>
      <c r="AI232" s="310" t="str">
        <f t="shared" si="116"/>
        <v/>
      </c>
      <c r="AJ232" s="311" t="str">
        <f t="shared" si="117"/>
        <v/>
      </c>
      <c r="AK232" s="311" t="str" cm="1">
        <f t="array" ref="AK232">IF(OR(E232="", H232=""), "",
  IFERROR(
     (
      INDEX($AM$3:$AM$22, MATCH(E232, $AL$3:$AL$22, 1)) +
      (E232 - INDEX($AL$3:$AL$22, MATCH(E232, $AL$3:$AL$22, 1))) *
      (INDEX($AM$3:$AM$22, MATCH(E232, $AL$3:$AL$22, 1)+1) - INDEX($AM$3:$AM$22, MATCH(E232, $AL$3:$AL$22, 1))) /
      (INDEX($AL$3:$AL$22, MATCH(E232, $AL$3:$AL$22, 1)+1) - INDEX($AL$3:$AL$22, MATCH(E232, $AL$3:$AL$22, 1)))
    ) - H232,
    ""
  )
)</f>
        <v/>
      </c>
      <c r="AL232" s="338"/>
      <c r="AM232" s="339"/>
      <c r="AN232" s="340"/>
    </row>
    <row r="233" spans="1:40" s="315" customFormat="1" ht="15" customHeight="1" x14ac:dyDescent="0.35">
      <c r="A233" s="316">
        <f t="shared" si="130"/>
        <v>3</v>
      </c>
      <c r="B233" s="317">
        <f t="shared" si="130"/>
        <v>19</v>
      </c>
      <c r="C233" s="318" t="str">
        <f t="shared" si="123"/>
        <v/>
      </c>
      <c r="D233" s="319"/>
      <c r="E233" s="320" t="str">
        <f t="shared" si="120"/>
        <v/>
      </c>
      <c r="F233" s="321"/>
      <c r="G233" s="321"/>
      <c r="H233" s="322" t="str">
        <f t="shared" si="99"/>
        <v/>
      </c>
      <c r="I233" s="323" t="str">
        <f t="shared" si="113"/>
        <v/>
      </c>
      <c r="J233" s="321" t="str">
        <f t="shared" si="102"/>
        <v/>
      </c>
      <c r="K233" s="323" t="str">
        <f t="shared" si="118"/>
        <v/>
      </c>
      <c r="L233" s="321"/>
      <c r="M233" s="333"/>
      <c r="N233" s="323" t="str">
        <f t="shared" si="121"/>
        <v/>
      </c>
      <c r="O233" s="323">
        <f t="shared" si="126"/>
        <v>0</v>
      </c>
      <c r="P233" s="324" t="str">
        <f t="shared" si="124"/>
        <v/>
      </c>
      <c r="Q233" s="325" t="str">
        <f t="shared" si="125"/>
        <v/>
      </c>
      <c r="R233" s="323" t="str">
        <f t="shared" si="104"/>
        <v/>
      </c>
      <c r="S233" s="323" t="str">
        <f t="shared" si="122"/>
        <v/>
      </c>
      <c r="T233" s="323" t="str">
        <f t="shared" si="105"/>
        <v/>
      </c>
      <c r="U233" s="323" t="str">
        <f t="shared" si="106"/>
        <v/>
      </c>
      <c r="V233" s="322" t="str">
        <f t="shared" si="127"/>
        <v/>
      </c>
      <c r="W233" s="323" t="str">
        <f t="shared" si="107"/>
        <v/>
      </c>
      <c r="X233" s="323" t="str">
        <f t="shared" si="114"/>
        <v/>
      </c>
      <c r="Y233" s="323" t="str">
        <f t="shared" si="108"/>
        <v/>
      </c>
      <c r="Z233" s="323" t="str">
        <f t="shared" si="129"/>
        <v/>
      </c>
      <c r="AA233" s="326" t="str">
        <f t="shared" si="109"/>
        <v/>
      </c>
      <c r="AB233" s="323" t="str">
        <f t="shared" si="119"/>
        <v/>
      </c>
      <c r="AC233" s="327"/>
      <c r="AD233" s="328" t="str">
        <f t="shared" si="110"/>
        <v/>
      </c>
      <c r="AE233" s="328" t="str">
        <f t="shared" si="110"/>
        <v/>
      </c>
      <c r="AF233" s="328" t="str">
        <f t="shared" si="111"/>
        <v/>
      </c>
      <c r="AG233" s="328" t="str">
        <f t="shared" si="112"/>
        <v/>
      </c>
      <c r="AH233" s="328" t="str">
        <f t="shared" si="115"/>
        <v/>
      </c>
      <c r="AI233" s="328" t="str">
        <f t="shared" si="116"/>
        <v/>
      </c>
      <c r="AJ233" s="329" t="str">
        <f t="shared" si="117"/>
        <v/>
      </c>
      <c r="AK233" s="329" t="str" cm="1">
        <f t="array" ref="AK233">IF(OR(E233="", H233=""), "",
  IFERROR(
     (
      INDEX($AM$3:$AM$22, MATCH(E233, $AL$3:$AL$22, 1)) +
      (E233 - INDEX($AL$3:$AL$22, MATCH(E233, $AL$3:$AL$22, 1))) *
      (INDEX($AM$3:$AM$22, MATCH(E233, $AL$3:$AL$22, 1)+1) - INDEX($AM$3:$AM$22, MATCH(E233, $AL$3:$AL$22, 1))) /
      (INDEX($AL$3:$AL$22, MATCH(E233, $AL$3:$AL$22, 1)+1) - INDEX($AL$3:$AL$22, MATCH(E233, $AL$3:$AL$22, 1)))
    ) - H233,
    ""
  )
)</f>
        <v/>
      </c>
      <c r="AL233" s="341"/>
      <c r="AM233" s="342"/>
      <c r="AN233" s="343"/>
    </row>
    <row r="234" spans="1:40" s="315" customFormat="1" ht="15" customHeight="1" x14ac:dyDescent="0.35">
      <c r="A234" s="297">
        <f t="shared" si="130"/>
        <v>3</v>
      </c>
      <c r="B234" s="298">
        <f t="shared" si="130"/>
        <v>19</v>
      </c>
      <c r="C234" s="299" t="str">
        <f t="shared" si="123"/>
        <v/>
      </c>
      <c r="D234" s="300"/>
      <c r="E234" s="301" t="str">
        <f t="shared" si="120"/>
        <v/>
      </c>
      <c r="F234" s="302"/>
      <c r="G234" s="302"/>
      <c r="H234" s="303" t="str">
        <f t="shared" si="99"/>
        <v/>
      </c>
      <c r="I234" s="304" t="str">
        <f t="shared" si="113"/>
        <v/>
      </c>
      <c r="J234" s="302" t="str">
        <f t="shared" si="102"/>
        <v/>
      </c>
      <c r="K234" s="304" t="str">
        <f t="shared" si="118"/>
        <v/>
      </c>
      <c r="L234" s="302"/>
      <c r="M234" s="305"/>
      <c r="N234" s="304" t="str">
        <f t="shared" si="121"/>
        <v/>
      </c>
      <c r="O234" s="304">
        <f t="shared" si="126"/>
        <v>0</v>
      </c>
      <c r="P234" s="306" t="str">
        <f t="shared" si="124"/>
        <v/>
      </c>
      <c r="Q234" s="307" t="str">
        <f t="shared" si="125"/>
        <v/>
      </c>
      <c r="R234" s="304" t="str">
        <f t="shared" si="104"/>
        <v/>
      </c>
      <c r="S234" s="304" t="str">
        <f t="shared" si="122"/>
        <v/>
      </c>
      <c r="T234" s="304" t="str">
        <f t="shared" si="105"/>
        <v/>
      </c>
      <c r="U234" s="304" t="str">
        <f t="shared" si="106"/>
        <v/>
      </c>
      <c r="V234" s="303" t="str">
        <f t="shared" si="127"/>
        <v/>
      </c>
      <c r="W234" s="304" t="str">
        <f t="shared" si="107"/>
        <v/>
      </c>
      <c r="X234" s="304" t="str">
        <f t="shared" si="114"/>
        <v/>
      </c>
      <c r="Y234" s="304" t="str">
        <f t="shared" si="108"/>
        <v/>
      </c>
      <c r="Z234" s="304" t="str">
        <f t="shared" si="129"/>
        <v/>
      </c>
      <c r="AA234" s="308" t="str">
        <f t="shared" si="109"/>
        <v/>
      </c>
      <c r="AB234" s="304" t="str">
        <f t="shared" si="119"/>
        <v/>
      </c>
      <c r="AC234" s="309"/>
      <c r="AD234" s="310" t="str">
        <f t="shared" si="110"/>
        <v/>
      </c>
      <c r="AE234" s="310" t="str">
        <f t="shared" si="110"/>
        <v/>
      </c>
      <c r="AF234" s="310" t="str">
        <f t="shared" si="111"/>
        <v/>
      </c>
      <c r="AG234" s="310" t="str">
        <f t="shared" si="112"/>
        <v/>
      </c>
      <c r="AH234" s="310" t="str">
        <f t="shared" si="115"/>
        <v/>
      </c>
      <c r="AI234" s="310" t="str">
        <f t="shared" si="116"/>
        <v/>
      </c>
      <c r="AJ234" s="311" t="str">
        <f t="shared" si="117"/>
        <v/>
      </c>
      <c r="AK234" s="311" t="str" cm="1">
        <f t="array" ref="AK234">IF(OR(E234="", H234=""), "",
  IFERROR(
     (
      INDEX($AM$3:$AM$22, MATCH(E234, $AL$3:$AL$22, 1)) +
      (E234 - INDEX($AL$3:$AL$22, MATCH(E234, $AL$3:$AL$22, 1))) *
      (INDEX($AM$3:$AM$22, MATCH(E234, $AL$3:$AL$22, 1)+1) - INDEX($AM$3:$AM$22, MATCH(E234, $AL$3:$AL$22, 1))) /
      (INDEX($AL$3:$AL$22, MATCH(E234, $AL$3:$AL$22, 1)+1) - INDEX($AL$3:$AL$22, MATCH(E234, $AL$3:$AL$22, 1)))
    ) - H234,
    ""
  )
)</f>
        <v/>
      </c>
      <c r="AL234" s="338"/>
      <c r="AM234" s="339"/>
      <c r="AN234" s="340"/>
    </row>
    <row r="235" spans="1:40" s="315" customFormat="1" ht="15" customHeight="1" x14ac:dyDescent="0.35">
      <c r="A235" s="316">
        <f t="shared" si="130"/>
        <v>3</v>
      </c>
      <c r="B235" s="317">
        <f t="shared" si="130"/>
        <v>19</v>
      </c>
      <c r="C235" s="318" t="str">
        <f t="shared" si="123"/>
        <v/>
      </c>
      <c r="D235" s="319"/>
      <c r="E235" s="320" t="str">
        <f t="shared" si="120"/>
        <v/>
      </c>
      <c r="F235" s="321"/>
      <c r="G235" s="321"/>
      <c r="H235" s="322" t="str">
        <f t="shared" si="99"/>
        <v/>
      </c>
      <c r="I235" s="323" t="str">
        <f t="shared" si="113"/>
        <v/>
      </c>
      <c r="J235" s="321" t="str">
        <f t="shared" si="102"/>
        <v/>
      </c>
      <c r="K235" s="323" t="str">
        <f t="shared" si="118"/>
        <v/>
      </c>
      <c r="L235" s="321"/>
      <c r="M235" s="333"/>
      <c r="N235" s="323" t="str">
        <f t="shared" si="121"/>
        <v/>
      </c>
      <c r="O235" s="323">
        <f t="shared" si="126"/>
        <v>0</v>
      </c>
      <c r="P235" s="324" t="str">
        <f t="shared" si="124"/>
        <v/>
      </c>
      <c r="Q235" s="325" t="str">
        <f t="shared" si="125"/>
        <v/>
      </c>
      <c r="R235" s="323" t="str">
        <f t="shared" si="104"/>
        <v/>
      </c>
      <c r="S235" s="323" t="str">
        <f t="shared" si="122"/>
        <v/>
      </c>
      <c r="T235" s="323" t="str">
        <f t="shared" si="105"/>
        <v/>
      </c>
      <c r="U235" s="323" t="str">
        <f t="shared" si="106"/>
        <v/>
      </c>
      <c r="V235" s="322" t="str">
        <f t="shared" si="127"/>
        <v/>
      </c>
      <c r="W235" s="323" t="str">
        <f t="shared" si="107"/>
        <v/>
      </c>
      <c r="X235" s="323" t="str">
        <f t="shared" si="114"/>
        <v/>
      </c>
      <c r="Y235" s="323" t="str">
        <f t="shared" si="108"/>
        <v/>
      </c>
      <c r="Z235" s="323" t="str">
        <f t="shared" si="129"/>
        <v/>
      </c>
      <c r="AA235" s="326" t="str">
        <f t="shared" si="109"/>
        <v/>
      </c>
      <c r="AB235" s="323" t="str">
        <f t="shared" si="119"/>
        <v/>
      </c>
      <c r="AC235" s="327"/>
      <c r="AD235" s="328" t="str">
        <f t="shared" si="110"/>
        <v/>
      </c>
      <c r="AE235" s="328" t="str">
        <f t="shared" si="110"/>
        <v/>
      </c>
      <c r="AF235" s="328" t="str">
        <f t="shared" si="111"/>
        <v/>
      </c>
      <c r="AG235" s="328" t="str">
        <f t="shared" si="112"/>
        <v/>
      </c>
      <c r="AH235" s="328" t="str">
        <f t="shared" si="115"/>
        <v/>
      </c>
      <c r="AI235" s="328" t="str">
        <f t="shared" si="116"/>
        <v/>
      </c>
      <c r="AJ235" s="329" t="str">
        <f t="shared" si="117"/>
        <v/>
      </c>
      <c r="AK235" s="329" t="str" cm="1">
        <f t="array" ref="AK235">IF(OR(E235="", H235=""), "",
  IFERROR(
     (
      INDEX($AM$3:$AM$22, MATCH(E235, $AL$3:$AL$22, 1)) +
      (E235 - INDEX($AL$3:$AL$22, MATCH(E235, $AL$3:$AL$22, 1))) *
      (INDEX($AM$3:$AM$22, MATCH(E235, $AL$3:$AL$22, 1)+1) - INDEX($AM$3:$AM$22, MATCH(E235, $AL$3:$AL$22, 1))) /
      (INDEX($AL$3:$AL$22, MATCH(E235, $AL$3:$AL$22, 1)+1) - INDEX($AL$3:$AL$22, MATCH(E235, $AL$3:$AL$22, 1)))
    ) - H235,
    ""
  )
)</f>
        <v/>
      </c>
      <c r="AL235" s="341"/>
      <c r="AM235" s="342"/>
      <c r="AN235" s="343"/>
    </row>
    <row r="236" spans="1:40" s="315" customFormat="1" ht="15" customHeight="1" x14ac:dyDescent="0.35">
      <c r="A236" s="297">
        <f t="shared" si="130"/>
        <v>3</v>
      </c>
      <c r="B236" s="298">
        <f t="shared" si="130"/>
        <v>19</v>
      </c>
      <c r="C236" s="299" t="str">
        <f t="shared" si="123"/>
        <v/>
      </c>
      <c r="D236" s="300"/>
      <c r="E236" s="301" t="str">
        <f t="shared" si="120"/>
        <v/>
      </c>
      <c r="F236" s="302"/>
      <c r="G236" s="302"/>
      <c r="H236" s="303" t="str">
        <f t="shared" ref="H236:H294" si="131">IF(F236="","",H235+(COS((AD236+AD235)/2))*AI236)</f>
        <v/>
      </c>
      <c r="I236" s="304" t="str">
        <f t="shared" si="113"/>
        <v/>
      </c>
      <c r="J236" s="302" t="str">
        <f t="shared" si="102"/>
        <v/>
      </c>
      <c r="K236" s="304" t="str">
        <f t="shared" si="118"/>
        <v/>
      </c>
      <c r="L236" s="302"/>
      <c r="M236" s="305"/>
      <c r="N236" s="304" t="str">
        <f t="shared" si="121"/>
        <v/>
      </c>
      <c r="O236" s="304">
        <f t="shared" si="126"/>
        <v>0</v>
      </c>
      <c r="P236" s="306" t="str">
        <f t="shared" si="124"/>
        <v/>
      </c>
      <c r="Q236" s="307" t="str">
        <f t="shared" si="125"/>
        <v/>
      </c>
      <c r="R236" s="304" t="str">
        <f t="shared" si="104"/>
        <v/>
      </c>
      <c r="S236" s="304" t="str">
        <f t="shared" si="122"/>
        <v/>
      </c>
      <c r="T236" s="304" t="str">
        <f t="shared" si="105"/>
        <v/>
      </c>
      <c r="U236" s="304" t="str">
        <f t="shared" si="106"/>
        <v/>
      </c>
      <c r="V236" s="303" t="str">
        <f t="shared" si="127"/>
        <v/>
      </c>
      <c r="W236" s="304" t="str">
        <f t="shared" si="107"/>
        <v/>
      </c>
      <c r="X236" s="304" t="str">
        <f t="shared" si="114"/>
        <v/>
      </c>
      <c r="Y236" s="304" t="str">
        <f t="shared" si="108"/>
        <v/>
      </c>
      <c r="Z236" s="304" t="str">
        <f t="shared" si="129"/>
        <v/>
      </c>
      <c r="AA236" s="308" t="str">
        <f t="shared" si="109"/>
        <v/>
      </c>
      <c r="AB236" s="304" t="str">
        <f t="shared" si="119"/>
        <v/>
      </c>
      <c r="AC236" s="309"/>
      <c r="AD236" s="310" t="str">
        <f t="shared" si="110"/>
        <v/>
      </c>
      <c r="AE236" s="310" t="str">
        <f t="shared" si="110"/>
        <v/>
      </c>
      <c r="AF236" s="310" t="str">
        <f t="shared" si="111"/>
        <v/>
      </c>
      <c r="AG236" s="310" t="str">
        <f t="shared" si="112"/>
        <v/>
      </c>
      <c r="AH236" s="310" t="str">
        <f t="shared" si="115"/>
        <v/>
      </c>
      <c r="AI236" s="310" t="str">
        <f t="shared" si="116"/>
        <v/>
      </c>
      <c r="AJ236" s="311" t="str">
        <f t="shared" si="117"/>
        <v/>
      </c>
      <c r="AK236" s="311" t="str" cm="1">
        <f t="array" ref="AK236">IF(OR(E236="", H236=""), "",
  IFERROR(
     (
      INDEX($AM$3:$AM$22, MATCH(E236, $AL$3:$AL$22, 1)) +
      (E236 - INDEX($AL$3:$AL$22, MATCH(E236, $AL$3:$AL$22, 1))) *
      (INDEX($AM$3:$AM$22, MATCH(E236, $AL$3:$AL$22, 1)+1) - INDEX($AM$3:$AM$22, MATCH(E236, $AL$3:$AL$22, 1))) /
      (INDEX($AL$3:$AL$22, MATCH(E236, $AL$3:$AL$22, 1)+1) - INDEX($AL$3:$AL$22, MATCH(E236, $AL$3:$AL$22, 1)))
    ) - H236,
    ""
  )
)</f>
        <v/>
      </c>
      <c r="AL236" s="338"/>
      <c r="AM236" s="339"/>
      <c r="AN236" s="340"/>
    </row>
    <row r="237" spans="1:40" s="315" customFormat="1" ht="15" customHeight="1" x14ac:dyDescent="0.35">
      <c r="A237" s="316">
        <f t="shared" si="130"/>
        <v>3</v>
      </c>
      <c r="B237" s="317">
        <f t="shared" si="130"/>
        <v>19</v>
      </c>
      <c r="C237" s="318" t="str">
        <f t="shared" si="123"/>
        <v/>
      </c>
      <c r="D237" s="319"/>
      <c r="E237" s="320" t="str">
        <f t="shared" si="120"/>
        <v/>
      </c>
      <c r="F237" s="321"/>
      <c r="G237" s="321"/>
      <c r="H237" s="322" t="str">
        <f t="shared" si="131"/>
        <v/>
      </c>
      <c r="I237" s="323" t="str">
        <f t="shared" si="113"/>
        <v/>
      </c>
      <c r="J237" s="321" t="str">
        <f t="shared" si="102"/>
        <v/>
      </c>
      <c r="K237" s="323" t="str">
        <f t="shared" si="118"/>
        <v/>
      </c>
      <c r="L237" s="321"/>
      <c r="M237" s="333"/>
      <c r="N237" s="323" t="str">
        <f t="shared" si="121"/>
        <v/>
      </c>
      <c r="O237" s="323">
        <f t="shared" si="126"/>
        <v>0</v>
      </c>
      <c r="P237" s="324" t="str">
        <f t="shared" si="124"/>
        <v/>
      </c>
      <c r="Q237" s="325" t="str">
        <f t="shared" si="125"/>
        <v/>
      </c>
      <c r="R237" s="323" t="str">
        <f t="shared" si="104"/>
        <v/>
      </c>
      <c r="S237" s="323" t="str">
        <f t="shared" si="122"/>
        <v/>
      </c>
      <c r="T237" s="323" t="str">
        <f t="shared" si="105"/>
        <v/>
      </c>
      <c r="U237" s="323" t="str">
        <f t="shared" si="106"/>
        <v/>
      </c>
      <c r="V237" s="322" t="str">
        <f t="shared" si="127"/>
        <v/>
      </c>
      <c r="W237" s="323" t="str">
        <f t="shared" si="107"/>
        <v/>
      </c>
      <c r="X237" s="323" t="str">
        <f t="shared" si="114"/>
        <v/>
      </c>
      <c r="Y237" s="323" t="str">
        <f t="shared" si="108"/>
        <v/>
      </c>
      <c r="Z237" s="323" t="str">
        <f t="shared" si="129"/>
        <v/>
      </c>
      <c r="AA237" s="326" t="str">
        <f t="shared" si="109"/>
        <v/>
      </c>
      <c r="AB237" s="323" t="str">
        <f t="shared" si="119"/>
        <v/>
      </c>
      <c r="AC237" s="327"/>
      <c r="AD237" s="328" t="str">
        <f t="shared" si="110"/>
        <v/>
      </c>
      <c r="AE237" s="328" t="str">
        <f t="shared" si="110"/>
        <v/>
      </c>
      <c r="AF237" s="328" t="str">
        <f t="shared" si="111"/>
        <v/>
      </c>
      <c r="AG237" s="328" t="str">
        <f t="shared" si="112"/>
        <v/>
      </c>
      <c r="AH237" s="328" t="str">
        <f t="shared" si="115"/>
        <v/>
      </c>
      <c r="AI237" s="328" t="str">
        <f t="shared" si="116"/>
        <v/>
      </c>
      <c r="AJ237" s="329" t="str">
        <f t="shared" si="117"/>
        <v/>
      </c>
      <c r="AK237" s="329" t="str" cm="1">
        <f t="array" ref="AK237">IF(OR(E237="", H237=""), "",
  IFERROR(
     (
      INDEX($AM$3:$AM$22, MATCH(E237, $AL$3:$AL$22, 1)) +
      (E237 - INDEX($AL$3:$AL$22, MATCH(E237, $AL$3:$AL$22, 1))) *
      (INDEX($AM$3:$AM$22, MATCH(E237, $AL$3:$AL$22, 1)+1) - INDEX($AM$3:$AM$22, MATCH(E237, $AL$3:$AL$22, 1))) /
      (INDEX($AL$3:$AL$22, MATCH(E237, $AL$3:$AL$22, 1)+1) - INDEX($AL$3:$AL$22, MATCH(E237, $AL$3:$AL$22, 1)))
    ) - H237,
    ""
  )
)</f>
        <v/>
      </c>
      <c r="AL237" s="341"/>
      <c r="AM237" s="342"/>
      <c r="AN237" s="343"/>
    </row>
    <row r="238" spans="1:40" s="315" customFormat="1" ht="15" customHeight="1" x14ac:dyDescent="0.35">
      <c r="A238" s="297">
        <f t="shared" si="130"/>
        <v>3</v>
      </c>
      <c r="B238" s="298">
        <f t="shared" si="130"/>
        <v>19</v>
      </c>
      <c r="C238" s="299" t="str">
        <f t="shared" si="123"/>
        <v/>
      </c>
      <c r="D238" s="300"/>
      <c r="E238" s="301" t="str">
        <f t="shared" si="120"/>
        <v/>
      </c>
      <c r="F238" s="302"/>
      <c r="G238" s="302"/>
      <c r="H238" s="303" t="str">
        <f t="shared" si="131"/>
        <v/>
      </c>
      <c r="I238" s="304" t="str">
        <f t="shared" si="113"/>
        <v/>
      </c>
      <c r="J238" s="302" t="str">
        <f t="shared" si="102"/>
        <v/>
      </c>
      <c r="K238" s="304" t="str">
        <f t="shared" si="118"/>
        <v/>
      </c>
      <c r="L238" s="302"/>
      <c r="M238" s="305"/>
      <c r="N238" s="304" t="str">
        <f t="shared" si="121"/>
        <v/>
      </c>
      <c r="O238" s="304">
        <f t="shared" si="126"/>
        <v>0</v>
      </c>
      <c r="P238" s="306" t="str">
        <f t="shared" si="124"/>
        <v/>
      </c>
      <c r="Q238" s="307" t="str">
        <f t="shared" si="125"/>
        <v/>
      </c>
      <c r="R238" s="304" t="str">
        <f t="shared" si="104"/>
        <v/>
      </c>
      <c r="S238" s="304" t="str">
        <f t="shared" si="122"/>
        <v/>
      </c>
      <c r="T238" s="304" t="str">
        <f t="shared" si="105"/>
        <v/>
      </c>
      <c r="U238" s="304" t="str">
        <f t="shared" si="106"/>
        <v/>
      </c>
      <c r="V238" s="303" t="str">
        <f t="shared" si="127"/>
        <v/>
      </c>
      <c r="W238" s="304" t="str">
        <f t="shared" si="107"/>
        <v/>
      </c>
      <c r="X238" s="304" t="str">
        <f t="shared" si="114"/>
        <v/>
      </c>
      <c r="Y238" s="304" t="str">
        <f t="shared" si="108"/>
        <v/>
      </c>
      <c r="Z238" s="304" t="str">
        <f t="shared" si="129"/>
        <v/>
      </c>
      <c r="AA238" s="308" t="str">
        <f t="shared" si="109"/>
        <v/>
      </c>
      <c r="AB238" s="304" t="str">
        <f t="shared" si="119"/>
        <v/>
      </c>
      <c r="AC238" s="309"/>
      <c r="AD238" s="310" t="str">
        <f t="shared" si="110"/>
        <v/>
      </c>
      <c r="AE238" s="310" t="str">
        <f t="shared" si="110"/>
        <v/>
      </c>
      <c r="AF238" s="310" t="str">
        <f t="shared" si="111"/>
        <v/>
      </c>
      <c r="AG238" s="310" t="str">
        <f t="shared" si="112"/>
        <v/>
      </c>
      <c r="AH238" s="310" t="str">
        <f t="shared" si="115"/>
        <v/>
      </c>
      <c r="AI238" s="310" t="str">
        <f t="shared" si="116"/>
        <v/>
      </c>
      <c r="AJ238" s="311" t="str">
        <f t="shared" si="117"/>
        <v/>
      </c>
      <c r="AK238" s="311" t="str" cm="1">
        <f t="array" ref="AK238">IF(OR(E238="", H238=""), "",
  IFERROR(
     (
      INDEX($AM$3:$AM$22, MATCH(E238, $AL$3:$AL$22, 1)) +
      (E238 - INDEX($AL$3:$AL$22, MATCH(E238, $AL$3:$AL$22, 1))) *
      (INDEX($AM$3:$AM$22, MATCH(E238, $AL$3:$AL$22, 1)+1) - INDEX($AM$3:$AM$22, MATCH(E238, $AL$3:$AL$22, 1))) /
      (INDEX($AL$3:$AL$22, MATCH(E238, $AL$3:$AL$22, 1)+1) - INDEX($AL$3:$AL$22, MATCH(E238, $AL$3:$AL$22, 1)))
    ) - H238,
    ""
  )
)</f>
        <v/>
      </c>
      <c r="AL238" s="338"/>
      <c r="AM238" s="339"/>
      <c r="AN238" s="340"/>
    </row>
    <row r="239" spans="1:40" s="315" customFormat="1" ht="15" customHeight="1" x14ac:dyDescent="0.35">
      <c r="A239" s="316">
        <f t="shared" si="130"/>
        <v>3</v>
      </c>
      <c r="B239" s="317">
        <f t="shared" si="130"/>
        <v>19</v>
      </c>
      <c r="C239" s="318" t="str">
        <f t="shared" si="123"/>
        <v/>
      </c>
      <c r="D239" s="319"/>
      <c r="E239" s="320" t="str">
        <f t="shared" si="120"/>
        <v/>
      </c>
      <c r="F239" s="321"/>
      <c r="G239" s="321"/>
      <c r="H239" s="322" t="str">
        <f t="shared" si="131"/>
        <v/>
      </c>
      <c r="I239" s="323" t="str">
        <f t="shared" si="113"/>
        <v/>
      </c>
      <c r="J239" s="321" t="str">
        <f t="shared" si="102"/>
        <v/>
      </c>
      <c r="K239" s="323" t="str">
        <f t="shared" si="118"/>
        <v/>
      </c>
      <c r="L239" s="321"/>
      <c r="M239" s="333"/>
      <c r="N239" s="323" t="str">
        <f t="shared" si="121"/>
        <v/>
      </c>
      <c r="O239" s="323">
        <f t="shared" si="126"/>
        <v>0</v>
      </c>
      <c r="P239" s="324" t="str">
        <f t="shared" si="124"/>
        <v/>
      </c>
      <c r="Q239" s="325" t="str">
        <f t="shared" si="125"/>
        <v/>
      </c>
      <c r="R239" s="323" t="str">
        <f t="shared" si="104"/>
        <v/>
      </c>
      <c r="S239" s="323" t="str">
        <f t="shared" si="122"/>
        <v/>
      </c>
      <c r="T239" s="323" t="str">
        <f t="shared" si="105"/>
        <v/>
      </c>
      <c r="U239" s="323" t="str">
        <f t="shared" si="106"/>
        <v/>
      </c>
      <c r="V239" s="322" t="str">
        <f t="shared" si="127"/>
        <v/>
      </c>
      <c r="W239" s="323" t="str">
        <f t="shared" si="107"/>
        <v/>
      </c>
      <c r="X239" s="323" t="str">
        <f t="shared" si="114"/>
        <v/>
      </c>
      <c r="Y239" s="323" t="str">
        <f t="shared" si="108"/>
        <v/>
      </c>
      <c r="Z239" s="323" t="str">
        <f t="shared" si="129"/>
        <v/>
      </c>
      <c r="AA239" s="326" t="str">
        <f t="shared" si="109"/>
        <v/>
      </c>
      <c r="AB239" s="323" t="str">
        <f t="shared" si="119"/>
        <v/>
      </c>
      <c r="AC239" s="327"/>
      <c r="AD239" s="328" t="str">
        <f t="shared" si="110"/>
        <v/>
      </c>
      <c r="AE239" s="328" t="str">
        <f t="shared" si="110"/>
        <v/>
      </c>
      <c r="AF239" s="328" t="str">
        <f t="shared" si="111"/>
        <v/>
      </c>
      <c r="AG239" s="328" t="str">
        <f t="shared" si="112"/>
        <v/>
      </c>
      <c r="AH239" s="328" t="str">
        <f t="shared" si="115"/>
        <v/>
      </c>
      <c r="AI239" s="328" t="str">
        <f t="shared" si="116"/>
        <v/>
      </c>
      <c r="AJ239" s="329" t="str">
        <f t="shared" si="117"/>
        <v/>
      </c>
      <c r="AK239" s="329" t="str" cm="1">
        <f t="array" ref="AK239">IF(OR(E239="", H239=""), "",
  IFERROR(
     (
      INDEX($AM$3:$AM$22, MATCH(E239, $AL$3:$AL$22, 1)) +
      (E239 - INDEX($AL$3:$AL$22, MATCH(E239, $AL$3:$AL$22, 1))) *
      (INDEX($AM$3:$AM$22, MATCH(E239, $AL$3:$AL$22, 1)+1) - INDEX($AM$3:$AM$22, MATCH(E239, $AL$3:$AL$22, 1))) /
      (INDEX($AL$3:$AL$22, MATCH(E239, $AL$3:$AL$22, 1)+1) - INDEX($AL$3:$AL$22, MATCH(E239, $AL$3:$AL$22, 1)))
    ) - H239,
    ""
  )
)</f>
        <v/>
      </c>
      <c r="AL239" s="341"/>
      <c r="AM239" s="342"/>
      <c r="AN239" s="343"/>
    </row>
    <row r="240" spans="1:40" s="315" customFormat="1" ht="15" customHeight="1" x14ac:dyDescent="0.35">
      <c r="A240" s="297">
        <f t="shared" si="130"/>
        <v>3</v>
      </c>
      <c r="B240" s="298">
        <f t="shared" si="130"/>
        <v>19</v>
      </c>
      <c r="C240" s="299" t="str">
        <f t="shared" si="123"/>
        <v/>
      </c>
      <c r="D240" s="300"/>
      <c r="E240" s="301" t="str">
        <f t="shared" si="120"/>
        <v/>
      </c>
      <c r="F240" s="302"/>
      <c r="G240" s="302"/>
      <c r="H240" s="303" t="str">
        <f t="shared" si="131"/>
        <v/>
      </c>
      <c r="I240" s="304" t="str">
        <f t="shared" si="113"/>
        <v/>
      </c>
      <c r="J240" s="302" t="str">
        <f t="shared" si="102"/>
        <v/>
      </c>
      <c r="K240" s="304" t="str">
        <f t="shared" si="118"/>
        <v/>
      </c>
      <c r="L240" s="302"/>
      <c r="M240" s="305"/>
      <c r="N240" s="304" t="str">
        <f t="shared" si="121"/>
        <v/>
      </c>
      <c r="O240" s="304">
        <f t="shared" si="126"/>
        <v>0</v>
      </c>
      <c r="P240" s="306" t="str">
        <f t="shared" si="124"/>
        <v/>
      </c>
      <c r="Q240" s="307" t="str">
        <f t="shared" si="125"/>
        <v/>
      </c>
      <c r="R240" s="304" t="str">
        <f t="shared" si="104"/>
        <v/>
      </c>
      <c r="S240" s="304" t="str">
        <f t="shared" si="122"/>
        <v/>
      </c>
      <c r="T240" s="304" t="str">
        <f t="shared" si="105"/>
        <v/>
      </c>
      <c r="U240" s="304" t="str">
        <f t="shared" si="106"/>
        <v/>
      </c>
      <c r="V240" s="303" t="str">
        <f t="shared" si="127"/>
        <v/>
      </c>
      <c r="W240" s="304" t="str">
        <f t="shared" si="107"/>
        <v/>
      </c>
      <c r="X240" s="304" t="str">
        <f t="shared" si="114"/>
        <v/>
      </c>
      <c r="Y240" s="304" t="str">
        <f t="shared" si="108"/>
        <v/>
      </c>
      <c r="Z240" s="304" t="str">
        <f t="shared" si="129"/>
        <v/>
      </c>
      <c r="AA240" s="308" t="str">
        <f t="shared" si="109"/>
        <v/>
      </c>
      <c r="AB240" s="304" t="str">
        <f t="shared" si="119"/>
        <v/>
      </c>
      <c r="AC240" s="309"/>
      <c r="AD240" s="310" t="str">
        <f t="shared" si="110"/>
        <v/>
      </c>
      <c r="AE240" s="310" t="str">
        <f t="shared" si="110"/>
        <v/>
      </c>
      <c r="AF240" s="310" t="str">
        <f t="shared" si="111"/>
        <v/>
      </c>
      <c r="AG240" s="310" t="str">
        <f t="shared" si="112"/>
        <v/>
      </c>
      <c r="AH240" s="310" t="str">
        <f t="shared" si="115"/>
        <v/>
      </c>
      <c r="AI240" s="310" t="str">
        <f t="shared" si="116"/>
        <v/>
      </c>
      <c r="AJ240" s="311" t="str">
        <f t="shared" si="117"/>
        <v/>
      </c>
      <c r="AK240" s="311" t="str" cm="1">
        <f t="array" ref="AK240">IF(OR(E240="", H240=""), "",
  IFERROR(
     (
      INDEX($AM$3:$AM$22, MATCH(E240, $AL$3:$AL$22, 1)) +
      (E240 - INDEX($AL$3:$AL$22, MATCH(E240, $AL$3:$AL$22, 1))) *
      (INDEX($AM$3:$AM$22, MATCH(E240, $AL$3:$AL$22, 1)+1) - INDEX($AM$3:$AM$22, MATCH(E240, $AL$3:$AL$22, 1))) /
      (INDEX($AL$3:$AL$22, MATCH(E240, $AL$3:$AL$22, 1)+1) - INDEX($AL$3:$AL$22, MATCH(E240, $AL$3:$AL$22, 1)))
    ) - H240,
    ""
  )
)</f>
        <v/>
      </c>
      <c r="AL240" s="338"/>
      <c r="AM240" s="339"/>
      <c r="AN240" s="340"/>
    </row>
    <row r="241" spans="1:40" s="315" customFormat="1" ht="15" customHeight="1" x14ac:dyDescent="0.35">
      <c r="A241" s="316">
        <f t="shared" ref="A241:B256" si="132">+A240</f>
        <v>3</v>
      </c>
      <c r="B241" s="317">
        <f t="shared" si="132"/>
        <v>19</v>
      </c>
      <c r="C241" s="318" t="str">
        <f t="shared" si="123"/>
        <v/>
      </c>
      <c r="D241" s="319"/>
      <c r="E241" s="320" t="str">
        <f t="shared" si="120"/>
        <v/>
      </c>
      <c r="F241" s="321"/>
      <c r="G241" s="321"/>
      <c r="H241" s="322" t="str">
        <f t="shared" si="131"/>
        <v/>
      </c>
      <c r="I241" s="323" t="str">
        <f t="shared" si="113"/>
        <v/>
      </c>
      <c r="J241" s="321" t="str">
        <f t="shared" si="102"/>
        <v/>
      </c>
      <c r="K241" s="323" t="str">
        <f t="shared" si="118"/>
        <v/>
      </c>
      <c r="L241" s="321"/>
      <c r="M241" s="333"/>
      <c r="N241" s="323" t="str">
        <f t="shared" si="121"/>
        <v/>
      </c>
      <c r="O241" s="323">
        <f t="shared" si="126"/>
        <v>0</v>
      </c>
      <c r="P241" s="324" t="str">
        <f t="shared" si="124"/>
        <v/>
      </c>
      <c r="Q241" s="325" t="str">
        <f t="shared" si="125"/>
        <v/>
      </c>
      <c r="R241" s="323" t="str">
        <f t="shared" si="104"/>
        <v/>
      </c>
      <c r="S241" s="323" t="str">
        <f t="shared" si="122"/>
        <v/>
      </c>
      <c r="T241" s="323" t="str">
        <f t="shared" si="105"/>
        <v/>
      </c>
      <c r="U241" s="323" t="str">
        <f t="shared" si="106"/>
        <v/>
      </c>
      <c r="V241" s="322" t="str">
        <f t="shared" si="127"/>
        <v/>
      </c>
      <c r="W241" s="323" t="str">
        <f t="shared" si="107"/>
        <v/>
      </c>
      <c r="X241" s="323" t="str">
        <f t="shared" si="114"/>
        <v/>
      </c>
      <c r="Y241" s="323" t="str">
        <f t="shared" si="108"/>
        <v/>
      </c>
      <c r="Z241" s="323" t="str">
        <f t="shared" si="129"/>
        <v/>
      </c>
      <c r="AA241" s="326" t="str">
        <f t="shared" si="109"/>
        <v/>
      </c>
      <c r="AB241" s="323" t="str">
        <f t="shared" si="119"/>
        <v/>
      </c>
      <c r="AC241" s="327"/>
      <c r="AD241" s="328" t="str">
        <f t="shared" si="110"/>
        <v/>
      </c>
      <c r="AE241" s="328" t="str">
        <f t="shared" si="110"/>
        <v/>
      </c>
      <c r="AF241" s="328" t="str">
        <f t="shared" si="111"/>
        <v/>
      </c>
      <c r="AG241" s="328" t="str">
        <f t="shared" si="112"/>
        <v/>
      </c>
      <c r="AH241" s="328" t="str">
        <f t="shared" si="115"/>
        <v/>
      </c>
      <c r="AI241" s="328" t="str">
        <f t="shared" si="116"/>
        <v/>
      </c>
      <c r="AJ241" s="329" t="str">
        <f t="shared" si="117"/>
        <v/>
      </c>
      <c r="AK241" s="329" t="str" cm="1">
        <f t="array" ref="AK241">IF(OR(E241="", H241=""), "",
  IFERROR(
     (
      INDEX($AM$3:$AM$22, MATCH(E241, $AL$3:$AL$22, 1)) +
      (E241 - INDEX($AL$3:$AL$22, MATCH(E241, $AL$3:$AL$22, 1))) *
      (INDEX($AM$3:$AM$22, MATCH(E241, $AL$3:$AL$22, 1)+1) - INDEX($AM$3:$AM$22, MATCH(E241, $AL$3:$AL$22, 1))) /
      (INDEX($AL$3:$AL$22, MATCH(E241, $AL$3:$AL$22, 1)+1) - INDEX($AL$3:$AL$22, MATCH(E241, $AL$3:$AL$22, 1)))
    ) - H241,
    ""
  )
)</f>
        <v/>
      </c>
      <c r="AL241" s="341"/>
      <c r="AM241" s="342"/>
      <c r="AN241" s="343"/>
    </row>
    <row r="242" spans="1:40" s="315" customFormat="1" ht="15" customHeight="1" x14ac:dyDescent="0.35">
      <c r="A242" s="297">
        <f t="shared" si="132"/>
        <v>3</v>
      </c>
      <c r="B242" s="298">
        <f t="shared" si="132"/>
        <v>19</v>
      </c>
      <c r="C242" s="299" t="str">
        <f t="shared" si="123"/>
        <v/>
      </c>
      <c r="D242" s="300"/>
      <c r="E242" s="301" t="str">
        <f t="shared" si="120"/>
        <v/>
      </c>
      <c r="F242" s="302"/>
      <c r="G242" s="302"/>
      <c r="H242" s="303" t="str">
        <f t="shared" si="131"/>
        <v/>
      </c>
      <c r="I242" s="304" t="str">
        <f t="shared" si="113"/>
        <v/>
      </c>
      <c r="J242" s="302" t="str">
        <f t="shared" si="102"/>
        <v/>
      </c>
      <c r="K242" s="304" t="str">
        <f t="shared" si="118"/>
        <v/>
      </c>
      <c r="L242" s="302"/>
      <c r="M242" s="305"/>
      <c r="N242" s="304" t="str">
        <f t="shared" si="121"/>
        <v/>
      </c>
      <c r="O242" s="304">
        <f t="shared" si="126"/>
        <v>0</v>
      </c>
      <c r="P242" s="306" t="str">
        <f t="shared" si="124"/>
        <v/>
      </c>
      <c r="Q242" s="307" t="str">
        <f t="shared" si="125"/>
        <v/>
      </c>
      <c r="R242" s="304" t="str">
        <f t="shared" si="104"/>
        <v/>
      </c>
      <c r="S242" s="304" t="str">
        <f t="shared" si="122"/>
        <v/>
      </c>
      <c r="T242" s="304" t="str">
        <f t="shared" si="105"/>
        <v/>
      </c>
      <c r="U242" s="304" t="str">
        <f t="shared" si="106"/>
        <v/>
      </c>
      <c r="V242" s="303" t="str">
        <f t="shared" si="127"/>
        <v/>
      </c>
      <c r="W242" s="304" t="str">
        <f t="shared" si="107"/>
        <v/>
      </c>
      <c r="X242" s="304" t="str">
        <f t="shared" si="114"/>
        <v/>
      </c>
      <c r="Y242" s="304" t="str">
        <f t="shared" si="108"/>
        <v/>
      </c>
      <c r="Z242" s="304" t="str">
        <f t="shared" si="129"/>
        <v/>
      </c>
      <c r="AA242" s="308" t="str">
        <f t="shared" si="109"/>
        <v/>
      </c>
      <c r="AB242" s="304" t="str">
        <f t="shared" si="119"/>
        <v/>
      </c>
      <c r="AC242" s="309"/>
      <c r="AD242" s="310" t="str">
        <f t="shared" si="110"/>
        <v/>
      </c>
      <c r="AE242" s="310" t="str">
        <f t="shared" si="110"/>
        <v/>
      </c>
      <c r="AF242" s="310" t="str">
        <f t="shared" si="111"/>
        <v/>
      </c>
      <c r="AG242" s="310" t="str">
        <f t="shared" si="112"/>
        <v/>
      </c>
      <c r="AH242" s="310" t="str">
        <f t="shared" si="115"/>
        <v/>
      </c>
      <c r="AI242" s="310" t="str">
        <f t="shared" si="116"/>
        <v/>
      </c>
      <c r="AJ242" s="311" t="str">
        <f t="shared" si="117"/>
        <v/>
      </c>
      <c r="AK242" s="311" t="str" cm="1">
        <f t="array" ref="AK242">IF(OR(E242="", H242=""), "",
  IFERROR(
     (
      INDEX($AM$3:$AM$22, MATCH(E242, $AL$3:$AL$22, 1)) +
      (E242 - INDEX($AL$3:$AL$22, MATCH(E242, $AL$3:$AL$22, 1))) *
      (INDEX($AM$3:$AM$22, MATCH(E242, $AL$3:$AL$22, 1)+1) - INDEX($AM$3:$AM$22, MATCH(E242, $AL$3:$AL$22, 1))) /
      (INDEX($AL$3:$AL$22, MATCH(E242, $AL$3:$AL$22, 1)+1) - INDEX($AL$3:$AL$22, MATCH(E242, $AL$3:$AL$22, 1)))
    ) - H242,
    ""
  )
)</f>
        <v/>
      </c>
      <c r="AL242" s="338"/>
      <c r="AM242" s="339"/>
      <c r="AN242" s="340"/>
    </row>
    <row r="243" spans="1:40" s="315" customFormat="1" ht="15" customHeight="1" x14ac:dyDescent="0.35">
      <c r="A243" s="316">
        <f t="shared" si="132"/>
        <v>3</v>
      </c>
      <c r="B243" s="317">
        <f t="shared" si="132"/>
        <v>19</v>
      </c>
      <c r="C243" s="318" t="str">
        <f t="shared" si="123"/>
        <v/>
      </c>
      <c r="D243" s="319"/>
      <c r="E243" s="320" t="str">
        <f t="shared" si="120"/>
        <v/>
      </c>
      <c r="F243" s="321"/>
      <c r="G243" s="321"/>
      <c r="H243" s="322" t="str">
        <f t="shared" si="131"/>
        <v/>
      </c>
      <c r="I243" s="323" t="str">
        <f t="shared" si="113"/>
        <v/>
      </c>
      <c r="J243" s="321" t="str">
        <f t="shared" si="102"/>
        <v/>
      </c>
      <c r="K243" s="323" t="str">
        <f t="shared" si="118"/>
        <v/>
      </c>
      <c r="L243" s="321"/>
      <c r="M243" s="333"/>
      <c r="N243" s="323" t="str">
        <f t="shared" si="121"/>
        <v/>
      </c>
      <c r="O243" s="323">
        <f t="shared" si="126"/>
        <v>0</v>
      </c>
      <c r="P243" s="324" t="str">
        <f t="shared" si="124"/>
        <v/>
      </c>
      <c r="Q243" s="325" t="str">
        <f t="shared" si="125"/>
        <v/>
      </c>
      <c r="R243" s="323" t="str">
        <f t="shared" si="104"/>
        <v/>
      </c>
      <c r="S243" s="323" t="str">
        <f t="shared" si="122"/>
        <v/>
      </c>
      <c r="T243" s="323" t="str">
        <f t="shared" si="105"/>
        <v/>
      </c>
      <c r="U243" s="323" t="str">
        <f t="shared" si="106"/>
        <v/>
      </c>
      <c r="V243" s="322" t="str">
        <f t="shared" si="127"/>
        <v/>
      </c>
      <c r="W243" s="323" t="str">
        <f t="shared" si="107"/>
        <v/>
      </c>
      <c r="X243" s="323" t="str">
        <f t="shared" si="114"/>
        <v/>
      </c>
      <c r="Y243" s="323" t="str">
        <f t="shared" si="108"/>
        <v/>
      </c>
      <c r="Z243" s="323" t="str">
        <f t="shared" si="129"/>
        <v/>
      </c>
      <c r="AA243" s="326" t="str">
        <f t="shared" si="109"/>
        <v/>
      </c>
      <c r="AB243" s="323" t="str">
        <f t="shared" si="119"/>
        <v/>
      </c>
      <c r="AC243" s="327"/>
      <c r="AD243" s="328" t="str">
        <f t="shared" si="110"/>
        <v/>
      </c>
      <c r="AE243" s="328" t="str">
        <f t="shared" si="110"/>
        <v/>
      </c>
      <c r="AF243" s="328" t="str">
        <f t="shared" si="111"/>
        <v/>
      </c>
      <c r="AG243" s="328" t="str">
        <f t="shared" si="112"/>
        <v/>
      </c>
      <c r="AH243" s="328" t="str">
        <f t="shared" si="115"/>
        <v/>
      </c>
      <c r="AI243" s="328" t="str">
        <f t="shared" si="116"/>
        <v/>
      </c>
      <c r="AJ243" s="329" t="str">
        <f t="shared" si="117"/>
        <v/>
      </c>
      <c r="AK243" s="329" t="str" cm="1">
        <f t="array" ref="AK243">IF(OR(E243="", H243=""), "",
  IFERROR(
     (
      INDEX($AM$3:$AM$22, MATCH(E243, $AL$3:$AL$22, 1)) +
      (E243 - INDEX($AL$3:$AL$22, MATCH(E243, $AL$3:$AL$22, 1))) *
      (INDEX($AM$3:$AM$22, MATCH(E243, $AL$3:$AL$22, 1)+1) - INDEX($AM$3:$AM$22, MATCH(E243, $AL$3:$AL$22, 1))) /
      (INDEX($AL$3:$AL$22, MATCH(E243, $AL$3:$AL$22, 1)+1) - INDEX($AL$3:$AL$22, MATCH(E243, $AL$3:$AL$22, 1)))
    ) - H243,
    ""
  )
)</f>
        <v/>
      </c>
      <c r="AL243" s="341"/>
      <c r="AM243" s="342"/>
      <c r="AN243" s="343"/>
    </row>
    <row r="244" spans="1:40" s="315" customFormat="1" ht="15" customHeight="1" x14ac:dyDescent="0.35">
      <c r="A244" s="297">
        <f t="shared" si="132"/>
        <v>3</v>
      </c>
      <c r="B244" s="298">
        <f t="shared" si="132"/>
        <v>19</v>
      </c>
      <c r="C244" s="299" t="str">
        <f t="shared" si="123"/>
        <v/>
      </c>
      <c r="D244" s="300"/>
      <c r="E244" s="301" t="str">
        <f t="shared" si="120"/>
        <v/>
      </c>
      <c r="F244" s="302"/>
      <c r="G244" s="302"/>
      <c r="H244" s="303" t="str">
        <f t="shared" si="131"/>
        <v/>
      </c>
      <c r="I244" s="304" t="str">
        <f t="shared" si="113"/>
        <v/>
      </c>
      <c r="J244" s="302" t="str">
        <f t="shared" si="102"/>
        <v/>
      </c>
      <c r="K244" s="304" t="str">
        <f t="shared" si="118"/>
        <v/>
      </c>
      <c r="L244" s="302"/>
      <c r="M244" s="305"/>
      <c r="N244" s="304" t="str">
        <f t="shared" si="121"/>
        <v/>
      </c>
      <c r="O244" s="304">
        <f t="shared" si="126"/>
        <v>0</v>
      </c>
      <c r="P244" s="306" t="str">
        <f t="shared" si="124"/>
        <v/>
      </c>
      <c r="Q244" s="307" t="str">
        <f t="shared" si="125"/>
        <v/>
      </c>
      <c r="R244" s="304" t="str">
        <f t="shared" si="104"/>
        <v/>
      </c>
      <c r="S244" s="304" t="str">
        <f t="shared" si="122"/>
        <v/>
      </c>
      <c r="T244" s="304" t="str">
        <f t="shared" si="105"/>
        <v/>
      </c>
      <c r="U244" s="304" t="str">
        <f t="shared" si="106"/>
        <v/>
      </c>
      <c r="V244" s="303" t="str">
        <f t="shared" si="127"/>
        <v/>
      </c>
      <c r="W244" s="304" t="str">
        <f t="shared" si="107"/>
        <v/>
      </c>
      <c r="X244" s="304" t="str">
        <f t="shared" si="114"/>
        <v/>
      </c>
      <c r="Y244" s="304" t="str">
        <f t="shared" si="108"/>
        <v/>
      </c>
      <c r="Z244" s="304" t="str">
        <f t="shared" si="129"/>
        <v/>
      </c>
      <c r="AA244" s="308" t="str">
        <f t="shared" si="109"/>
        <v/>
      </c>
      <c r="AB244" s="304" t="str">
        <f t="shared" si="119"/>
        <v/>
      </c>
      <c r="AC244" s="309"/>
      <c r="AD244" s="310" t="str">
        <f t="shared" si="110"/>
        <v/>
      </c>
      <c r="AE244" s="310" t="str">
        <f t="shared" si="110"/>
        <v/>
      </c>
      <c r="AF244" s="310" t="str">
        <f t="shared" si="111"/>
        <v/>
      </c>
      <c r="AG244" s="310" t="str">
        <f t="shared" si="112"/>
        <v/>
      </c>
      <c r="AH244" s="310" t="str">
        <f t="shared" si="115"/>
        <v/>
      </c>
      <c r="AI244" s="310" t="str">
        <f t="shared" si="116"/>
        <v/>
      </c>
      <c r="AJ244" s="311" t="str">
        <f t="shared" si="117"/>
        <v/>
      </c>
      <c r="AK244" s="311" t="str" cm="1">
        <f t="array" ref="AK244">IF(OR(E244="", H244=""), "",
  IFERROR(
     (
      INDEX($AM$3:$AM$22, MATCH(E244, $AL$3:$AL$22, 1)) +
      (E244 - INDEX($AL$3:$AL$22, MATCH(E244, $AL$3:$AL$22, 1))) *
      (INDEX($AM$3:$AM$22, MATCH(E244, $AL$3:$AL$22, 1)+1) - INDEX($AM$3:$AM$22, MATCH(E244, $AL$3:$AL$22, 1))) /
      (INDEX($AL$3:$AL$22, MATCH(E244, $AL$3:$AL$22, 1)+1) - INDEX($AL$3:$AL$22, MATCH(E244, $AL$3:$AL$22, 1)))
    ) - H244,
    ""
  )
)</f>
        <v/>
      </c>
      <c r="AL244" s="338"/>
      <c r="AM244" s="339"/>
      <c r="AN244" s="340"/>
    </row>
    <row r="245" spans="1:40" s="315" customFormat="1" ht="15" customHeight="1" x14ac:dyDescent="0.35">
      <c r="A245" s="316">
        <f t="shared" si="132"/>
        <v>3</v>
      </c>
      <c r="B245" s="317">
        <f t="shared" si="132"/>
        <v>19</v>
      </c>
      <c r="C245" s="318" t="str">
        <f t="shared" si="123"/>
        <v/>
      </c>
      <c r="D245" s="319"/>
      <c r="E245" s="320" t="str">
        <f t="shared" si="120"/>
        <v/>
      </c>
      <c r="F245" s="321"/>
      <c r="G245" s="321"/>
      <c r="H245" s="322" t="str">
        <f t="shared" si="131"/>
        <v/>
      </c>
      <c r="I245" s="323" t="str">
        <f t="shared" si="113"/>
        <v/>
      </c>
      <c r="J245" s="321" t="str">
        <f t="shared" si="102"/>
        <v/>
      </c>
      <c r="K245" s="323" t="str">
        <f t="shared" si="118"/>
        <v/>
      </c>
      <c r="L245" s="321"/>
      <c r="M245" s="333"/>
      <c r="N245" s="323" t="str">
        <f t="shared" si="121"/>
        <v/>
      </c>
      <c r="O245" s="323">
        <f t="shared" si="126"/>
        <v>0</v>
      </c>
      <c r="P245" s="324" t="str">
        <f t="shared" si="124"/>
        <v/>
      </c>
      <c r="Q245" s="325" t="str">
        <f t="shared" si="125"/>
        <v/>
      </c>
      <c r="R245" s="323" t="str">
        <f t="shared" si="104"/>
        <v/>
      </c>
      <c r="S245" s="323" t="str">
        <f t="shared" si="122"/>
        <v/>
      </c>
      <c r="T245" s="323" t="str">
        <f t="shared" si="105"/>
        <v/>
      </c>
      <c r="U245" s="323" t="str">
        <f t="shared" si="106"/>
        <v/>
      </c>
      <c r="V245" s="322" t="str">
        <f t="shared" si="127"/>
        <v/>
      </c>
      <c r="W245" s="323" t="str">
        <f t="shared" si="107"/>
        <v/>
      </c>
      <c r="X245" s="323" t="str">
        <f t="shared" si="114"/>
        <v/>
      </c>
      <c r="Y245" s="323" t="str">
        <f t="shared" si="108"/>
        <v/>
      </c>
      <c r="Z245" s="323" t="str">
        <f t="shared" si="129"/>
        <v/>
      </c>
      <c r="AA245" s="326" t="str">
        <f t="shared" si="109"/>
        <v/>
      </c>
      <c r="AB245" s="323" t="str">
        <f t="shared" si="119"/>
        <v/>
      </c>
      <c r="AC245" s="327"/>
      <c r="AD245" s="328" t="str">
        <f t="shared" si="110"/>
        <v/>
      </c>
      <c r="AE245" s="328" t="str">
        <f t="shared" si="110"/>
        <v/>
      </c>
      <c r="AF245" s="328" t="str">
        <f t="shared" si="111"/>
        <v/>
      </c>
      <c r="AG245" s="328" t="str">
        <f t="shared" si="112"/>
        <v/>
      </c>
      <c r="AH245" s="328" t="str">
        <f t="shared" si="115"/>
        <v/>
      </c>
      <c r="AI245" s="328" t="str">
        <f t="shared" si="116"/>
        <v/>
      </c>
      <c r="AJ245" s="329" t="str">
        <f t="shared" si="117"/>
        <v/>
      </c>
      <c r="AK245" s="329" t="str" cm="1">
        <f t="array" ref="AK245">IF(OR(E245="", H245=""), "",
  IFERROR(
     (
      INDEX($AM$3:$AM$22, MATCH(E245, $AL$3:$AL$22, 1)) +
      (E245 - INDEX($AL$3:$AL$22, MATCH(E245, $AL$3:$AL$22, 1))) *
      (INDEX($AM$3:$AM$22, MATCH(E245, $AL$3:$AL$22, 1)+1) - INDEX($AM$3:$AM$22, MATCH(E245, $AL$3:$AL$22, 1))) /
      (INDEX($AL$3:$AL$22, MATCH(E245, $AL$3:$AL$22, 1)+1) - INDEX($AL$3:$AL$22, MATCH(E245, $AL$3:$AL$22, 1)))
    ) - H245,
    ""
  )
)</f>
        <v/>
      </c>
      <c r="AL245" s="341"/>
      <c r="AM245" s="342"/>
      <c r="AN245" s="343"/>
    </row>
    <row r="246" spans="1:40" s="315" customFormat="1" ht="15" customHeight="1" x14ac:dyDescent="0.35">
      <c r="A246" s="297">
        <f t="shared" si="132"/>
        <v>3</v>
      </c>
      <c r="B246" s="298">
        <f t="shared" si="132"/>
        <v>19</v>
      </c>
      <c r="C246" s="299" t="str">
        <f t="shared" si="123"/>
        <v/>
      </c>
      <c r="D246" s="300"/>
      <c r="E246" s="301" t="str">
        <f t="shared" si="120"/>
        <v/>
      </c>
      <c r="F246" s="302"/>
      <c r="G246" s="302"/>
      <c r="H246" s="303" t="str">
        <f t="shared" si="131"/>
        <v/>
      </c>
      <c r="I246" s="304" t="str">
        <f t="shared" si="113"/>
        <v/>
      </c>
      <c r="J246" s="302" t="str">
        <f t="shared" ref="J246:J309" si="133">IF(L246="","",D246)</f>
        <v/>
      </c>
      <c r="K246" s="304" t="str">
        <f t="shared" si="118"/>
        <v/>
      </c>
      <c r="L246" s="302"/>
      <c r="M246" s="305"/>
      <c r="N246" s="304" t="str">
        <f t="shared" si="121"/>
        <v/>
      </c>
      <c r="O246" s="304">
        <f t="shared" si="126"/>
        <v>0</v>
      </c>
      <c r="P246" s="306" t="str">
        <f t="shared" si="124"/>
        <v/>
      </c>
      <c r="Q246" s="307" t="str">
        <f t="shared" si="125"/>
        <v/>
      </c>
      <c r="R246" s="304" t="str">
        <f t="shared" si="104"/>
        <v/>
      </c>
      <c r="S246" s="304" t="str">
        <f t="shared" si="122"/>
        <v/>
      </c>
      <c r="T246" s="304" t="str">
        <f t="shared" si="105"/>
        <v/>
      </c>
      <c r="U246" s="304" t="str">
        <f t="shared" si="106"/>
        <v/>
      </c>
      <c r="V246" s="303" t="str">
        <f t="shared" si="127"/>
        <v/>
      </c>
      <c r="W246" s="304" t="str">
        <f t="shared" si="107"/>
        <v/>
      </c>
      <c r="X246" s="304" t="str">
        <f t="shared" si="114"/>
        <v/>
      </c>
      <c r="Y246" s="304" t="str">
        <f t="shared" si="108"/>
        <v/>
      </c>
      <c r="Z246" s="304" t="str">
        <f t="shared" si="129"/>
        <v/>
      </c>
      <c r="AA246" s="308" t="str">
        <f t="shared" si="109"/>
        <v/>
      </c>
      <c r="AB246" s="304" t="str">
        <f t="shared" si="119"/>
        <v/>
      </c>
      <c r="AC246" s="309"/>
      <c r="AD246" s="310" t="str">
        <f t="shared" si="110"/>
        <v/>
      </c>
      <c r="AE246" s="310" t="str">
        <f t="shared" si="110"/>
        <v/>
      </c>
      <c r="AF246" s="310" t="str">
        <f t="shared" si="111"/>
        <v/>
      </c>
      <c r="AG246" s="310" t="str">
        <f t="shared" si="112"/>
        <v/>
      </c>
      <c r="AH246" s="310" t="str">
        <f t="shared" si="115"/>
        <v/>
      </c>
      <c r="AI246" s="310" t="str">
        <f t="shared" si="116"/>
        <v/>
      </c>
      <c r="AJ246" s="311" t="str">
        <f t="shared" si="117"/>
        <v/>
      </c>
      <c r="AK246" s="311" t="str" cm="1">
        <f t="array" ref="AK246">IF(OR(E246="", H246=""), "",
  IFERROR(
     (
      INDEX($AM$3:$AM$22, MATCH(E246, $AL$3:$AL$22, 1)) +
      (E246 - INDEX($AL$3:$AL$22, MATCH(E246, $AL$3:$AL$22, 1))) *
      (INDEX($AM$3:$AM$22, MATCH(E246, $AL$3:$AL$22, 1)+1) - INDEX($AM$3:$AM$22, MATCH(E246, $AL$3:$AL$22, 1))) /
      (INDEX($AL$3:$AL$22, MATCH(E246, $AL$3:$AL$22, 1)+1) - INDEX($AL$3:$AL$22, MATCH(E246, $AL$3:$AL$22, 1)))
    ) - H246,
    ""
  )
)</f>
        <v/>
      </c>
      <c r="AL246" s="338"/>
      <c r="AM246" s="339"/>
      <c r="AN246" s="340"/>
    </row>
    <row r="247" spans="1:40" s="315" customFormat="1" ht="15" customHeight="1" x14ac:dyDescent="0.35">
      <c r="A247" s="316">
        <f t="shared" si="132"/>
        <v>3</v>
      </c>
      <c r="B247" s="317">
        <f t="shared" si="132"/>
        <v>19</v>
      </c>
      <c r="C247" s="318" t="str">
        <f t="shared" si="123"/>
        <v/>
      </c>
      <c r="D247" s="319"/>
      <c r="E247" s="320" t="str">
        <f t="shared" si="120"/>
        <v/>
      </c>
      <c r="F247" s="321"/>
      <c r="G247" s="321"/>
      <c r="H247" s="322" t="str">
        <f t="shared" si="131"/>
        <v/>
      </c>
      <c r="I247" s="323" t="str">
        <f t="shared" si="113"/>
        <v/>
      </c>
      <c r="J247" s="321" t="str">
        <f t="shared" si="133"/>
        <v/>
      </c>
      <c r="K247" s="323" t="str">
        <f t="shared" si="118"/>
        <v/>
      </c>
      <c r="L247" s="321"/>
      <c r="M247" s="333"/>
      <c r="N247" s="323" t="str">
        <f t="shared" si="121"/>
        <v/>
      </c>
      <c r="O247" s="323">
        <f t="shared" si="126"/>
        <v>0</v>
      </c>
      <c r="P247" s="324" t="str">
        <f t="shared" si="124"/>
        <v/>
      </c>
      <c r="Q247" s="325" t="str">
        <f t="shared" si="125"/>
        <v/>
      </c>
      <c r="R247" s="323" t="str">
        <f t="shared" si="104"/>
        <v/>
      </c>
      <c r="S247" s="323" t="str">
        <f t="shared" si="122"/>
        <v/>
      </c>
      <c r="T247" s="323" t="str">
        <f t="shared" si="105"/>
        <v/>
      </c>
      <c r="U247" s="323" t="str">
        <f t="shared" si="106"/>
        <v/>
      </c>
      <c r="V247" s="322" t="str">
        <f t="shared" si="127"/>
        <v/>
      </c>
      <c r="W247" s="323" t="str">
        <f t="shared" si="107"/>
        <v/>
      </c>
      <c r="X247" s="323" t="str">
        <f t="shared" si="114"/>
        <v/>
      </c>
      <c r="Y247" s="323" t="str">
        <f t="shared" si="108"/>
        <v/>
      </c>
      <c r="Z247" s="323" t="str">
        <f t="shared" si="129"/>
        <v/>
      </c>
      <c r="AA247" s="326" t="str">
        <f t="shared" si="109"/>
        <v/>
      </c>
      <c r="AB247" s="323" t="str">
        <f t="shared" si="119"/>
        <v/>
      </c>
      <c r="AC247" s="327"/>
      <c r="AD247" s="328" t="str">
        <f t="shared" si="110"/>
        <v/>
      </c>
      <c r="AE247" s="328" t="str">
        <f t="shared" si="110"/>
        <v/>
      </c>
      <c r="AF247" s="328" t="str">
        <f t="shared" si="111"/>
        <v/>
      </c>
      <c r="AG247" s="328" t="str">
        <f t="shared" si="112"/>
        <v/>
      </c>
      <c r="AH247" s="328" t="str">
        <f t="shared" si="115"/>
        <v/>
      </c>
      <c r="AI247" s="328" t="str">
        <f t="shared" si="116"/>
        <v/>
      </c>
      <c r="AJ247" s="329" t="str">
        <f t="shared" si="117"/>
        <v/>
      </c>
      <c r="AK247" s="329" t="str" cm="1">
        <f t="array" ref="AK247">IF(OR(E247="", H247=""), "",
  IFERROR(
     (
      INDEX($AM$3:$AM$22, MATCH(E247, $AL$3:$AL$22, 1)) +
      (E247 - INDEX($AL$3:$AL$22, MATCH(E247, $AL$3:$AL$22, 1))) *
      (INDEX($AM$3:$AM$22, MATCH(E247, $AL$3:$AL$22, 1)+1) - INDEX($AM$3:$AM$22, MATCH(E247, $AL$3:$AL$22, 1))) /
      (INDEX($AL$3:$AL$22, MATCH(E247, $AL$3:$AL$22, 1)+1) - INDEX($AL$3:$AL$22, MATCH(E247, $AL$3:$AL$22, 1)))
    ) - H247,
    ""
  )
)</f>
        <v/>
      </c>
      <c r="AL247" s="341"/>
      <c r="AM247" s="342"/>
      <c r="AN247" s="343"/>
    </row>
    <row r="248" spans="1:40" s="315" customFormat="1" ht="15" customHeight="1" x14ac:dyDescent="0.35">
      <c r="A248" s="297">
        <f t="shared" si="132"/>
        <v>3</v>
      </c>
      <c r="B248" s="298">
        <f t="shared" si="132"/>
        <v>19</v>
      </c>
      <c r="C248" s="299" t="str">
        <f t="shared" si="123"/>
        <v/>
      </c>
      <c r="D248" s="300"/>
      <c r="E248" s="301" t="str">
        <f t="shared" si="120"/>
        <v/>
      </c>
      <c r="F248" s="302"/>
      <c r="G248" s="302"/>
      <c r="H248" s="303" t="str">
        <f t="shared" si="131"/>
        <v/>
      </c>
      <c r="I248" s="304" t="str">
        <f t="shared" si="113"/>
        <v/>
      </c>
      <c r="J248" s="302" t="str">
        <f t="shared" si="133"/>
        <v/>
      </c>
      <c r="K248" s="304" t="str">
        <f t="shared" si="118"/>
        <v/>
      </c>
      <c r="L248" s="302"/>
      <c r="M248" s="305"/>
      <c r="N248" s="304" t="str">
        <f t="shared" si="121"/>
        <v/>
      </c>
      <c r="O248" s="304">
        <f t="shared" si="126"/>
        <v>0</v>
      </c>
      <c r="P248" s="306" t="str">
        <f t="shared" si="124"/>
        <v/>
      </c>
      <c r="Q248" s="307" t="str">
        <f t="shared" si="125"/>
        <v/>
      </c>
      <c r="R248" s="304" t="str">
        <f t="shared" si="104"/>
        <v/>
      </c>
      <c r="S248" s="304" t="str">
        <f t="shared" si="122"/>
        <v/>
      </c>
      <c r="T248" s="304" t="str">
        <f t="shared" si="105"/>
        <v/>
      </c>
      <c r="U248" s="304" t="str">
        <f t="shared" si="106"/>
        <v/>
      </c>
      <c r="V248" s="303" t="str">
        <f t="shared" si="127"/>
        <v/>
      </c>
      <c r="W248" s="304" t="str">
        <f t="shared" si="107"/>
        <v/>
      </c>
      <c r="X248" s="304" t="str">
        <f t="shared" si="114"/>
        <v/>
      </c>
      <c r="Y248" s="304" t="str">
        <f t="shared" si="108"/>
        <v/>
      </c>
      <c r="Z248" s="304" t="str">
        <f t="shared" si="129"/>
        <v/>
      </c>
      <c r="AA248" s="308" t="str">
        <f t="shared" si="109"/>
        <v/>
      </c>
      <c r="AB248" s="304" t="str">
        <f t="shared" si="119"/>
        <v/>
      </c>
      <c r="AC248" s="309"/>
      <c r="AD248" s="310" t="str">
        <f t="shared" si="110"/>
        <v/>
      </c>
      <c r="AE248" s="310" t="str">
        <f t="shared" si="110"/>
        <v/>
      </c>
      <c r="AF248" s="310" t="str">
        <f t="shared" si="111"/>
        <v/>
      </c>
      <c r="AG248" s="310" t="str">
        <f t="shared" si="112"/>
        <v/>
      </c>
      <c r="AH248" s="310" t="str">
        <f t="shared" si="115"/>
        <v/>
      </c>
      <c r="AI248" s="310" t="str">
        <f t="shared" si="116"/>
        <v/>
      </c>
      <c r="AJ248" s="311" t="str">
        <f t="shared" si="117"/>
        <v/>
      </c>
      <c r="AK248" s="311" t="str" cm="1">
        <f t="array" ref="AK248">IF(OR(E248="", H248=""), "",
  IFERROR(
     (
      INDEX($AM$3:$AM$22, MATCH(E248, $AL$3:$AL$22, 1)) +
      (E248 - INDEX($AL$3:$AL$22, MATCH(E248, $AL$3:$AL$22, 1))) *
      (INDEX($AM$3:$AM$22, MATCH(E248, $AL$3:$AL$22, 1)+1) - INDEX($AM$3:$AM$22, MATCH(E248, $AL$3:$AL$22, 1))) /
      (INDEX($AL$3:$AL$22, MATCH(E248, $AL$3:$AL$22, 1)+1) - INDEX($AL$3:$AL$22, MATCH(E248, $AL$3:$AL$22, 1)))
    ) - H248,
    ""
  )
)</f>
        <v/>
      </c>
      <c r="AL248" s="338"/>
      <c r="AM248" s="339"/>
      <c r="AN248" s="340"/>
    </row>
    <row r="249" spans="1:40" s="315" customFormat="1" ht="15" customHeight="1" x14ac:dyDescent="0.35">
      <c r="A249" s="316">
        <f t="shared" si="132"/>
        <v>3</v>
      </c>
      <c r="B249" s="317">
        <f t="shared" si="132"/>
        <v>19</v>
      </c>
      <c r="C249" s="318" t="str">
        <f t="shared" si="123"/>
        <v/>
      </c>
      <c r="D249" s="319"/>
      <c r="E249" s="320" t="str">
        <f t="shared" si="120"/>
        <v/>
      </c>
      <c r="F249" s="321"/>
      <c r="G249" s="321"/>
      <c r="H249" s="322" t="str">
        <f t="shared" si="131"/>
        <v/>
      </c>
      <c r="I249" s="323" t="str">
        <f t="shared" si="113"/>
        <v/>
      </c>
      <c r="J249" s="321" t="str">
        <f t="shared" si="133"/>
        <v/>
      </c>
      <c r="K249" s="323" t="str">
        <f t="shared" si="118"/>
        <v/>
      </c>
      <c r="L249" s="321"/>
      <c r="M249" s="333"/>
      <c r="N249" s="323" t="str">
        <f t="shared" si="121"/>
        <v/>
      </c>
      <c r="O249" s="323">
        <f t="shared" si="126"/>
        <v>0</v>
      </c>
      <c r="P249" s="324" t="str">
        <f t="shared" si="124"/>
        <v/>
      </c>
      <c r="Q249" s="325" t="str">
        <f t="shared" si="125"/>
        <v/>
      </c>
      <c r="R249" s="323" t="str">
        <f t="shared" si="104"/>
        <v/>
      </c>
      <c r="S249" s="323" t="str">
        <f t="shared" si="122"/>
        <v/>
      </c>
      <c r="T249" s="323" t="str">
        <f t="shared" si="105"/>
        <v/>
      </c>
      <c r="U249" s="323" t="str">
        <f t="shared" si="106"/>
        <v/>
      </c>
      <c r="V249" s="322" t="str">
        <f t="shared" si="127"/>
        <v/>
      </c>
      <c r="W249" s="323" t="str">
        <f t="shared" si="107"/>
        <v/>
      </c>
      <c r="X249" s="323" t="str">
        <f t="shared" si="114"/>
        <v/>
      </c>
      <c r="Y249" s="323" t="str">
        <f t="shared" si="108"/>
        <v/>
      </c>
      <c r="Z249" s="323" t="str">
        <f t="shared" si="129"/>
        <v/>
      </c>
      <c r="AA249" s="326" t="str">
        <f t="shared" si="109"/>
        <v/>
      </c>
      <c r="AB249" s="323" t="str">
        <f t="shared" si="119"/>
        <v/>
      </c>
      <c r="AC249" s="327"/>
      <c r="AD249" s="328" t="str">
        <f t="shared" si="110"/>
        <v/>
      </c>
      <c r="AE249" s="328" t="str">
        <f t="shared" si="110"/>
        <v/>
      </c>
      <c r="AF249" s="328" t="str">
        <f t="shared" si="111"/>
        <v/>
      </c>
      <c r="AG249" s="328" t="str">
        <f t="shared" si="112"/>
        <v/>
      </c>
      <c r="AH249" s="328" t="str">
        <f t="shared" si="115"/>
        <v/>
      </c>
      <c r="AI249" s="328" t="str">
        <f t="shared" si="116"/>
        <v/>
      </c>
      <c r="AJ249" s="329" t="str">
        <f t="shared" si="117"/>
        <v/>
      </c>
      <c r="AK249" s="329" t="str" cm="1">
        <f t="array" ref="AK249">IF(OR(E249="", H249=""), "",
  IFERROR(
     (
      INDEX($AM$3:$AM$22, MATCH(E249, $AL$3:$AL$22, 1)) +
      (E249 - INDEX($AL$3:$AL$22, MATCH(E249, $AL$3:$AL$22, 1))) *
      (INDEX($AM$3:$AM$22, MATCH(E249, $AL$3:$AL$22, 1)+1) - INDEX($AM$3:$AM$22, MATCH(E249, $AL$3:$AL$22, 1))) /
      (INDEX($AL$3:$AL$22, MATCH(E249, $AL$3:$AL$22, 1)+1) - INDEX($AL$3:$AL$22, MATCH(E249, $AL$3:$AL$22, 1)))
    ) - H249,
    ""
  )
)</f>
        <v/>
      </c>
      <c r="AL249" s="341"/>
      <c r="AM249" s="342"/>
      <c r="AN249" s="343"/>
    </row>
    <row r="250" spans="1:40" s="315" customFormat="1" ht="15" customHeight="1" x14ac:dyDescent="0.35">
      <c r="A250" s="297">
        <f t="shared" si="132"/>
        <v>3</v>
      </c>
      <c r="B250" s="298">
        <f t="shared" si="132"/>
        <v>19</v>
      </c>
      <c r="C250" s="299" t="str">
        <f t="shared" si="123"/>
        <v/>
      </c>
      <c r="D250" s="300"/>
      <c r="E250" s="301" t="str">
        <f t="shared" si="120"/>
        <v/>
      </c>
      <c r="F250" s="302"/>
      <c r="G250" s="302"/>
      <c r="H250" s="303" t="str">
        <f t="shared" si="131"/>
        <v/>
      </c>
      <c r="I250" s="304" t="str">
        <f t="shared" si="113"/>
        <v/>
      </c>
      <c r="J250" s="302" t="str">
        <f t="shared" si="133"/>
        <v/>
      </c>
      <c r="K250" s="304" t="str">
        <f t="shared" si="118"/>
        <v/>
      </c>
      <c r="L250" s="302"/>
      <c r="M250" s="305"/>
      <c r="N250" s="304" t="str">
        <f t="shared" si="121"/>
        <v/>
      </c>
      <c r="O250" s="304">
        <f t="shared" si="126"/>
        <v>0</v>
      </c>
      <c r="P250" s="306" t="str">
        <f t="shared" si="124"/>
        <v/>
      </c>
      <c r="Q250" s="307" t="str">
        <f t="shared" si="125"/>
        <v/>
      </c>
      <c r="R250" s="304" t="str">
        <f t="shared" si="104"/>
        <v/>
      </c>
      <c r="S250" s="304" t="str">
        <f t="shared" si="122"/>
        <v/>
      </c>
      <c r="T250" s="304" t="str">
        <f t="shared" si="105"/>
        <v/>
      </c>
      <c r="U250" s="304" t="str">
        <f t="shared" si="106"/>
        <v/>
      </c>
      <c r="V250" s="303" t="str">
        <f t="shared" si="127"/>
        <v/>
      </c>
      <c r="W250" s="304" t="str">
        <f t="shared" si="107"/>
        <v/>
      </c>
      <c r="X250" s="304" t="str">
        <f t="shared" si="114"/>
        <v/>
      </c>
      <c r="Y250" s="304" t="str">
        <f t="shared" si="108"/>
        <v/>
      </c>
      <c r="Z250" s="304" t="str">
        <f t="shared" si="129"/>
        <v/>
      </c>
      <c r="AA250" s="308" t="str">
        <f t="shared" si="109"/>
        <v/>
      </c>
      <c r="AB250" s="304" t="str">
        <f t="shared" si="119"/>
        <v/>
      </c>
      <c r="AC250" s="309"/>
      <c r="AD250" s="310" t="str">
        <f t="shared" si="110"/>
        <v/>
      </c>
      <c r="AE250" s="310" t="str">
        <f t="shared" si="110"/>
        <v/>
      </c>
      <c r="AF250" s="310" t="str">
        <f t="shared" si="111"/>
        <v/>
      </c>
      <c r="AG250" s="310" t="str">
        <f t="shared" si="112"/>
        <v/>
      </c>
      <c r="AH250" s="310" t="str">
        <f t="shared" si="115"/>
        <v/>
      </c>
      <c r="AI250" s="310" t="str">
        <f t="shared" si="116"/>
        <v/>
      </c>
      <c r="AJ250" s="311" t="str">
        <f t="shared" si="117"/>
        <v/>
      </c>
      <c r="AK250" s="311" t="str" cm="1">
        <f t="array" ref="AK250">IF(OR(E250="", H250=""), "",
  IFERROR(
     (
      INDEX($AM$3:$AM$22, MATCH(E250, $AL$3:$AL$22, 1)) +
      (E250 - INDEX($AL$3:$AL$22, MATCH(E250, $AL$3:$AL$22, 1))) *
      (INDEX($AM$3:$AM$22, MATCH(E250, $AL$3:$AL$22, 1)+1) - INDEX($AM$3:$AM$22, MATCH(E250, $AL$3:$AL$22, 1))) /
      (INDEX($AL$3:$AL$22, MATCH(E250, $AL$3:$AL$22, 1)+1) - INDEX($AL$3:$AL$22, MATCH(E250, $AL$3:$AL$22, 1)))
    ) - H250,
    ""
  )
)</f>
        <v/>
      </c>
      <c r="AL250" s="338"/>
      <c r="AM250" s="339"/>
      <c r="AN250" s="340"/>
    </row>
    <row r="251" spans="1:40" s="315" customFormat="1" ht="15" customHeight="1" x14ac:dyDescent="0.35">
      <c r="A251" s="316">
        <f t="shared" si="132"/>
        <v>3</v>
      </c>
      <c r="B251" s="317">
        <f t="shared" si="132"/>
        <v>19</v>
      </c>
      <c r="C251" s="318" t="str">
        <f t="shared" si="123"/>
        <v/>
      </c>
      <c r="D251" s="319"/>
      <c r="E251" s="320" t="str">
        <f t="shared" si="120"/>
        <v/>
      </c>
      <c r="F251" s="321"/>
      <c r="G251" s="321"/>
      <c r="H251" s="322" t="str">
        <f t="shared" si="131"/>
        <v/>
      </c>
      <c r="I251" s="323" t="str">
        <f t="shared" si="113"/>
        <v/>
      </c>
      <c r="J251" s="321" t="str">
        <f t="shared" si="133"/>
        <v/>
      </c>
      <c r="K251" s="323" t="str">
        <f t="shared" si="118"/>
        <v/>
      </c>
      <c r="L251" s="321"/>
      <c r="M251" s="333"/>
      <c r="N251" s="323" t="str">
        <f t="shared" si="121"/>
        <v/>
      </c>
      <c r="O251" s="323">
        <f t="shared" si="126"/>
        <v>0</v>
      </c>
      <c r="P251" s="324" t="str">
        <f t="shared" si="124"/>
        <v/>
      </c>
      <c r="Q251" s="325" t="str">
        <f t="shared" si="125"/>
        <v/>
      </c>
      <c r="R251" s="323" t="str">
        <f t="shared" si="104"/>
        <v/>
      </c>
      <c r="S251" s="323" t="str">
        <f t="shared" si="122"/>
        <v/>
      </c>
      <c r="T251" s="323" t="str">
        <f t="shared" si="105"/>
        <v/>
      </c>
      <c r="U251" s="323" t="str">
        <f t="shared" si="106"/>
        <v/>
      </c>
      <c r="V251" s="322" t="str">
        <f t="shared" si="127"/>
        <v/>
      </c>
      <c r="W251" s="323" t="str">
        <f t="shared" si="107"/>
        <v/>
      </c>
      <c r="X251" s="323" t="str">
        <f t="shared" si="114"/>
        <v/>
      </c>
      <c r="Y251" s="323" t="str">
        <f t="shared" si="108"/>
        <v/>
      </c>
      <c r="Z251" s="323" t="str">
        <f t="shared" si="129"/>
        <v/>
      </c>
      <c r="AA251" s="326" t="str">
        <f t="shared" si="109"/>
        <v/>
      </c>
      <c r="AB251" s="323" t="str">
        <f t="shared" si="119"/>
        <v/>
      </c>
      <c r="AC251" s="327"/>
      <c r="AD251" s="328" t="str">
        <f t="shared" si="110"/>
        <v/>
      </c>
      <c r="AE251" s="328" t="str">
        <f t="shared" si="110"/>
        <v/>
      </c>
      <c r="AF251" s="328" t="str">
        <f t="shared" si="111"/>
        <v/>
      </c>
      <c r="AG251" s="328" t="str">
        <f t="shared" si="112"/>
        <v/>
      </c>
      <c r="AH251" s="328" t="str">
        <f t="shared" si="115"/>
        <v/>
      </c>
      <c r="AI251" s="328" t="str">
        <f t="shared" si="116"/>
        <v/>
      </c>
      <c r="AJ251" s="329" t="str">
        <f t="shared" si="117"/>
        <v/>
      </c>
      <c r="AK251" s="329" t="str" cm="1">
        <f t="array" ref="AK251">IF(OR(E251="", H251=""), "",
  IFERROR(
     (
      INDEX($AM$3:$AM$22, MATCH(E251, $AL$3:$AL$22, 1)) +
      (E251 - INDEX($AL$3:$AL$22, MATCH(E251, $AL$3:$AL$22, 1))) *
      (INDEX($AM$3:$AM$22, MATCH(E251, $AL$3:$AL$22, 1)+1) - INDEX($AM$3:$AM$22, MATCH(E251, $AL$3:$AL$22, 1))) /
      (INDEX($AL$3:$AL$22, MATCH(E251, $AL$3:$AL$22, 1)+1) - INDEX($AL$3:$AL$22, MATCH(E251, $AL$3:$AL$22, 1)))
    ) - H251,
    ""
  )
)</f>
        <v/>
      </c>
      <c r="AL251" s="341"/>
      <c r="AM251" s="342"/>
      <c r="AN251" s="343"/>
    </row>
    <row r="252" spans="1:40" s="315" customFormat="1" ht="15" customHeight="1" x14ac:dyDescent="0.35">
      <c r="A252" s="297">
        <f t="shared" si="132"/>
        <v>3</v>
      </c>
      <c r="B252" s="298">
        <f t="shared" si="132"/>
        <v>19</v>
      </c>
      <c r="C252" s="299" t="str">
        <f t="shared" si="123"/>
        <v/>
      </c>
      <c r="D252" s="300"/>
      <c r="E252" s="301" t="str">
        <f t="shared" si="120"/>
        <v/>
      </c>
      <c r="F252" s="302"/>
      <c r="G252" s="302"/>
      <c r="H252" s="303" t="str">
        <f t="shared" si="131"/>
        <v/>
      </c>
      <c r="I252" s="304" t="str">
        <f t="shared" si="113"/>
        <v/>
      </c>
      <c r="J252" s="302" t="str">
        <f t="shared" si="133"/>
        <v/>
      </c>
      <c r="K252" s="304" t="str">
        <f t="shared" si="118"/>
        <v/>
      </c>
      <c r="L252" s="302"/>
      <c r="M252" s="305"/>
      <c r="N252" s="304" t="str">
        <f t="shared" si="121"/>
        <v/>
      </c>
      <c r="O252" s="304">
        <f t="shared" si="126"/>
        <v>0</v>
      </c>
      <c r="P252" s="306" t="str">
        <f t="shared" si="124"/>
        <v/>
      </c>
      <c r="Q252" s="307" t="str">
        <f t="shared" si="125"/>
        <v/>
      </c>
      <c r="R252" s="304" t="str">
        <f t="shared" si="104"/>
        <v/>
      </c>
      <c r="S252" s="304" t="str">
        <f t="shared" si="122"/>
        <v/>
      </c>
      <c r="T252" s="304" t="str">
        <f t="shared" si="105"/>
        <v/>
      </c>
      <c r="U252" s="304" t="str">
        <f t="shared" si="106"/>
        <v/>
      </c>
      <c r="V252" s="303" t="str">
        <f t="shared" si="127"/>
        <v/>
      </c>
      <c r="W252" s="304" t="str">
        <f t="shared" si="107"/>
        <v/>
      </c>
      <c r="X252" s="304" t="str">
        <f t="shared" si="114"/>
        <v/>
      </c>
      <c r="Y252" s="304" t="str">
        <f t="shared" si="108"/>
        <v/>
      </c>
      <c r="Z252" s="304" t="str">
        <f t="shared" si="129"/>
        <v/>
      </c>
      <c r="AA252" s="308" t="str">
        <f t="shared" si="109"/>
        <v/>
      </c>
      <c r="AB252" s="304" t="str">
        <f t="shared" si="119"/>
        <v/>
      </c>
      <c r="AC252" s="309"/>
      <c r="AD252" s="310" t="str">
        <f t="shared" si="110"/>
        <v/>
      </c>
      <c r="AE252" s="310" t="str">
        <f t="shared" si="110"/>
        <v/>
      </c>
      <c r="AF252" s="310" t="str">
        <f t="shared" si="111"/>
        <v/>
      </c>
      <c r="AG252" s="310" t="str">
        <f t="shared" si="112"/>
        <v/>
      </c>
      <c r="AH252" s="310" t="str">
        <f t="shared" si="115"/>
        <v/>
      </c>
      <c r="AI252" s="310" t="str">
        <f t="shared" si="116"/>
        <v/>
      </c>
      <c r="AJ252" s="311" t="str">
        <f t="shared" si="117"/>
        <v/>
      </c>
      <c r="AK252" s="311" t="str" cm="1">
        <f t="array" ref="AK252">IF(OR(E252="", H252=""), "",
  IFERROR(
     (
      INDEX($AM$3:$AM$22, MATCH(E252, $AL$3:$AL$22, 1)) +
      (E252 - INDEX($AL$3:$AL$22, MATCH(E252, $AL$3:$AL$22, 1))) *
      (INDEX($AM$3:$AM$22, MATCH(E252, $AL$3:$AL$22, 1)+1) - INDEX($AM$3:$AM$22, MATCH(E252, $AL$3:$AL$22, 1))) /
      (INDEX($AL$3:$AL$22, MATCH(E252, $AL$3:$AL$22, 1)+1) - INDEX($AL$3:$AL$22, MATCH(E252, $AL$3:$AL$22, 1)))
    ) - H252,
    ""
  )
)</f>
        <v/>
      </c>
      <c r="AL252" s="338"/>
      <c r="AM252" s="339"/>
      <c r="AN252" s="340"/>
    </row>
    <row r="253" spans="1:40" s="315" customFormat="1" ht="15" customHeight="1" x14ac:dyDescent="0.35">
      <c r="A253" s="316">
        <f t="shared" si="132"/>
        <v>3</v>
      </c>
      <c r="B253" s="317">
        <f t="shared" si="132"/>
        <v>19</v>
      </c>
      <c r="C253" s="318" t="str">
        <f t="shared" si="123"/>
        <v/>
      </c>
      <c r="D253" s="319"/>
      <c r="E253" s="320" t="str">
        <f t="shared" si="120"/>
        <v/>
      </c>
      <c r="F253" s="321"/>
      <c r="G253" s="321"/>
      <c r="H253" s="322" t="str">
        <f t="shared" si="131"/>
        <v/>
      </c>
      <c r="I253" s="323" t="str">
        <f t="shared" si="113"/>
        <v/>
      </c>
      <c r="J253" s="321" t="str">
        <f t="shared" si="133"/>
        <v/>
      </c>
      <c r="K253" s="323" t="str">
        <f t="shared" si="118"/>
        <v/>
      </c>
      <c r="L253" s="321"/>
      <c r="M253" s="333"/>
      <c r="N253" s="323" t="str">
        <f t="shared" si="121"/>
        <v/>
      </c>
      <c r="O253" s="323">
        <f t="shared" si="126"/>
        <v>0</v>
      </c>
      <c r="P253" s="324" t="str">
        <f t="shared" si="124"/>
        <v/>
      </c>
      <c r="Q253" s="325" t="str">
        <f t="shared" si="125"/>
        <v/>
      </c>
      <c r="R253" s="323" t="str">
        <f t="shared" si="104"/>
        <v/>
      </c>
      <c r="S253" s="323" t="str">
        <f t="shared" si="122"/>
        <v/>
      </c>
      <c r="T253" s="323" t="str">
        <f t="shared" si="105"/>
        <v/>
      </c>
      <c r="U253" s="323" t="str">
        <f t="shared" si="106"/>
        <v/>
      </c>
      <c r="V253" s="322" t="str">
        <f t="shared" si="127"/>
        <v/>
      </c>
      <c r="W253" s="323" t="str">
        <f t="shared" si="107"/>
        <v/>
      </c>
      <c r="X253" s="323" t="str">
        <f t="shared" si="114"/>
        <v/>
      </c>
      <c r="Y253" s="323" t="str">
        <f t="shared" si="108"/>
        <v/>
      </c>
      <c r="Z253" s="323" t="str">
        <f t="shared" si="129"/>
        <v/>
      </c>
      <c r="AA253" s="326" t="str">
        <f t="shared" si="109"/>
        <v/>
      </c>
      <c r="AB253" s="323" t="str">
        <f t="shared" si="119"/>
        <v/>
      </c>
      <c r="AC253" s="327"/>
      <c r="AD253" s="328" t="str">
        <f t="shared" si="110"/>
        <v/>
      </c>
      <c r="AE253" s="328" t="str">
        <f t="shared" si="110"/>
        <v/>
      </c>
      <c r="AF253" s="328" t="str">
        <f t="shared" si="111"/>
        <v/>
      </c>
      <c r="AG253" s="328" t="str">
        <f t="shared" si="112"/>
        <v/>
      </c>
      <c r="AH253" s="328" t="str">
        <f t="shared" si="115"/>
        <v/>
      </c>
      <c r="AI253" s="328" t="str">
        <f t="shared" si="116"/>
        <v/>
      </c>
      <c r="AJ253" s="329" t="str">
        <f t="shared" si="117"/>
        <v/>
      </c>
      <c r="AK253" s="329" t="str" cm="1">
        <f t="array" ref="AK253">IF(OR(E253="", H253=""), "",
  IFERROR(
     (
      INDEX($AM$3:$AM$22, MATCH(E253, $AL$3:$AL$22, 1)) +
      (E253 - INDEX($AL$3:$AL$22, MATCH(E253, $AL$3:$AL$22, 1))) *
      (INDEX($AM$3:$AM$22, MATCH(E253, $AL$3:$AL$22, 1)+1) - INDEX($AM$3:$AM$22, MATCH(E253, $AL$3:$AL$22, 1))) /
      (INDEX($AL$3:$AL$22, MATCH(E253, $AL$3:$AL$22, 1)+1) - INDEX($AL$3:$AL$22, MATCH(E253, $AL$3:$AL$22, 1)))
    ) - H253,
    ""
  )
)</f>
        <v/>
      </c>
      <c r="AL253" s="341"/>
      <c r="AM253" s="342"/>
      <c r="AN253" s="343"/>
    </row>
    <row r="254" spans="1:40" s="315" customFormat="1" ht="15" customHeight="1" x14ac:dyDescent="0.35">
      <c r="A254" s="297">
        <f t="shared" si="132"/>
        <v>3</v>
      </c>
      <c r="B254" s="298">
        <f t="shared" si="132"/>
        <v>19</v>
      </c>
      <c r="C254" s="299" t="str">
        <f t="shared" si="123"/>
        <v/>
      </c>
      <c r="D254" s="300"/>
      <c r="E254" s="301" t="str">
        <f t="shared" si="120"/>
        <v/>
      </c>
      <c r="F254" s="302"/>
      <c r="G254" s="302"/>
      <c r="H254" s="303" t="str">
        <f t="shared" si="131"/>
        <v/>
      </c>
      <c r="I254" s="304" t="str">
        <f t="shared" si="113"/>
        <v/>
      </c>
      <c r="J254" s="302" t="str">
        <f t="shared" si="133"/>
        <v/>
      </c>
      <c r="K254" s="304" t="str">
        <f t="shared" si="118"/>
        <v/>
      </c>
      <c r="L254" s="302"/>
      <c r="M254" s="305"/>
      <c r="N254" s="304" t="str">
        <f t="shared" si="121"/>
        <v/>
      </c>
      <c r="O254" s="304">
        <f t="shared" si="126"/>
        <v>0</v>
      </c>
      <c r="P254" s="306" t="str">
        <f t="shared" si="124"/>
        <v/>
      </c>
      <c r="Q254" s="307" t="str">
        <f t="shared" si="125"/>
        <v/>
      </c>
      <c r="R254" s="304" t="str">
        <f t="shared" si="104"/>
        <v/>
      </c>
      <c r="S254" s="304" t="str">
        <f t="shared" si="122"/>
        <v/>
      </c>
      <c r="T254" s="304" t="str">
        <f t="shared" si="105"/>
        <v/>
      </c>
      <c r="U254" s="304" t="str">
        <f t="shared" si="106"/>
        <v/>
      </c>
      <c r="V254" s="303" t="str">
        <f t="shared" si="127"/>
        <v/>
      </c>
      <c r="W254" s="304" t="str">
        <f t="shared" si="107"/>
        <v/>
      </c>
      <c r="X254" s="304" t="str">
        <f t="shared" si="114"/>
        <v/>
      </c>
      <c r="Y254" s="304" t="str">
        <f t="shared" si="108"/>
        <v/>
      </c>
      <c r="Z254" s="304" t="str">
        <f t="shared" si="129"/>
        <v/>
      </c>
      <c r="AA254" s="308" t="str">
        <f t="shared" si="109"/>
        <v/>
      </c>
      <c r="AB254" s="304" t="str">
        <f t="shared" si="119"/>
        <v/>
      </c>
      <c r="AC254" s="309"/>
      <c r="AD254" s="310" t="str">
        <f t="shared" si="110"/>
        <v/>
      </c>
      <c r="AE254" s="310" t="str">
        <f t="shared" si="110"/>
        <v/>
      </c>
      <c r="AF254" s="310" t="str">
        <f t="shared" si="111"/>
        <v/>
      </c>
      <c r="AG254" s="310" t="str">
        <f t="shared" si="112"/>
        <v/>
      </c>
      <c r="AH254" s="310" t="str">
        <f t="shared" si="115"/>
        <v/>
      </c>
      <c r="AI254" s="310" t="str">
        <f t="shared" si="116"/>
        <v/>
      </c>
      <c r="AJ254" s="311" t="str">
        <f t="shared" si="117"/>
        <v/>
      </c>
      <c r="AK254" s="311" t="str" cm="1">
        <f t="array" ref="AK254">IF(OR(E254="", H254=""), "",
  IFERROR(
     (
      INDEX($AM$3:$AM$22, MATCH(E254, $AL$3:$AL$22, 1)) +
      (E254 - INDEX($AL$3:$AL$22, MATCH(E254, $AL$3:$AL$22, 1))) *
      (INDEX($AM$3:$AM$22, MATCH(E254, $AL$3:$AL$22, 1)+1) - INDEX($AM$3:$AM$22, MATCH(E254, $AL$3:$AL$22, 1))) /
      (INDEX($AL$3:$AL$22, MATCH(E254, $AL$3:$AL$22, 1)+1) - INDEX($AL$3:$AL$22, MATCH(E254, $AL$3:$AL$22, 1)))
    ) - H254,
    ""
  )
)</f>
        <v/>
      </c>
      <c r="AL254" s="338"/>
      <c r="AM254" s="339"/>
      <c r="AN254" s="340"/>
    </row>
    <row r="255" spans="1:40" s="315" customFormat="1" ht="15" customHeight="1" x14ac:dyDescent="0.35">
      <c r="A255" s="316">
        <f t="shared" si="132"/>
        <v>3</v>
      </c>
      <c r="B255" s="317">
        <f t="shared" si="132"/>
        <v>19</v>
      </c>
      <c r="C255" s="318" t="str">
        <f t="shared" si="123"/>
        <v/>
      </c>
      <c r="D255" s="319"/>
      <c r="E255" s="320" t="str">
        <f t="shared" si="120"/>
        <v/>
      </c>
      <c r="F255" s="321"/>
      <c r="G255" s="321"/>
      <c r="H255" s="322" t="str">
        <f t="shared" si="131"/>
        <v/>
      </c>
      <c r="I255" s="323" t="str">
        <f t="shared" si="113"/>
        <v/>
      </c>
      <c r="J255" s="321" t="str">
        <f t="shared" si="133"/>
        <v/>
      </c>
      <c r="K255" s="323" t="str">
        <f t="shared" si="118"/>
        <v/>
      </c>
      <c r="L255" s="321"/>
      <c r="M255" s="333"/>
      <c r="N255" s="323" t="str">
        <f t="shared" si="121"/>
        <v/>
      </c>
      <c r="O255" s="323">
        <f t="shared" si="126"/>
        <v>0</v>
      </c>
      <c r="P255" s="324" t="str">
        <f t="shared" si="124"/>
        <v/>
      </c>
      <c r="Q255" s="325" t="str">
        <f t="shared" si="125"/>
        <v/>
      </c>
      <c r="R255" s="323" t="str">
        <f t="shared" si="104"/>
        <v/>
      </c>
      <c r="S255" s="323" t="str">
        <f t="shared" si="122"/>
        <v/>
      </c>
      <c r="T255" s="323" t="str">
        <f t="shared" si="105"/>
        <v/>
      </c>
      <c r="U255" s="323" t="str">
        <f t="shared" si="106"/>
        <v/>
      </c>
      <c r="V255" s="322" t="str">
        <f t="shared" si="127"/>
        <v/>
      </c>
      <c r="W255" s="323" t="str">
        <f t="shared" si="107"/>
        <v/>
      </c>
      <c r="X255" s="323" t="str">
        <f t="shared" si="114"/>
        <v/>
      </c>
      <c r="Y255" s="323" t="str">
        <f t="shared" si="108"/>
        <v/>
      </c>
      <c r="Z255" s="323" t="str">
        <f t="shared" si="129"/>
        <v/>
      </c>
      <c r="AA255" s="326" t="str">
        <f t="shared" si="109"/>
        <v/>
      </c>
      <c r="AB255" s="323" t="str">
        <f t="shared" si="119"/>
        <v/>
      </c>
      <c r="AC255" s="327"/>
      <c r="AD255" s="328" t="str">
        <f t="shared" si="110"/>
        <v/>
      </c>
      <c r="AE255" s="328" t="str">
        <f t="shared" si="110"/>
        <v/>
      </c>
      <c r="AF255" s="328" t="str">
        <f t="shared" si="111"/>
        <v/>
      </c>
      <c r="AG255" s="328" t="str">
        <f t="shared" si="112"/>
        <v/>
      </c>
      <c r="AH255" s="328" t="str">
        <f t="shared" si="115"/>
        <v/>
      </c>
      <c r="AI255" s="328" t="str">
        <f t="shared" si="116"/>
        <v/>
      </c>
      <c r="AJ255" s="329" t="str">
        <f t="shared" si="117"/>
        <v/>
      </c>
      <c r="AK255" s="329" t="str" cm="1">
        <f t="array" ref="AK255">IF(OR(E255="", H255=""), "",
  IFERROR(
     (
      INDEX($AM$3:$AM$22, MATCH(E255, $AL$3:$AL$22, 1)) +
      (E255 - INDEX($AL$3:$AL$22, MATCH(E255, $AL$3:$AL$22, 1))) *
      (INDEX($AM$3:$AM$22, MATCH(E255, $AL$3:$AL$22, 1)+1) - INDEX($AM$3:$AM$22, MATCH(E255, $AL$3:$AL$22, 1))) /
      (INDEX($AL$3:$AL$22, MATCH(E255, $AL$3:$AL$22, 1)+1) - INDEX($AL$3:$AL$22, MATCH(E255, $AL$3:$AL$22, 1)))
    ) - H255,
    ""
  )
)</f>
        <v/>
      </c>
      <c r="AL255" s="341"/>
      <c r="AM255" s="342"/>
      <c r="AN255" s="343"/>
    </row>
    <row r="256" spans="1:40" s="315" customFormat="1" ht="15" customHeight="1" x14ac:dyDescent="0.35">
      <c r="A256" s="297">
        <f t="shared" si="132"/>
        <v>3</v>
      </c>
      <c r="B256" s="298">
        <f t="shared" si="132"/>
        <v>19</v>
      </c>
      <c r="C256" s="299" t="str">
        <f t="shared" si="123"/>
        <v/>
      </c>
      <c r="D256" s="300"/>
      <c r="E256" s="301" t="str">
        <f t="shared" si="120"/>
        <v/>
      </c>
      <c r="F256" s="302"/>
      <c r="G256" s="302"/>
      <c r="H256" s="303" t="str">
        <f t="shared" si="131"/>
        <v/>
      </c>
      <c r="I256" s="304" t="str">
        <f t="shared" si="113"/>
        <v/>
      </c>
      <c r="J256" s="302" t="str">
        <f t="shared" si="133"/>
        <v/>
      </c>
      <c r="K256" s="304" t="str">
        <f t="shared" si="118"/>
        <v/>
      </c>
      <c r="L256" s="302"/>
      <c r="M256" s="305"/>
      <c r="N256" s="304" t="str">
        <f t="shared" si="121"/>
        <v/>
      </c>
      <c r="O256" s="304">
        <f t="shared" si="126"/>
        <v>0</v>
      </c>
      <c r="P256" s="306" t="str">
        <f t="shared" si="124"/>
        <v/>
      </c>
      <c r="Q256" s="307" t="str">
        <f t="shared" si="125"/>
        <v/>
      </c>
      <c r="R256" s="304" t="str">
        <f t="shared" si="104"/>
        <v/>
      </c>
      <c r="S256" s="304" t="str">
        <f t="shared" si="122"/>
        <v/>
      </c>
      <c r="T256" s="304" t="str">
        <f t="shared" si="105"/>
        <v/>
      </c>
      <c r="U256" s="304" t="str">
        <f t="shared" si="106"/>
        <v/>
      </c>
      <c r="V256" s="303" t="str">
        <f t="shared" si="127"/>
        <v/>
      </c>
      <c r="W256" s="304" t="str">
        <f t="shared" si="107"/>
        <v/>
      </c>
      <c r="X256" s="304" t="str">
        <f t="shared" si="114"/>
        <v/>
      </c>
      <c r="Y256" s="304" t="str">
        <f t="shared" si="108"/>
        <v/>
      </c>
      <c r="Z256" s="304" t="str">
        <f t="shared" si="129"/>
        <v/>
      </c>
      <c r="AA256" s="308" t="str">
        <f t="shared" si="109"/>
        <v/>
      </c>
      <c r="AB256" s="304" t="str">
        <f t="shared" si="119"/>
        <v/>
      </c>
      <c r="AC256" s="309"/>
      <c r="AD256" s="310" t="str">
        <f t="shared" si="110"/>
        <v/>
      </c>
      <c r="AE256" s="310" t="str">
        <f t="shared" si="110"/>
        <v/>
      </c>
      <c r="AF256" s="310" t="str">
        <f t="shared" si="111"/>
        <v/>
      </c>
      <c r="AG256" s="310" t="str">
        <f t="shared" si="112"/>
        <v/>
      </c>
      <c r="AH256" s="310" t="str">
        <f t="shared" si="115"/>
        <v/>
      </c>
      <c r="AI256" s="310" t="str">
        <f t="shared" si="116"/>
        <v/>
      </c>
      <c r="AJ256" s="311" t="str">
        <f t="shared" si="117"/>
        <v/>
      </c>
      <c r="AK256" s="311" t="str" cm="1">
        <f t="array" ref="AK256">IF(OR(E256="", H256=""), "",
  IFERROR(
     (
      INDEX($AM$3:$AM$22, MATCH(E256, $AL$3:$AL$22, 1)) +
      (E256 - INDEX($AL$3:$AL$22, MATCH(E256, $AL$3:$AL$22, 1))) *
      (INDEX($AM$3:$AM$22, MATCH(E256, $AL$3:$AL$22, 1)+1) - INDEX($AM$3:$AM$22, MATCH(E256, $AL$3:$AL$22, 1))) /
      (INDEX($AL$3:$AL$22, MATCH(E256, $AL$3:$AL$22, 1)+1) - INDEX($AL$3:$AL$22, MATCH(E256, $AL$3:$AL$22, 1)))
    ) - H256,
    ""
  )
)</f>
        <v/>
      </c>
      <c r="AL256" s="338"/>
      <c r="AM256" s="339"/>
      <c r="AN256" s="340"/>
    </row>
    <row r="257" spans="1:40" s="315" customFormat="1" ht="15" customHeight="1" x14ac:dyDescent="0.35">
      <c r="A257" s="316">
        <f t="shared" ref="A257:B272" si="134">+A256</f>
        <v>3</v>
      </c>
      <c r="B257" s="317">
        <f t="shared" si="134"/>
        <v>19</v>
      </c>
      <c r="C257" s="318" t="str">
        <f t="shared" si="123"/>
        <v/>
      </c>
      <c r="D257" s="319"/>
      <c r="E257" s="320" t="str">
        <f t="shared" si="120"/>
        <v/>
      </c>
      <c r="F257" s="321"/>
      <c r="G257" s="321"/>
      <c r="H257" s="322" t="str">
        <f t="shared" si="131"/>
        <v/>
      </c>
      <c r="I257" s="323" t="str">
        <f t="shared" si="113"/>
        <v/>
      </c>
      <c r="J257" s="321" t="str">
        <f t="shared" si="133"/>
        <v/>
      </c>
      <c r="K257" s="323" t="str">
        <f t="shared" si="118"/>
        <v/>
      </c>
      <c r="L257" s="321"/>
      <c r="M257" s="333"/>
      <c r="N257" s="323" t="str">
        <f t="shared" si="121"/>
        <v/>
      </c>
      <c r="O257" s="323">
        <f t="shared" si="126"/>
        <v>0</v>
      </c>
      <c r="P257" s="324" t="str">
        <f t="shared" si="124"/>
        <v/>
      </c>
      <c r="Q257" s="325" t="str">
        <f t="shared" si="125"/>
        <v/>
      </c>
      <c r="R257" s="323" t="str">
        <f t="shared" si="104"/>
        <v/>
      </c>
      <c r="S257" s="323" t="str">
        <f t="shared" si="122"/>
        <v/>
      </c>
      <c r="T257" s="323" t="str">
        <f t="shared" si="105"/>
        <v/>
      </c>
      <c r="U257" s="323" t="str">
        <f t="shared" si="106"/>
        <v/>
      </c>
      <c r="V257" s="322" t="str">
        <f t="shared" si="127"/>
        <v/>
      </c>
      <c r="W257" s="323" t="str">
        <f t="shared" si="107"/>
        <v/>
      </c>
      <c r="X257" s="323" t="str">
        <f t="shared" si="114"/>
        <v/>
      </c>
      <c r="Y257" s="323" t="str">
        <f t="shared" si="108"/>
        <v/>
      </c>
      <c r="Z257" s="323" t="str">
        <f t="shared" si="129"/>
        <v/>
      </c>
      <c r="AA257" s="326" t="str">
        <f t="shared" si="109"/>
        <v/>
      </c>
      <c r="AB257" s="323" t="str">
        <f t="shared" si="119"/>
        <v/>
      </c>
      <c r="AC257" s="327"/>
      <c r="AD257" s="328" t="str">
        <f t="shared" si="110"/>
        <v/>
      </c>
      <c r="AE257" s="328" t="str">
        <f t="shared" si="110"/>
        <v/>
      </c>
      <c r="AF257" s="328" t="str">
        <f t="shared" si="111"/>
        <v/>
      </c>
      <c r="AG257" s="328" t="str">
        <f t="shared" si="112"/>
        <v/>
      </c>
      <c r="AH257" s="328" t="str">
        <f t="shared" si="115"/>
        <v/>
      </c>
      <c r="AI257" s="328" t="str">
        <f t="shared" si="116"/>
        <v/>
      </c>
      <c r="AJ257" s="329" t="str">
        <f t="shared" si="117"/>
        <v/>
      </c>
      <c r="AK257" s="329" t="str" cm="1">
        <f t="array" ref="AK257">IF(OR(E257="", H257=""), "",
  IFERROR(
     (
      INDEX($AM$3:$AM$22, MATCH(E257, $AL$3:$AL$22, 1)) +
      (E257 - INDEX($AL$3:$AL$22, MATCH(E257, $AL$3:$AL$22, 1))) *
      (INDEX($AM$3:$AM$22, MATCH(E257, $AL$3:$AL$22, 1)+1) - INDEX($AM$3:$AM$22, MATCH(E257, $AL$3:$AL$22, 1))) /
      (INDEX($AL$3:$AL$22, MATCH(E257, $AL$3:$AL$22, 1)+1) - INDEX($AL$3:$AL$22, MATCH(E257, $AL$3:$AL$22, 1)))
    ) - H257,
    ""
  )
)</f>
        <v/>
      </c>
      <c r="AL257" s="341"/>
      <c r="AM257" s="342"/>
      <c r="AN257" s="343"/>
    </row>
    <row r="258" spans="1:40" s="315" customFormat="1" ht="15" customHeight="1" x14ac:dyDescent="0.35">
      <c r="A258" s="297">
        <f t="shared" si="134"/>
        <v>3</v>
      </c>
      <c r="B258" s="298">
        <f t="shared" si="134"/>
        <v>19</v>
      </c>
      <c r="C258" s="299" t="str">
        <f t="shared" si="123"/>
        <v/>
      </c>
      <c r="D258" s="300"/>
      <c r="E258" s="301" t="str">
        <f t="shared" si="120"/>
        <v/>
      </c>
      <c r="F258" s="302"/>
      <c r="G258" s="302"/>
      <c r="H258" s="303" t="str">
        <f t="shared" si="131"/>
        <v/>
      </c>
      <c r="I258" s="304" t="str">
        <f t="shared" si="113"/>
        <v/>
      </c>
      <c r="J258" s="302" t="str">
        <f t="shared" si="133"/>
        <v/>
      </c>
      <c r="K258" s="304" t="str">
        <f t="shared" si="118"/>
        <v/>
      </c>
      <c r="L258" s="302"/>
      <c r="M258" s="305"/>
      <c r="N258" s="304" t="str">
        <f t="shared" si="121"/>
        <v/>
      </c>
      <c r="O258" s="304">
        <f t="shared" si="126"/>
        <v>0</v>
      </c>
      <c r="P258" s="306" t="str">
        <f t="shared" si="124"/>
        <v/>
      </c>
      <c r="Q258" s="307" t="str">
        <f t="shared" si="125"/>
        <v/>
      </c>
      <c r="R258" s="304" t="str">
        <f t="shared" si="104"/>
        <v/>
      </c>
      <c r="S258" s="304" t="str">
        <f t="shared" si="122"/>
        <v/>
      </c>
      <c r="T258" s="304" t="str">
        <f t="shared" si="105"/>
        <v/>
      </c>
      <c r="U258" s="304" t="str">
        <f t="shared" si="106"/>
        <v/>
      </c>
      <c r="V258" s="303" t="str">
        <f t="shared" si="127"/>
        <v/>
      </c>
      <c r="W258" s="304" t="str">
        <f t="shared" si="107"/>
        <v/>
      </c>
      <c r="X258" s="304" t="str">
        <f t="shared" si="114"/>
        <v/>
      </c>
      <c r="Y258" s="304" t="str">
        <f t="shared" si="108"/>
        <v/>
      </c>
      <c r="Z258" s="304" t="str">
        <f t="shared" si="129"/>
        <v/>
      </c>
      <c r="AA258" s="308" t="str">
        <f t="shared" si="109"/>
        <v/>
      </c>
      <c r="AB258" s="304" t="str">
        <f t="shared" si="119"/>
        <v/>
      </c>
      <c r="AC258" s="309"/>
      <c r="AD258" s="310" t="str">
        <f t="shared" si="110"/>
        <v/>
      </c>
      <c r="AE258" s="310" t="str">
        <f t="shared" si="110"/>
        <v/>
      </c>
      <c r="AF258" s="310" t="str">
        <f t="shared" si="111"/>
        <v/>
      </c>
      <c r="AG258" s="310" t="str">
        <f t="shared" si="112"/>
        <v/>
      </c>
      <c r="AH258" s="310" t="str">
        <f t="shared" si="115"/>
        <v/>
      </c>
      <c r="AI258" s="310" t="str">
        <f t="shared" si="116"/>
        <v/>
      </c>
      <c r="AJ258" s="311" t="str">
        <f t="shared" si="117"/>
        <v/>
      </c>
      <c r="AK258" s="311" t="str" cm="1">
        <f t="array" ref="AK258">IF(OR(E258="", H258=""), "",
  IFERROR(
     (
      INDEX($AM$3:$AM$22, MATCH(E258, $AL$3:$AL$22, 1)) +
      (E258 - INDEX($AL$3:$AL$22, MATCH(E258, $AL$3:$AL$22, 1))) *
      (INDEX($AM$3:$AM$22, MATCH(E258, $AL$3:$AL$22, 1)+1) - INDEX($AM$3:$AM$22, MATCH(E258, $AL$3:$AL$22, 1))) /
      (INDEX($AL$3:$AL$22, MATCH(E258, $AL$3:$AL$22, 1)+1) - INDEX($AL$3:$AL$22, MATCH(E258, $AL$3:$AL$22, 1)))
    ) - H258,
    ""
  )
)</f>
        <v/>
      </c>
      <c r="AL258" s="338"/>
      <c r="AM258" s="339"/>
      <c r="AN258" s="340"/>
    </row>
    <row r="259" spans="1:40" s="315" customFormat="1" ht="15" customHeight="1" x14ac:dyDescent="0.35">
      <c r="A259" s="316">
        <f t="shared" si="134"/>
        <v>3</v>
      </c>
      <c r="B259" s="317">
        <f t="shared" si="134"/>
        <v>19</v>
      </c>
      <c r="C259" s="318" t="str">
        <f t="shared" si="123"/>
        <v/>
      </c>
      <c r="D259" s="319"/>
      <c r="E259" s="320" t="str">
        <f t="shared" si="120"/>
        <v/>
      </c>
      <c r="F259" s="321"/>
      <c r="G259" s="321"/>
      <c r="H259" s="322" t="str">
        <f t="shared" si="131"/>
        <v/>
      </c>
      <c r="I259" s="323" t="str">
        <f t="shared" si="113"/>
        <v/>
      </c>
      <c r="J259" s="321" t="str">
        <f t="shared" si="133"/>
        <v/>
      </c>
      <c r="K259" s="323" t="str">
        <f t="shared" si="118"/>
        <v/>
      </c>
      <c r="L259" s="321"/>
      <c r="M259" s="333"/>
      <c r="N259" s="323" t="str">
        <f t="shared" si="121"/>
        <v/>
      </c>
      <c r="O259" s="323">
        <f t="shared" si="126"/>
        <v>0</v>
      </c>
      <c r="P259" s="324" t="str">
        <f t="shared" si="124"/>
        <v/>
      </c>
      <c r="Q259" s="325" t="str">
        <f t="shared" si="125"/>
        <v/>
      </c>
      <c r="R259" s="323" t="str">
        <f t="shared" si="104"/>
        <v/>
      </c>
      <c r="S259" s="323" t="str">
        <f t="shared" si="122"/>
        <v/>
      </c>
      <c r="T259" s="323" t="str">
        <f t="shared" si="105"/>
        <v/>
      </c>
      <c r="U259" s="323" t="str">
        <f t="shared" si="106"/>
        <v/>
      </c>
      <c r="V259" s="322" t="str">
        <f t="shared" si="127"/>
        <v/>
      </c>
      <c r="W259" s="323" t="str">
        <f t="shared" si="107"/>
        <v/>
      </c>
      <c r="X259" s="323" t="str">
        <f t="shared" si="114"/>
        <v/>
      </c>
      <c r="Y259" s="323" t="str">
        <f t="shared" si="108"/>
        <v/>
      </c>
      <c r="Z259" s="323" t="str">
        <f t="shared" si="129"/>
        <v/>
      </c>
      <c r="AA259" s="326" t="str">
        <f t="shared" si="109"/>
        <v/>
      </c>
      <c r="AB259" s="323" t="str">
        <f t="shared" si="119"/>
        <v/>
      </c>
      <c r="AC259" s="327"/>
      <c r="AD259" s="328" t="str">
        <f t="shared" si="110"/>
        <v/>
      </c>
      <c r="AE259" s="328" t="str">
        <f t="shared" si="110"/>
        <v/>
      </c>
      <c r="AF259" s="328" t="str">
        <f t="shared" si="111"/>
        <v/>
      </c>
      <c r="AG259" s="328" t="str">
        <f t="shared" si="112"/>
        <v/>
      </c>
      <c r="AH259" s="328" t="str">
        <f t="shared" si="115"/>
        <v/>
      </c>
      <c r="AI259" s="328" t="str">
        <f t="shared" si="116"/>
        <v/>
      </c>
      <c r="AJ259" s="329" t="str">
        <f t="shared" si="117"/>
        <v/>
      </c>
      <c r="AK259" s="329" t="str" cm="1">
        <f t="array" ref="AK259">IF(OR(E259="", H259=""), "",
  IFERROR(
     (
      INDEX($AM$3:$AM$22, MATCH(E259, $AL$3:$AL$22, 1)) +
      (E259 - INDEX($AL$3:$AL$22, MATCH(E259, $AL$3:$AL$22, 1))) *
      (INDEX($AM$3:$AM$22, MATCH(E259, $AL$3:$AL$22, 1)+1) - INDEX($AM$3:$AM$22, MATCH(E259, $AL$3:$AL$22, 1))) /
      (INDEX($AL$3:$AL$22, MATCH(E259, $AL$3:$AL$22, 1)+1) - INDEX($AL$3:$AL$22, MATCH(E259, $AL$3:$AL$22, 1)))
    ) - H259,
    ""
  )
)</f>
        <v/>
      </c>
      <c r="AL259" s="341"/>
      <c r="AM259" s="342"/>
      <c r="AN259" s="343"/>
    </row>
    <row r="260" spans="1:40" s="315" customFormat="1" ht="15" customHeight="1" x14ac:dyDescent="0.35">
      <c r="A260" s="297">
        <f t="shared" si="134"/>
        <v>3</v>
      </c>
      <c r="B260" s="298">
        <f t="shared" si="134"/>
        <v>19</v>
      </c>
      <c r="C260" s="299" t="str">
        <f t="shared" si="123"/>
        <v/>
      </c>
      <c r="D260" s="300"/>
      <c r="E260" s="301" t="str">
        <f t="shared" si="120"/>
        <v/>
      </c>
      <c r="F260" s="302"/>
      <c r="G260" s="302"/>
      <c r="H260" s="303" t="str">
        <f t="shared" si="131"/>
        <v/>
      </c>
      <c r="I260" s="304" t="str">
        <f t="shared" si="113"/>
        <v/>
      </c>
      <c r="J260" s="302" t="str">
        <f t="shared" si="133"/>
        <v/>
      </c>
      <c r="K260" s="304" t="str">
        <f t="shared" si="118"/>
        <v/>
      </c>
      <c r="L260" s="302"/>
      <c r="M260" s="305"/>
      <c r="N260" s="304" t="str">
        <f t="shared" si="121"/>
        <v/>
      </c>
      <c r="O260" s="304">
        <f t="shared" si="126"/>
        <v>0</v>
      </c>
      <c r="P260" s="306" t="str">
        <f t="shared" si="124"/>
        <v/>
      </c>
      <c r="Q260" s="307" t="str">
        <f t="shared" si="125"/>
        <v/>
      </c>
      <c r="R260" s="304" t="str">
        <f t="shared" si="104"/>
        <v/>
      </c>
      <c r="S260" s="304" t="str">
        <f t="shared" si="122"/>
        <v/>
      </c>
      <c r="T260" s="304" t="str">
        <f t="shared" si="105"/>
        <v/>
      </c>
      <c r="U260" s="304" t="str">
        <f t="shared" si="106"/>
        <v/>
      </c>
      <c r="V260" s="303" t="str">
        <f t="shared" si="127"/>
        <v/>
      </c>
      <c r="W260" s="304" t="str">
        <f t="shared" si="107"/>
        <v/>
      </c>
      <c r="X260" s="304" t="str">
        <f t="shared" si="114"/>
        <v/>
      </c>
      <c r="Y260" s="304" t="str">
        <f t="shared" si="108"/>
        <v/>
      </c>
      <c r="Z260" s="304" t="str">
        <f t="shared" si="129"/>
        <v/>
      </c>
      <c r="AA260" s="308" t="str">
        <f t="shared" si="109"/>
        <v/>
      </c>
      <c r="AB260" s="304" t="str">
        <f t="shared" si="119"/>
        <v/>
      </c>
      <c r="AC260" s="309"/>
      <c r="AD260" s="310" t="str">
        <f t="shared" si="110"/>
        <v/>
      </c>
      <c r="AE260" s="310" t="str">
        <f t="shared" si="110"/>
        <v/>
      </c>
      <c r="AF260" s="310" t="str">
        <f t="shared" si="111"/>
        <v/>
      </c>
      <c r="AG260" s="310" t="str">
        <f t="shared" si="112"/>
        <v/>
      </c>
      <c r="AH260" s="310" t="str">
        <f t="shared" si="115"/>
        <v/>
      </c>
      <c r="AI260" s="310" t="str">
        <f t="shared" si="116"/>
        <v/>
      </c>
      <c r="AJ260" s="311" t="str">
        <f t="shared" si="117"/>
        <v/>
      </c>
      <c r="AK260" s="311" t="str" cm="1">
        <f t="array" ref="AK260">IF(OR(E260="", H260=""), "",
  IFERROR(
     (
      INDEX($AM$3:$AM$22, MATCH(E260, $AL$3:$AL$22, 1)) +
      (E260 - INDEX($AL$3:$AL$22, MATCH(E260, $AL$3:$AL$22, 1))) *
      (INDEX($AM$3:$AM$22, MATCH(E260, $AL$3:$AL$22, 1)+1) - INDEX($AM$3:$AM$22, MATCH(E260, $AL$3:$AL$22, 1))) /
      (INDEX($AL$3:$AL$22, MATCH(E260, $AL$3:$AL$22, 1)+1) - INDEX($AL$3:$AL$22, MATCH(E260, $AL$3:$AL$22, 1)))
    ) - H260,
    ""
  )
)</f>
        <v/>
      </c>
      <c r="AL260" s="338"/>
      <c r="AM260" s="339"/>
      <c r="AN260" s="340"/>
    </row>
    <row r="261" spans="1:40" s="315" customFormat="1" ht="15" customHeight="1" x14ac:dyDescent="0.35">
      <c r="A261" s="316">
        <f t="shared" si="134"/>
        <v>3</v>
      </c>
      <c r="B261" s="317">
        <f t="shared" si="134"/>
        <v>19</v>
      </c>
      <c r="C261" s="318" t="str">
        <f t="shared" si="123"/>
        <v/>
      </c>
      <c r="D261" s="319"/>
      <c r="E261" s="320" t="str">
        <f t="shared" si="120"/>
        <v/>
      </c>
      <c r="F261" s="321"/>
      <c r="G261" s="321"/>
      <c r="H261" s="322" t="str">
        <f t="shared" si="131"/>
        <v/>
      </c>
      <c r="I261" s="323" t="str">
        <f t="shared" si="113"/>
        <v/>
      </c>
      <c r="J261" s="321" t="str">
        <f t="shared" si="133"/>
        <v/>
      </c>
      <c r="K261" s="323" t="str">
        <f t="shared" si="118"/>
        <v/>
      </c>
      <c r="L261" s="321"/>
      <c r="M261" s="333"/>
      <c r="N261" s="323" t="str">
        <f t="shared" si="121"/>
        <v/>
      </c>
      <c r="O261" s="323">
        <f t="shared" si="126"/>
        <v>0</v>
      </c>
      <c r="P261" s="324" t="str">
        <f t="shared" si="124"/>
        <v/>
      </c>
      <c r="Q261" s="325" t="str">
        <f t="shared" si="125"/>
        <v/>
      </c>
      <c r="R261" s="323" t="str">
        <f t="shared" si="104"/>
        <v/>
      </c>
      <c r="S261" s="323" t="str">
        <f t="shared" si="122"/>
        <v/>
      </c>
      <c r="T261" s="323" t="str">
        <f t="shared" si="105"/>
        <v/>
      </c>
      <c r="U261" s="323" t="str">
        <f t="shared" si="106"/>
        <v/>
      </c>
      <c r="V261" s="322" t="str">
        <f t="shared" si="127"/>
        <v/>
      </c>
      <c r="W261" s="323" t="str">
        <f t="shared" si="107"/>
        <v/>
      </c>
      <c r="X261" s="323" t="str">
        <f t="shared" si="114"/>
        <v/>
      </c>
      <c r="Y261" s="323" t="str">
        <f t="shared" si="108"/>
        <v/>
      </c>
      <c r="Z261" s="323" t="str">
        <f t="shared" si="129"/>
        <v/>
      </c>
      <c r="AA261" s="326" t="str">
        <f t="shared" si="109"/>
        <v/>
      </c>
      <c r="AB261" s="323" t="str">
        <f t="shared" si="119"/>
        <v/>
      </c>
      <c r="AC261" s="327"/>
      <c r="AD261" s="328" t="str">
        <f t="shared" si="110"/>
        <v/>
      </c>
      <c r="AE261" s="328" t="str">
        <f t="shared" si="110"/>
        <v/>
      </c>
      <c r="AF261" s="328" t="str">
        <f t="shared" si="111"/>
        <v/>
      </c>
      <c r="AG261" s="328" t="str">
        <f t="shared" si="112"/>
        <v/>
      </c>
      <c r="AH261" s="328" t="str">
        <f t="shared" si="115"/>
        <v/>
      </c>
      <c r="AI261" s="328" t="str">
        <f t="shared" si="116"/>
        <v/>
      </c>
      <c r="AJ261" s="329" t="str">
        <f t="shared" si="117"/>
        <v/>
      </c>
      <c r="AK261" s="329" t="str" cm="1">
        <f t="array" ref="AK261">IF(OR(E261="", H261=""), "",
  IFERROR(
     (
      INDEX($AM$3:$AM$22, MATCH(E261, $AL$3:$AL$22, 1)) +
      (E261 - INDEX($AL$3:$AL$22, MATCH(E261, $AL$3:$AL$22, 1))) *
      (INDEX($AM$3:$AM$22, MATCH(E261, $AL$3:$AL$22, 1)+1) - INDEX($AM$3:$AM$22, MATCH(E261, $AL$3:$AL$22, 1))) /
      (INDEX($AL$3:$AL$22, MATCH(E261, $AL$3:$AL$22, 1)+1) - INDEX($AL$3:$AL$22, MATCH(E261, $AL$3:$AL$22, 1)))
    ) - H261,
    ""
  )
)</f>
        <v/>
      </c>
      <c r="AL261" s="341"/>
      <c r="AM261" s="342"/>
      <c r="AN261" s="343"/>
    </row>
    <row r="262" spans="1:40" s="315" customFormat="1" ht="15" customHeight="1" x14ac:dyDescent="0.35">
      <c r="A262" s="297">
        <f t="shared" si="134"/>
        <v>3</v>
      </c>
      <c r="B262" s="298">
        <f t="shared" si="134"/>
        <v>19</v>
      </c>
      <c r="C262" s="299" t="str">
        <f t="shared" si="123"/>
        <v/>
      </c>
      <c r="D262" s="300"/>
      <c r="E262" s="301" t="str">
        <f t="shared" si="120"/>
        <v/>
      </c>
      <c r="F262" s="302"/>
      <c r="G262" s="302"/>
      <c r="H262" s="303" t="str">
        <f t="shared" si="131"/>
        <v/>
      </c>
      <c r="I262" s="304" t="str">
        <f t="shared" si="113"/>
        <v/>
      </c>
      <c r="J262" s="302" t="str">
        <f t="shared" si="133"/>
        <v/>
      </c>
      <c r="K262" s="304" t="str">
        <f t="shared" si="118"/>
        <v/>
      </c>
      <c r="L262" s="302"/>
      <c r="M262" s="305"/>
      <c r="N262" s="304" t="str">
        <f t="shared" si="121"/>
        <v/>
      </c>
      <c r="O262" s="304">
        <f t="shared" si="126"/>
        <v>0</v>
      </c>
      <c r="P262" s="306" t="str">
        <f t="shared" si="124"/>
        <v/>
      </c>
      <c r="Q262" s="307" t="str">
        <f t="shared" si="125"/>
        <v/>
      </c>
      <c r="R262" s="304" t="str">
        <f t="shared" ref="R262:R325" si="135">IF(V262="","",(SIN($AD$2)-SIN(AD262))*1719/($X$2-H262))</f>
        <v/>
      </c>
      <c r="S262" s="304" t="str">
        <f t="shared" si="122"/>
        <v/>
      </c>
      <c r="T262" s="304" t="str">
        <f t="shared" ref="T262:T325" si="136">IF(V262="","",H262+(COS((AG262+AD262)/2))*B262)</f>
        <v/>
      </c>
      <c r="U262" s="304" t="str">
        <f t="shared" ref="U262:U325" si="137">IF(V262="","",(SIN($AD$2)-SIN(AG262))*1719/($X$2-T262))</f>
        <v/>
      </c>
      <c r="V262" s="303" t="str">
        <f t="shared" si="127"/>
        <v/>
      </c>
      <c r="W262" s="304" t="str">
        <f t="shared" ref="W262:W294" si="138">IF(G262="","",IF(N262="",(G262-G261)/30,AH262/N262))</f>
        <v/>
      </c>
      <c r="X262" s="304" t="str">
        <f t="shared" si="114"/>
        <v/>
      </c>
      <c r="Y262" s="304" t="str">
        <f t="shared" ref="Y262:Y325" si="139">IF(W262="","",IF(F262="","",AH262*30/AI262))</f>
        <v/>
      </c>
      <c r="Z262" s="304" t="str">
        <f t="shared" si="129"/>
        <v/>
      </c>
      <c r="AA262" s="308" t="str">
        <f t="shared" ref="AA262:AA325" si="140">+IF(Z262="","",IF(N262="",0,N262/AI262))</f>
        <v/>
      </c>
      <c r="AB262" s="304" t="str">
        <f t="shared" si="119"/>
        <v/>
      </c>
      <c r="AC262" s="309"/>
      <c r="AD262" s="310" t="str">
        <f t="shared" ref="AD262:AE325" si="141">IF(F262&gt;0,RADIANS(F262),"")</f>
        <v/>
      </c>
      <c r="AE262" s="310" t="str">
        <f t="shared" si="141"/>
        <v/>
      </c>
      <c r="AF262" s="310" t="str">
        <f t="shared" ref="AF262:AF325" si="142">IF(F262="","",2/RADIANS(I262)*TAN(RADIANS(I262)/2))</f>
        <v/>
      </c>
      <c r="AG262" s="310" t="str">
        <f t="shared" ref="AG262:AG325" si="143">IF(S262="","",RADIANS(S262))</f>
        <v/>
      </c>
      <c r="AH262" s="310" t="str">
        <f t="shared" si="115"/>
        <v/>
      </c>
      <c r="AI262" s="310" t="str">
        <f t="shared" si="116"/>
        <v/>
      </c>
      <c r="AJ262" s="311" t="str">
        <f t="shared" si="117"/>
        <v/>
      </c>
      <c r="AK262" s="311" t="str" cm="1">
        <f t="array" ref="AK262">IF(OR(E262="", H262=""), "",
  IFERROR(
     (
      INDEX($AM$3:$AM$22, MATCH(E262, $AL$3:$AL$22, 1)) +
      (E262 - INDEX($AL$3:$AL$22, MATCH(E262, $AL$3:$AL$22, 1))) *
      (INDEX($AM$3:$AM$22, MATCH(E262, $AL$3:$AL$22, 1)+1) - INDEX($AM$3:$AM$22, MATCH(E262, $AL$3:$AL$22, 1))) /
      (INDEX($AL$3:$AL$22, MATCH(E262, $AL$3:$AL$22, 1)+1) - INDEX($AL$3:$AL$22, MATCH(E262, $AL$3:$AL$22, 1)))
    ) - H262,
    ""
  )
)</f>
        <v/>
      </c>
      <c r="AL262" s="338"/>
      <c r="AM262" s="339"/>
      <c r="AN262" s="340"/>
    </row>
    <row r="263" spans="1:40" s="315" customFormat="1" ht="15" customHeight="1" x14ac:dyDescent="0.35">
      <c r="A263" s="316">
        <f t="shared" si="134"/>
        <v>3</v>
      </c>
      <c r="B263" s="317">
        <f t="shared" si="134"/>
        <v>19</v>
      </c>
      <c r="C263" s="318" t="str">
        <f t="shared" si="123"/>
        <v/>
      </c>
      <c r="D263" s="319"/>
      <c r="E263" s="320" t="str">
        <f t="shared" si="120"/>
        <v/>
      </c>
      <c r="F263" s="321"/>
      <c r="G263" s="321"/>
      <c r="H263" s="322" t="str">
        <f t="shared" si="131"/>
        <v/>
      </c>
      <c r="I263" s="323" t="str">
        <f t="shared" ref="I263:I295" si="144">IF(OR(F263="",G263=""),"",DEGREES(ACOS(COS(AD263-AD262)-(SIN(AD263)*SIN(AD262)*(1-COS(AE263-AE262)))))*(30/AI263))</f>
        <v/>
      </c>
      <c r="J263" s="321" t="str">
        <f t="shared" si="133"/>
        <v/>
      </c>
      <c r="K263" s="323" t="str">
        <f t="shared" si="118"/>
        <v/>
      </c>
      <c r="L263" s="321"/>
      <c r="M263" s="333"/>
      <c r="N263" s="323" t="str">
        <f t="shared" si="121"/>
        <v/>
      </c>
      <c r="O263" s="323">
        <f t="shared" si="126"/>
        <v>0</v>
      </c>
      <c r="P263" s="324" t="str">
        <f t="shared" si="124"/>
        <v/>
      </c>
      <c r="Q263" s="325" t="str">
        <f t="shared" si="125"/>
        <v/>
      </c>
      <c r="R263" s="323" t="str">
        <f t="shared" si="135"/>
        <v/>
      </c>
      <c r="S263" s="323" t="str">
        <f t="shared" si="122"/>
        <v/>
      </c>
      <c r="T263" s="323" t="str">
        <f t="shared" si="136"/>
        <v/>
      </c>
      <c r="U263" s="323" t="str">
        <f t="shared" si="137"/>
        <v/>
      </c>
      <c r="V263" s="322" t="str">
        <f t="shared" si="127"/>
        <v/>
      </c>
      <c r="W263" s="323" t="str">
        <f t="shared" si="138"/>
        <v/>
      </c>
      <c r="X263" s="323" t="str">
        <f t="shared" ref="X263:X294" si="145">IF(V263="","",(F263-F262)*30/AI263)</f>
        <v/>
      </c>
      <c r="Y263" s="323" t="str">
        <f t="shared" si="139"/>
        <v/>
      </c>
      <c r="Z263" s="323" t="str">
        <f t="shared" si="129"/>
        <v/>
      </c>
      <c r="AA263" s="326" t="str">
        <f t="shared" si="140"/>
        <v/>
      </c>
      <c r="AB263" s="323" t="str">
        <f t="shared" si="119"/>
        <v/>
      </c>
      <c r="AC263" s="327"/>
      <c r="AD263" s="328" t="str">
        <f t="shared" si="141"/>
        <v/>
      </c>
      <c r="AE263" s="328" t="str">
        <f t="shared" si="141"/>
        <v/>
      </c>
      <c r="AF263" s="328" t="str">
        <f t="shared" si="142"/>
        <v/>
      </c>
      <c r="AG263" s="328" t="str">
        <f t="shared" si="143"/>
        <v/>
      </c>
      <c r="AH263" s="328" t="str">
        <f t="shared" ref="AH263:AH294" si="146">IF(G263="","",IF(G263&gt;G262,IF((G263-G262)&gt;180,(G263-G262)-360,G263-G262),IF((G263-G262)&lt;-180,(G263-G262)+360,G263-G262)))</f>
        <v/>
      </c>
      <c r="AI263" s="328" t="str">
        <f t="shared" ref="AI263:AI294" si="147">+IF(E263="","",E263-E262)</f>
        <v/>
      </c>
      <c r="AJ263" s="329" t="str">
        <f t="shared" ref="AJ263:AJ326" si="148">IFERROR(IF(E263="","",IF(E263&lt;$AL$3,AN$4,INDEX(AN$4:AN$22,MATCH(E263,AL$3:AL$22,1)))),"")</f>
        <v/>
      </c>
      <c r="AK263" s="329" t="str" cm="1">
        <f t="array" ref="AK263">IF(OR(E263="", H263=""), "",
  IFERROR(
     (
      INDEX($AM$3:$AM$22, MATCH(E263, $AL$3:$AL$22, 1)) +
      (E263 - INDEX($AL$3:$AL$22, MATCH(E263, $AL$3:$AL$22, 1))) *
      (INDEX($AM$3:$AM$22, MATCH(E263, $AL$3:$AL$22, 1)+1) - INDEX($AM$3:$AM$22, MATCH(E263, $AL$3:$AL$22, 1))) /
      (INDEX($AL$3:$AL$22, MATCH(E263, $AL$3:$AL$22, 1)+1) - INDEX($AL$3:$AL$22, MATCH(E263, $AL$3:$AL$22, 1)))
    ) - H263,
    ""
  )
)</f>
        <v/>
      </c>
      <c r="AL263" s="341"/>
      <c r="AM263" s="342"/>
      <c r="AN263" s="343"/>
    </row>
    <row r="264" spans="1:40" s="315" customFormat="1" ht="15" customHeight="1" x14ac:dyDescent="0.35">
      <c r="A264" s="297">
        <f t="shared" si="134"/>
        <v>3</v>
      </c>
      <c r="B264" s="298">
        <f t="shared" si="134"/>
        <v>19</v>
      </c>
      <c r="C264" s="299" t="str">
        <f t="shared" si="123"/>
        <v/>
      </c>
      <c r="D264" s="300"/>
      <c r="E264" s="301" t="str">
        <f t="shared" si="120"/>
        <v/>
      </c>
      <c r="F264" s="302"/>
      <c r="G264" s="302"/>
      <c r="H264" s="303" t="str">
        <f t="shared" si="131"/>
        <v/>
      </c>
      <c r="I264" s="304" t="str">
        <f t="shared" si="144"/>
        <v/>
      </c>
      <c r="J264" s="302" t="str">
        <f t="shared" si="133"/>
        <v/>
      </c>
      <c r="K264" s="304" t="str">
        <f t="shared" si="118"/>
        <v/>
      </c>
      <c r="L264" s="302"/>
      <c r="M264" s="305"/>
      <c r="N264" s="304" t="str">
        <f t="shared" si="121"/>
        <v/>
      </c>
      <c r="O264" s="304">
        <f t="shared" si="126"/>
        <v>0</v>
      </c>
      <c r="P264" s="306" t="str">
        <f t="shared" si="124"/>
        <v/>
      </c>
      <c r="Q264" s="307" t="str">
        <f t="shared" si="125"/>
        <v/>
      </c>
      <c r="R264" s="304" t="str">
        <f t="shared" si="135"/>
        <v/>
      </c>
      <c r="S264" s="304" t="str">
        <f t="shared" si="122"/>
        <v/>
      </c>
      <c r="T264" s="304" t="str">
        <f t="shared" si="136"/>
        <v/>
      </c>
      <c r="U264" s="304" t="str">
        <f t="shared" si="137"/>
        <v/>
      </c>
      <c r="V264" s="303" t="str">
        <f t="shared" si="127"/>
        <v/>
      </c>
      <c r="W264" s="304" t="str">
        <f t="shared" si="138"/>
        <v/>
      </c>
      <c r="X264" s="304" t="str">
        <f t="shared" si="145"/>
        <v/>
      </c>
      <c r="Y264" s="304" t="str">
        <f t="shared" si="139"/>
        <v/>
      </c>
      <c r="Z264" s="304" t="str">
        <f t="shared" si="129"/>
        <v/>
      </c>
      <c r="AA264" s="308" t="str">
        <f t="shared" si="140"/>
        <v/>
      </c>
      <c r="AB264" s="304" t="str">
        <f t="shared" si="119"/>
        <v/>
      </c>
      <c r="AC264" s="309"/>
      <c r="AD264" s="310" t="str">
        <f t="shared" si="141"/>
        <v/>
      </c>
      <c r="AE264" s="310" t="str">
        <f t="shared" si="141"/>
        <v/>
      </c>
      <c r="AF264" s="310" t="str">
        <f t="shared" si="142"/>
        <v/>
      </c>
      <c r="AG264" s="310" t="str">
        <f t="shared" si="143"/>
        <v/>
      </c>
      <c r="AH264" s="310" t="str">
        <f t="shared" si="146"/>
        <v/>
      </c>
      <c r="AI264" s="310" t="str">
        <f t="shared" si="147"/>
        <v/>
      </c>
      <c r="AJ264" s="311" t="str">
        <f t="shared" si="148"/>
        <v/>
      </c>
      <c r="AK264" s="311" t="str" cm="1">
        <f t="array" ref="AK264">IF(OR(E264="", H264=""), "",
  IFERROR(
     (
      INDEX($AM$3:$AM$22, MATCH(E264, $AL$3:$AL$22, 1)) +
      (E264 - INDEX($AL$3:$AL$22, MATCH(E264, $AL$3:$AL$22, 1))) *
      (INDEX($AM$3:$AM$22, MATCH(E264, $AL$3:$AL$22, 1)+1) - INDEX($AM$3:$AM$22, MATCH(E264, $AL$3:$AL$22, 1))) /
      (INDEX($AL$3:$AL$22, MATCH(E264, $AL$3:$AL$22, 1)+1) - INDEX($AL$3:$AL$22, MATCH(E264, $AL$3:$AL$22, 1)))
    ) - H264,
    ""
  )
)</f>
        <v/>
      </c>
      <c r="AL264" s="338"/>
      <c r="AM264" s="339"/>
      <c r="AN264" s="340"/>
    </row>
    <row r="265" spans="1:40" s="315" customFormat="1" ht="15" customHeight="1" x14ac:dyDescent="0.35">
      <c r="A265" s="316">
        <f t="shared" si="134"/>
        <v>3</v>
      </c>
      <c r="B265" s="317">
        <f t="shared" si="134"/>
        <v>19</v>
      </c>
      <c r="C265" s="318" t="str">
        <f t="shared" si="123"/>
        <v/>
      </c>
      <c r="D265" s="319"/>
      <c r="E265" s="320" t="str">
        <f t="shared" si="120"/>
        <v/>
      </c>
      <c r="F265" s="321"/>
      <c r="G265" s="321"/>
      <c r="H265" s="322" t="str">
        <f t="shared" si="131"/>
        <v/>
      </c>
      <c r="I265" s="323" t="str">
        <f t="shared" si="144"/>
        <v/>
      </c>
      <c r="J265" s="321" t="str">
        <f t="shared" si="133"/>
        <v/>
      </c>
      <c r="K265" s="323" t="str">
        <f t="shared" si="118"/>
        <v/>
      </c>
      <c r="L265" s="321"/>
      <c r="M265" s="333"/>
      <c r="N265" s="323" t="str">
        <f t="shared" si="121"/>
        <v/>
      </c>
      <c r="O265" s="323">
        <f t="shared" si="126"/>
        <v>0</v>
      </c>
      <c r="P265" s="324" t="str">
        <f t="shared" si="124"/>
        <v/>
      </c>
      <c r="Q265" s="325" t="str">
        <f t="shared" si="125"/>
        <v/>
      </c>
      <c r="R265" s="323" t="str">
        <f t="shared" si="135"/>
        <v/>
      </c>
      <c r="S265" s="323" t="str">
        <f t="shared" si="122"/>
        <v/>
      </c>
      <c r="T265" s="323" t="str">
        <f t="shared" si="136"/>
        <v/>
      </c>
      <c r="U265" s="323" t="str">
        <f t="shared" si="137"/>
        <v/>
      </c>
      <c r="V265" s="322" t="str">
        <f t="shared" si="127"/>
        <v/>
      </c>
      <c r="W265" s="323" t="str">
        <f t="shared" si="138"/>
        <v/>
      </c>
      <c r="X265" s="323" t="str">
        <f t="shared" si="145"/>
        <v/>
      </c>
      <c r="Y265" s="323" t="str">
        <f t="shared" si="139"/>
        <v/>
      </c>
      <c r="Z265" s="323" t="str">
        <f t="shared" si="129"/>
        <v/>
      </c>
      <c r="AA265" s="326" t="str">
        <f t="shared" si="140"/>
        <v/>
      </c>
      <c r="AB265" s="323" t="str">
        <f t="shared" si="119"/>
        <v/>
      </c>
      <c r="AC265" s="327"/>
      <c r="AD265" s="328" t="str">
        <f t="shared" si="141"/>
        <v/>
      </c>
      <c r="AE265" s="328" t="str">
        <f t="shared" si="141"/>
        <v/>
      </c>
      <c r="AF265" s="328" t="str">
        <f t="shared" si="142"/>
        <v/>
      </c>
      <c r="AG265" s="328" t="str">
        <f t="shared" si="143"/>
        <v/>
      </c>
      <c r="AH265" s="328" t="str">
        <f t="shared" si="146"/>
        <v/>
      </c>
      <c r="AI265" s="328" t="str">
        <f t="shared" si="147"/>
        <v/>
      </c>
      <c r="AJ265" s="329" t="str">
        <f t="shared" si="148"/>
        <v/>
      </c>
      <c r="AK265" s="329" t="str" cm="1">
        <f t="array" ref="AK265">IF(OR(E265="", H265=""), "",
  IFERROR(
     (
      INDEX($AM$3:$AM$22, MATCH(E265, $AL$3:$AL$22, 1)) +
      (E265 - INDEX($AL$3:$AL$22, MATCH(E265, $AL$3:$AL$22, 1))) *
      (INDEX($AM$3:$AM$22, MATCH(E265, $AL$3:$AL$22, 1)+1) - INDEX($AM$3:$AM$22, MATCH(E265, $AL$3:$AL$22, 1))) /
      (INDEX($AL$3:$AL$22, MATCH(E265, $AL$3:$AL$22, 1)+1) - INDEX($AL$3:$AL$22, MATCH(E265, $AL$3:$AL$22, 1)))
    ) - H265,
    ""
  )
)</f>
        <v/>
      </c>
      <c r="AL265" s="341"/>
      <c r="AM265" s="342"/>
      <c r="AN265" s="343"/>
    </row>
    <row r="266" spans="1:40" s="315" customFormat="1" ht="15" customHeight="1" x14ac:dyDescent="0.35">
      <c r="A266" s="297">
        <f t="shared" si="134"/>
        <v>3</v>
      </c>
      <c r="B266" s="298">
        <f t="shared" si="134"/>
        <v>19</v>
      </c>
      <c r="C266" s="299" t="str">
        <f t="shared" si="123"/>
        <v/>
      </c>
      <c r="D266" s="300"/>
      <c r="E266" s="301" t="str">
        <f t="shared" si="120"/>
        <v/>
      </c>
      <c r="F266" s="302"/>
      <c r="G266" s="302"/>
      <c r="H266" s="303" t="str">
        <f t="shared" si="131"/>
        <v/>
      </c>
      <c r="I266" s="304" t="str">
        <f t="shared" si="144"/>
        <v/>
      </c>
      <c r="J266" s="302" t="str">
        <f t="shared" si="133"/>
        <v/>
      </c>
      <c r="K266" s="304" t="str">
        <f t="shared" ref="K266:K329" si="149">IF(L266="","",J266+L266)</f>
        <v/>
      </c>
      <c r="L266" s="302"/>
      <c r="M266" s="305"/>
      <c r="N266" s="304" t="str">
        <f t="shared" si="121"/>
        <v/>
      </c>
      <c r="O266" s="304">
        <f t="shared" si="126"/>
        <v>0</v>
      </c>
      <c r="P266" s="306" t="str">
        <f t="shared" si="124"/>
        <v/>
      </c>
      <c r="Q266" s="307" t="str">
        <f t="shared" si="125"/>
        <v/>
      </c>
      <c r="R266" s="304" t="str">
        <f t="shared" si="135"/>
        <v/>
      </c>
      <c r="S266" s="304" t="str">
        <f t="shared" si="122"/>
        <v/>
      </c>
      <c r="T266" s="304" t="str">
        <f t="shared" si="136"/>
        <v/>
      </c>
      <c r="U266" s="304" t="str">
        <f t="shared" si="137"/>
        <v/>
      </c>
      <c r="V266" s="303" t="str">
        <f t="shared" si="127"/>
        <v/>
      </c>
      <c r="W266" s="304" t="str">
        <f t="shared" si="138"/>
        <v/>
      </c>
      <c r="X266" s="304" t="str">
        <f t="shared" si="145"/>
        <v/>
      </c>
      <c r="Y266" s="304" t="str">
        <f t="shared" si="139"/>
        <v/>
      </c>
      <c r="Z266" s="304" t="str">
        <f t="shared" si="129"/>
        <v/>
      </c>
      <c r="AA266" s="308" t="str">
        <f t="shared" si="140"/>
        <v/>
      </c>
      <c r="AB266" s="304" t="str">
        <f t="shared" ref="AB266:AB329" si="150">IF(L266="","",C267-L266)</f>
        <v/>
      </c>
      <c r="AC266" s="309"/>
      <c r="AD266" s="310" t="str">
        <f t="shared" si="141"/>
        <v/>
      </c>
      <c r="AE266" s="310" t="str">
        <f t="shared" si="141"/>
        <v/>
      </c>
      <c r="AF266" s="310" t="str">
        <f t="shared" si="142"/>
        <v/>
      </c>
      <c r="AG266" s="310" t="str">
        <f t="shared" si="143"/>
        <v/>
      </c>
      <c r="AH266" s="310" t="str">
        <f t="shared" si="146"/>
        <v/>
      </c>
      <c r="AI266" s="310" t="str">
        <f t="shared" si="147"/>
        <v/>
      </c>
      <c r="AJ266" s="311" t="str">
        <f t="shared" si="148"/>
        <v/>
      </c>
      <c r="AK266" s="311" t="str" cm="1">
        <f t="array" ref="AK266">IF(OR(E266="", H266=""), "",
  IFERROR(
     (
      INDEX($AM$3:$AM$22, MATCH(E266, $AL$3:$AL$22, 1)) +
      (E266 - INDEX($AL$3:$AL$22, MATCH(E266, $AL$3:$AL$22, 1))) *
      (INDEX($AM$3:$AM$22, MATCH(E266, $AL$3:$AL$22, 1)+1) - INDEX($AM$3:$AM$22, MATCH(E266, $AL$3:$AL$22, 1))) /
      (INDEX($AL$3:$AL$22, MATCH(E266, $AL$3:$AL$22, 1)+1) - INDEX($AL$3:$AL$22, MATCH(E266, $AL$3:$AL$22, 1)))
    ) - H266,
    ""
  )
)</f>
        <v/>
      </c>
      <c r="AL266" s="338"/>
      <c r="AM266" s="339"/>
      <c r="AN266" s="340"/>
    </row>
    <row r="267" spans="1:40" s="315" customFormat="1" ht="15" customHeight="1" x14ac:dyDescent="0.35">
      <c r="A267" s="316">
        <f t="shared" si="134"/>
        <v>3</v>
      </c>
      <c r="B267" s="317">
        <f t="shared" si="134"/>
        <v>19</v>
      </c>
      <c r="C267" s="318" t="str">
        <f t="shared" si="123"/>
        <v/>
      </c>
      <c r="D267" s="319"/>
      <c r="E267" s="320" t="str">
        <f t="shared" ref="E267:E330" si="151">IF(D267&gt;0,D267-B267,"")</f>
        <v/>
      </c>
      <c r="F267" s="321"/>
      <c r="G267" s="321"/>
      <c r="H267" s="322" t="str">
        <f t="shared" si="131"/>
        <v/>
      </c>
      <c r="I267" s="323" t="str">
        <f t="shared" si="144"/>
        <v/>
      </c>
      <c r="J267" s="321" t="str">
        <f t="shared" si="133"/>
        <v/>
      </c>
      <c r="K267" s="323" t="str">
        <f t="shared" si="149"/>
        <v/>
      </c>
      <c r="L267" s="321"/>
      <c r="M267" s="333"/>
      <c r="N267" s="323" t="str">
        <f t="shared" ref="N267:N294" si="152">IF(SUM(IF(AND(E267&gt;K263,E266&lt;=J263),L263,0)+IF(AND(E267&gt;=K263,E266&lt;K263,E266&gt;J263),K263-E266,0)+IF(AND(E267&gt;J263,E266&lt;=J263,E267&lt;K263),E267-J263,0)+IF(AND(E267&lt;K263,E266&gt;J263,E267&gt;E266),E267-E266,0)+IF(AND(E267&gt;K264,E266&lt;=J264),L264,0)+IF(AND(E267&gt;=K264,E266&lt;K264,E266&gt;J264),K264-E266,0)+IF(AND(E267&gt;J264,E266&lt;=J264,E267&lt;K264),E267-J264,0)+IF(AND(E267&lt;K264,E266&gt;J264,E267&gt;E266),E267-E266,0)+IF(AND(E267&gt;K265,E266&lt;=J265),L265,0)+IF(AND(E267&gt;=K265,E266&lt;K265,E266&gt;J265),K265-E266,0)+IF(AND(E267&gt;J265,E266&lt;J265,E267&lt;=K265),E267-J265,0)+IF(AND(E267&lt;K265,E266&gt;J265,E267&gt;E266),E267-E266,0)+IF(AND(E267&gt;K266,E266&lt;=J266),L266,0)+IF(AND(E267&gt;=K266,E266&lt;K266,E266&gt;J266),K266-E266,0)+IF(AND(E267&gt;J266,E266&lt;J266,E267&lt;=K266),E267-J266,0)+IF(AND(E267&lt;K266,E266&gt;J266,E267&gt;E266),E267-E266,0))=0,"",SUM(IF(AND(E267&gt;K263,E266&lt;=J263),L263,0)+IF(AND(E267&gt;=K263,E266&lt;K263,E266&gt;J263),K263-E266,0)+IF(AND(E267&gt;J263,E266&lt;=J263,E267&lt;K263),E267-J263,0)+IF(AND(E267&lt;K263,E266&gt;J263,E267&gt;E266),E267-E266,0)+IF(AND(E267&gt;K264,E266&lt;=J264),L264,0)+IF(AND(E267&gt;=K264,E266&lt;K264,E266&gt;J264),K264-E266,0)+IF(AND(E267&gt;J264,E266&lt;=J264,E267&lt;K264),E267-J264,0)+IF(AND(E267&lt;K264,E266&gt;J264,E267&gt;E266),E267-E266,0)+IF(AND(E267&gt;K265,E266&lt;=J265),L265,0)+IF(AND(E267&gt;=K265,E266&lt;K265,E266&gt;J265),K265-E266,0)+IF(AND(E267&gt;J265,E266&lt;J265,E267&lt;=K265),E267-J265,0)+IF(AND(E267&lt;K265,E266&gt;J265,E267&gt;E266),E267-E266,0)+IF(AND(E267&gt;K266,E266&lt;=J266),L266,0)+IF(AND(E267&gt;=K266,E266&lt;K266,E266&gt;J266),K266-E266,0)+IF(AND(E267&gt;J266,E266&lt;J266,E267&lt;=K266),E267-J266,0)+IF(AND(E267&lt;K266,E266&gt;J266,E267&gt;E266),E267-E266,0)))</f>
        <v/>
      </c>
      <c r="O267" s="323">
        <f t="shared" si="126"/>
        <v>0</v>
      </c>
      <c r="P267" s="324" t="str">
        <f t="shared" si="124"/>
        <v/>
      </c>
      <c r="Q267" s="325" t="str">
        <f t="shared" si="125"/>
        <v/>
      </c>
      <c r="R267" s="323" t="str">
        <f t="shared" si="135"/>
        <v/>
      </c>
      <c r="S267" s="323" t="str">
        <f t="shared" ref="S267:S294" si="153">IF(V267="","",IF(AND(N267="",O267=""),F267,IF(O267="",O267*AVERAGE(V266,V265,V264)+F267,O267*V267+F267)))</f>
        <v/>
      </c>
      <c r="T267" s="323" t="str">
        <f t="shared" si="136"/>
        <v/>
      </c>
      <c r="U267" s="323" t="str">
        <f t="shared" si="137"/>
        <v/>
      </c>
      <c r="V267" s="322" t="str">
        <f t="shared" si="127"/>
        <v/>
      </c>
      <c r="W267" s="323" t="str">
        <f t="shared" si="138"/>
        <v/>
      </c>
      <c r="X267" s="323" t="str">
        <f t="shared" si="145"/>
        <v/>
      </c>
      <c r="Y267" s="323" t="str">
        <f t="shared" si="139"/>
        <v/>
      </c>
      <c r="Z267" s="323" t="str">
        <f t="shared" si="129"/>
        <v/>
      </c>
      <c r="AA267" s="326" t="str">
        <f t="shared" si="140"/>
        <v/>
      </c>
      <c r="AB267" s="323" t="str">
        <f t="shared" si="150"/>
        <v/>
      </c>
      <c r="AC267" s="327"/>
      <c r="AD267" s="328" t="str">
        <f t="shared" si="141"/>
        <v/>
      </c>
      <c r="AE267" s="328" t="str">
        <f t="shared" si="141"/>
        <v/>
      </c>
      <c r="AF267" s="328" t="str">
        <f t="shared" si="142"/>
        <v/>
      </c>
      <c r="AG267" s="328" t="str">
        <f t="shared" si="143"/>
        <v/>
      </c>
      <c r="AH267" s="328" t="str">
        <f t="shared" si="146"/>
        <v/>
      </c>
      <c r="AI267" s="328" t="str">
        <f t="shared" si="147"/>
        <v/>
      </c>
      <c r="AJ267" s="329" t="str">
        <f t="shared" si="148"/>
        <v/>
      </c>
      <c r="AK267" s="329" t="str" cm="1">
        <f t="array" ref="AK267">IF(OR(E267="", H267=""), "",
  IFERROR(
     (
      INDEX($AM$3:$AM$22, MATCH(E267, $AL$3:$AL$22, 1)) +
      (E267 - INDEX($AL$3:$AL$22, MATCH(E267, $AL$3:$AL$22, 1))) *
      (INDEX($AM$3:$AM$22, MATCH(E267, $AL$3:$AL$22, 1)+1) - INDEX($AM$3:$AM$22, MATCH(E267, $AL$3:$AL$22, 1))) /
      (INDEX($AL$3:$AL$22, MATCH(E267, $AL$3:$AL$22, 1)+1) - INDEX($AL$3:$AL$22, MATCH(E267, $AL$3:$AL$22, 1)))
    ) - H267,
    ""
  )
)</f>
        <v/>
      </c>
      <c r="AL267" s="341"/>
      <c r="AM267" s="342"/>
      <c r="AN267" s="343"/>
    </row>
    <row r="268" spans="1:40" s="315" customFormat="1" ht="15" customHeight="1" x14ac:dyDescent="0.35">
      <c r="A268" s="297">
        <f t="shared" si="134"/>
        <v>3</v>
      </c>
      <c r="B268" s="298">
        <f t="shared" si="134"/>
        <v>19</v>
      </c>
      <c r="C268" s="299" t="str">
        <f t="shared" ref="C268:C294" si="154">IF(D268&gt;0,D268-D267,"")</f>
        <v/>
      </c>
      <c r="D268" s="300"/>
      <c r="E268" s="301" t="str">
        <f t="shared" si="151"/>
        <v/>
      </c>
      <c r="F268" s="302"/>
      <c r="G268" s="302"/>
      <c r="H268" s="303" t="str">
        <f t="shared" si="131"/>
        <v/>
      </c>
      <c r="I268" s="304" t="str">
        <f t="shared" si="144"/>
        <v/>
      </c>
      <c r="J268" s="302" t="str">
        <f t="shared" si="133"/>
        <v/>
      </c>
      <c r="K268" s="304" t="str">
        <f t="shared" si="149"/>
        <v/>
      </c>
      <c r="L268" s="302"/>
      <c r="M268" s="305"/>
      <c r="N268" s="304" t="str">
        <f t="shared" si="152"/>
        <v/>
      </c>
      <c r="O268" s="304">
        <f t="shared" si="126"/>
        <v>0</v>
      </c>
      <c r="P268" s="306" t="str">
        <f t="shared" ref="P268:P295" si="155">IF(AND(ISNUMBER(C268),ISNUMBER(I268)),(IF(AND(I268&gt;0,G268&lt;&gt;G267),ACOS((C268*X268/30)/(C268*I268/30))*180/PI(),IF(AND(F268&gt;F267,G268=G267),"H/S",IF(AND(F268&lt;F267,G268=G267),"L/S","")))),"")</f>
        <v/>
      </c>
      <c r="Q268" s="307" t="str">
        <f t="shared" ref="Q268:Q331" si="156">IF(ISNUMBER(P268),(IF(Y268&gt;0,"R","L")),"")</f>
        <v/>
      </c>
      <c r="R268" s="304" t="str">
        <f t="shared" si="135"/>
        <v/>
      </c>
      <c r="S268" s="304" t="str">
        <f t="shared" si="153"/>
        <v/>
      </c>
      <c r="T268" s="304" t="str">
        <f t="shared" si="136"/>
        <v/>
      </c>
      <c r="U268" s="304" t="str">
        <f t="shared" si="137"/>
        <v/>
      </c>
      <c r="V268" s="303" t="str">
        <f t="shared" si="127"/>
        <v/>
      </c>
      <c r="W268" s="304" t="str">
        <f t="shared" si="138"/>
        <v/>
      </c>
      <c r="X268" s="304" t="str">
        <f t="shared" si="145"/>
        <v/>
      </c>
      <c r="Y268" s="304" t="str">
        <f t="shared" si="139"/>
        <v/>
      </c>
      <c r="Z268" s="304" t="str">
        <f t="shared" si="129"/>
        <v/>
      </c>
      <c r="AA268" s="308" t="str">
        <f t="shared" si="140"/>
        <v/>
      </c>
      <c r="AB268" s="304" t="str">
        <f t="shared" si="150"/>
        <v/>
      </c>
      <c r="AC268" s="309"/>
      <c r="AD268" s="310" t="str">
        <f t="shared" si="141"/>
        <v/>
      </c>
      <c r="AE268" s="310" t="str">
        <f t="shared" si="141"/>
        <v/>
      </c>
      <c r="AF268" s="310" t="str">
        <f t="shared" si="142"/>
        <v/>
      </c>
      <c r="AG268" s="310" t="str">
        <f t="shared" si="143"/>
        <v/>
      </c>
      <c r="AH268" s="310" t="str">
        <f t="shared" si="146"/>
        <v/>
      </c>
      <c r="AI268" s="310" t="str">
        <f t="shared" si="147"/>
        <v/>
      </c>
      <c r="AJ268" s="311" t="str">
        <f t="shared" si="148"/>
        <v/>
      </c>
      <c r="AK268" s="311" t="str" cm="1">
        <f t="array" ref="AK268">IF(OR(E268="", H268=""), "",
  IFERROR(
     (
      INDEX($AM$3:$AM$22, MATCH(E268, $AL$3:$AL$22, 1)) +
      (E268 - INDEX($AL$3:$AL$22, MATCH(E268, $AL$3:$AL$22, 1))) *
      (INDEX($AM$3:$AM$22, MATCH(E268, $AL$3:$AL$22, 1)+1) - INDEX($AM$3:$AM$22, MATCH(E268, $AL$3:$AL$22, 1))) /
      (INDEX($AL$3:$AL$22, MATCH(E268, $AL$3:$AL$22, 1)+1) - INDEX($AL$3:$AL$22, MATCH(E268, $AL$3:$AL$22, 1)))
    ) - H268,
    ""
  )
)</f>
        <v/>
      </c>
      <c r="AL268" s="338"/>
      <c r="AM268" s="339"/>
      <c r="AN268" s="340"/>
    </row>
    <row r="269" spans="1:40" s="315" customFormat="1" ht="15" customHeight="1" x14ac:dyDescent="0.35">
      <c r="A269" s="316">
        <f t="shared" si="134"/>
        <v>3</v>
      </c>
      <c r="B269" s="317">
        <f t="shared" si="134"/>
        <v>19</v>
      </c>
      <c r="C269" s="318" t="str">
        <f t="shared" si="154"/>
        <v/>
      </c>
      <c r="D269" s="319"/>
      <c r="E269" s="320" t="str">
        <f t="shared" si="151"/>
        <v/>
      </c>
      <c r="F269" s="321"/>
      <c r="G269" s="321"/>
      <c r="H269" s="322" t="str">
        <f t="shared" si="131"/>
        <v/>
      </c>
      <c r="I269" s="323" t="str">
        <f t="shared" si="144"/>
        <v/>
      </c>
      <c r="J269" s="321" t="str">
        <f t="shared" si="133"/>
        <v/>
      </c>
      <c r="K269" s="323" t="str">
        <f t="shared" si="149"/>
        <v/>
      </c>
      <c r="L269" s="321"/>
      <c r="M269" s="333"/>
      <c r="N269" s="323" t="str">
        <f t="shared" si="152"/>
        <v/>
      </c>
      <c r="O269" s="323">
        <f t="shared" ref="O269:O294" si="157">SUM(IF(AND(D269&gt;K266,E269&lt;=J266),L266,0)+IF(AND(D269&gt;=K266,E269&lt;K266,E269&gt;J266),K266-E269,0)+IF(AND(D269&gt;J266,E269&lt;=J266,D269&lt;K266),D269-J266,0)+IF(AND(D269&lt;K266,E269&gt;J266,D269&gt;E269),D269-E269,0)+IF(AND(D269&gt;K267,E269&lt;=J267),L267,0)+IF(AND(D269&gt;=K267,E269&lt;K267,E269&gt;J267),K267-E269,0)+IF(AND(D269&gt;J267,E269&lt;J267,D269&lt;=K267),D269-J267,0)+IF(AND(D269&lt;K267,E269&gt;J267,D269&gt;E269),D269-E269,0)+IF(AND(D269&gt;K268,E269&lt;=J268),L268,0)+IF(AND(D269&gt;=K268,E269&lt;K268,E269&gt;J268),K268-E269,0)+IF(AND(D269&gt;J268,E269&lt;J268,D269&lt;=K268),D269-J268,0)+IF(AND(D269&lt;K268,E269&gt;J268,D269&gt;E269),D269-E269,0))</f>
        <v>0</v>
      </c>
      <c r="P269" s="324" t="str">
        <f t="shared" si="155"/>
        <v/>
      </c>
      <c r="Q269" s="325" t="str">
        <f t="shared" si="156"/>
        <v/>
      </c>
      <c r="R269" s="323" t="str">
        <f t="shared" si="135"/>
        <v/>
      </c>
      <c r="S269" s="323" t="str">
        <f t="shared" si="153"/>
        <v/>
      </c>
      <c r="T269" s="323" t="str">
        <f t="shared" si="136"/>
        <v/>
      </c>
      <c r="U269" s="323" t="str">
        <f t="shared" si="137"/>
        <v/>
      </c>
      <c r="V269" s="322" t="str">
        <f t="shared" ref="V269:V332" si="158">IF(F269="","",IF(N269="",IF(O269="",(F269-F268)/30,AVERAGE(V268,V267,V266)),(F269-F268)/N269))</f>
        <v/>
      </c>
      <c r="W269" s="323" t="str">
        <f t="shared" si="138"/>
        <v/>
      </c>
      <c r="X269" s="323" t="str">
        <f t="shared" si="145"/>
        <v/>
      </c>
      <c r="Y269" s="323" t="str">
        <f t="shared" si="139"/>
        <v/>
      </c>
      <c r="Z269" s="323" t="str">
        <f t="shared" si="129"/>
        <v/>
      </c>
      <c r="AA269" s="326" t="str">
        <f t="shared" si="140"/>
        <v/>
      </c>
      <c r="AB269" s="323" t="str">
        <f t="shared" si="150"/>
        <v/>
      </c>
      <c r="AC269" s="327"/>
      <c r="AD269" s="328" t="str">
        <f t="shared" si="141"/>
        <v/>
      </c>
      <c r="AE269" s="328" t="str">
        <f t="shared" si="141"/>
        <v/>
      </c>
      <c r="AF269" s="328" t="str">
        <f t="shared" si="142"/>
        <v/>
      </c>
      <c r="AG269" s="328" t="str">
        <f t="shared" si="143"/>
        <v/>
      </c>
      <c r="AH269" s="328" t="str">
        <f t="shared" si="146"/>
        <v/>
      </c>
      <c r="AI269" s="328" t="str">
        <f t="shared" si="147"/>
        <v/>
      </c>
      <c r="AJ269" s="329" t="str">
        <f t="shared" si="148"/>
        <v/>
      </c>
      <c r="AK269" s="329" t="str" cm="1">
        <f t="array" ref="AK269">IF(OR(E269="", H269=""), "",
  IFERROR(
     (
      INDEX($AM$3:$AM$22, MATCH(E269, $AL$3:$AL$22, 1)) +
      (E269 - INDEX($AL$3:$AL$22, MATCH(E269, $AL$3:$AL$22, 1))) *
      (INDEX($AM$3:$AM$22, MATCH(E269, $AL$3:$AL$22, 1)+1) - INDEX($AM$3:$AM$22, MATCH(E269, $AL$3:$AL$22, 1))) /
      (INDEX($AL$3:$AL$22, MATCH(E269, $AL$3:$AL$22, 1)+1) - INDEX($AL$3:$AL$22, MATCH(E269, $AL$3:$AL$22, 1)))
    ) - H269,
    ""
  )
)</f>
        <v/>
      </c>
      <c r="AL269" s="341"/>
      <c r="AM269" s="342"/>
      <c r="AN269" s="343"/>
    </row>
    <row r="270" spans="1:40" s="315" customFormat="1" ht="15" customHeight="1" x14ac:dyDescent="0.35">
      <c r="A270" s="297">
        <f t="shared" si="134"/>
        <v>3</v>
      </c>
      <c r="B270" s="298">
        <f t="shared" si="134"/>
        <v>19</v>
      </c>
      <c r="C270" s="299" t="str">
        <f t="shared" si="154"/>
        <v/>
      </c>
      <c r="D270" s="300"/>
      <c r="E270" s="301" t="str">
        <f t="shared" si="151"/>
        <v/>
      </c>
      <c r="F270" s="302"/>
      <c r="G270" s="302"/>
      <c r="H270" s="303" t="str">
        <f t="shared" si="131"/>
        <v/>
      </c>
      <c r="I270" s="304" t="str">
        <f t="shared" si="144"/>
        <v/>
      </c>
      <c r="J270" s="302" t="str">
        <f t="shared" si="133"/>
        <v/>
      </c>
      <c r="K270" s="304" t="str">
        <f t="shared" si="149"/>
        <v/>
      </c>
      <c r="L270" s="302"/>
      <c r="M270" s="305"/>
      <c r="N270" s="304" t="str">
        <f t="shared" si="152"/>
        <v/>
      </c>
      <c r="O270" s="304">
        <f t="shared" si="157"/>
        <v>0</v>
      </c>
      <c r="P270" s="306" t="str">
        <f t="shared" si="155"/>
        <v/>
      </c>
      <c r="Q270" s="307" t="str">
        <f t="shared" si="156"/>
        <v/>
      </c>
      <c r="R270" s="304" t="str">
        <f t="shared" si="135"/>
        <v/>
      </c>
      <c r="S270" s="304" t="str">
        <f t="shared" si="153"/>
        <v/>
      </c>
      <c r="T270" s="304" t="str">
        <f t="shared" si="136"/>
        <v/>
      </c>
      <c r="U270" s="304" t="str">
        <f t="shared" si="137"/>
        <v/>
      </c>
      <c r="V270" s="303" t="str">
        <f t="shared" si="158"/>
        <v/>
      </c>
      <c r="W270" s="304" t="str">
        <f t="shared" si="138"/>
        <v/>
      </c>
      <c r="X270" s="304" t="str">
        <f t="shared" si="145"/>
        <v/>
      </c>
      <c r="Y270" s="304" t="str">
        <f t="shared" si="139"/>
        <v/>
      </c>
      <c r="Z270" s="304" t="str">
        <f t="shared" si="129"/>
        <v/>
      </c>
      <c r="AA270" s="308" t="str">
        <f t="shared" si="140"/>
        <v/>
      </c>
      <c r="AB270" s="304" t="str">
        <f t="shared" si="150"/>
        <v/>
      </c>
      <c r="AC270" s="309"/>
      <c r="AD270" s="310" t="str">
        <f t="shared" si="141"/>
        <v/>
      </c>
      <c r="AE270" s="310" t="str">
        <f t="shared" si="141"/>
        <v/>
      </c>
      <c r="AF270" s="310" t="str">
        <f t="shared" si="142"/>
        <v/>
      </c>
      <c r="AG270" s="310" t="str">
        <f t="shared" si="143"/>
        <v/>
      </c>
      <c r="AH270" s="310" t="str">
        <f t="shared" si="146"/>
        <v/>
      </c>
      <c r="AI270" s="310" t="str">
        <f t="shared" si="147"/>
        <v/>
      </c>
      <c r="AJ270" s="311" t="str">
        <f t="shared" si="148"/>
        <v/>
      </c>
      <c r="AK270" s="311" t="str" cm="1">
        <f t="array" ref="AK270">IF(OR(E270="", H270=""), "",
  IFERROR(
     (
      INDEX($AM$3:$AM$22, MATCH(E270, $AL$3:$AL$22, 1)) +
      (E270 - INDEX($AL$3:$AL$22, MATCH(E270, $AL$3:$AL$22, 1))) *
      (INDEX($AM$3:$AM$22, MATCH(E270, $AL$3:$AL$22, 1)+1) - INDEX($AM$3:$AM$22, MATCH(E270, $AL$3:$AL$22, 1))) /
      (INDEX($AL$3:$AL$22, MATCH(E270, $AL$3:$AL$22, 1)+1) - INDEX($AL$3:$AL$22, MATCH(E270, $AL$3:$AL$22, 1)))
    ) - H270,
    ""
  )
)</f>
        <v/>
      </c>
      <c r="AL270" s="338"/>
      <c r="AM270" s="339"/>
      <c r="AN270" s="340"/>
    </row>
    <row r="271" spans="1:40" s="315" customFormat="1" ht="15" customHeight="1" x14ac:dyDescent="0.35">
      <c r="A271" s="316">
        <f t="shared" si="134"/>
        <v>3</v>
      </c>
      <c r="B271" s="317">
        <f t="shared" si="134"/>
        <v>19</v>
      </c>
      <c r="C271" s="318" t="str">
        <f t="shared" si="154"/>
        <v/>
      </c>
      <c r="D271" s="319"/>
      <c r="E271" s="320" t="str">
        <f t="shared" si="151"/>
        <v/>
      </c>
      <c r="F271" s="321"/>
      <c r="G271" s="321"/>
      <c r="H271" s="322" t="str">
        <f t="shared" si="131"/>
        <v/>
      </c>
      <c r="I271" s="323" t="str">
        <f t="shared" si="144"/>
        <v/>
      </c>
      <c r="J271" s="321" t="str">
        <f t="shared" si="133"/>
        <v/>
      </c>
      <c r="K271" s="323" t="str">
        <f t="shared" si="149"/>
        <v/>
      </c>
      <c r="L271" s="321"/>
      <c r="M271" s="333"/>
      <c r="N271" s="323" t="str">
        <f t="shared" si="152"/>
        <v/>
      </c>
      <c r="O271" s="323">
        <f t="shared" si="157"/>
        <v>0</v>
      </c>
      <c r="P271" s="324" t="str">
        <f t="shared" si="155"/>
        <v/>
      </c>
      <c r="Q271" s="325" t="str">
        <f t="shared" si="156"/>
        <v/>
      </c>
      <c r="R271" s="323" t="str">
        <f t="shared" si="135"/>
        <v/>
      </c>
      <c r="S271" s="323" t="str">
        <f t="shared" si="153"/>
        <v/>
      </c>
      <c r="T271" s="323" t="str">
        <f t="shared" si="136"/>
        <v/>
      </c>
      <c r="U271" s="323" t="str">
        <f t="shared" si="137"/>
        <v/>
      </c>
      <c r="V271" s="322" t="str">
        <f t="shared" si="158"/>
        <v/>
      </c>
      <c r="W271" s="323" t="str">
        <f t="shared" si="138"/>
        <v/>
      </c>
      <c r="X271" s="323" t="str">
        <f t="shared" si="145"/>
        <v/>
      </c>
      <c r="Y271" s="323" t="str">
        <f t="shared" si="139"/>
        <v/>
      </c>
      <c r="Z271" s="323" t="str">
        <f t="shared" si="129"/>
        <v/>
      </c>
      <c r="AA271" s="326" t="str">
        <f t="shared" si="140"/>
        <v/>
      </c>
      <c r="AB271" s="323" t="str">
        <f t="shared" si="150"/>
        <v/>
      </c>
      <c r="AC271" s="327"/>
      <c r="AD271" s="328" t="str">
        <f t="shared" si="141"/>
        <v/>
      </c>
      <c r="AE271" s="328" t="str">
        <f t="shared" si="141"/>
        <v/>
      </c>
      <c r="AF271" s="328" t="str">
        <f t="shared" si="142"/>
        <v/>
      </c>
      <c r="AG271" s="328" t="str">
        <f t="shared" si="143"/>
        <v/>
      </c>
      <c r="AH271" s="328" t="str">
        <f t="shared" si="146"/>
        <v/>
      </c>
      <c r="AI271" s="328" t="str">
        <f t="shared" si="147"/>
        <v/>
      </c>
      <c r="AJ271" s="329" t="str">
        <f t="shared" si="148"/>
        <v/>
      </c>
      <c r="AK271" s="329" t="str" cm="1">
        <f t="array" ref="AK271">IF(OR(E271="", H271=""), "",
  IFERROR(
     (
      INDEX($AM$3:$AM$22, MATCH(E271, $AL$3:$AL$22, 1)) +
      (E271 - INDEX($AL$3:$AL$22, MATCH(E271, $AL$3:$AL$22, 1))) *
      (INDEX($AM$3:$AM$22, MATCH(E271, $AL$3:$AL$22, 1)+1) - INDEX($AM$3:$AM$22, MATCH(E271, $AL$3:$AL$22, 1))) /
      (INDEX($AL$3:$AL$22, MATCH(E271, $AL$3:$AL$22, 1)+1) - INDEX($AL$3:$AL$22, MATCH(E271, $AL$3:$AL$22, 1)))
    ) - H271,
    ""
  )
)</f>
        <v/>
      </c>
      <c r="AL271" s="341"/>
      <c r="AM271" s="342"/>
      <c r="AN271" s="343"/>
    </row>
    <row r="272" spans="1:40" s="315" customFormat="1" ht="15" customHeight="1" x14ac:dyDescent="0.35">
      <c r="A272" s="297">
        <f t="shared" si="134"/>
        <v>3</v>
      </c>
      <c r="B272" s="298">
        <f t="shared" si="134"/>
        <v>19</v>
      </c>
      <c r="C272" s="299" t="str">
        <f t="shared" si="154"/>
        <v/>
      </c>
      <c r="D272" s="300"/>
      <c r="E272" s="301" t="str">
        <f t="shared" si="151"/>
        <v/>
      </c>
      <c r="F272" s="302"/>
      <c r="G272" s="302"/>
      <c r="H272" s="303" t="str">
        <f t="shared" si="131"/>
        <v/>
      </c>
      <c r="I272" s="304" t="str">
        <f t="shared" si="144"/>
        <v/>
      </c>
      <c r="J272" s="302" t="str">
        <f t="shared" si="133"/>
        <v/>
      </c>
      <c r="K272" s="304" t="str">
        <f t="shared" si="149"/>
        <v/>
      </c>
      <c r="L272" s="302"/>
      <c r="M272" s="305"/>
      <c r="N272" s="304" t="str">
        <f t="shared" si="152"/>
        <v/>
      </c>
      <c r="O272" s="304">
        <f t="shared" si="157"/>
        <v>0</v>
      </c>
      <c r="P272" s="306" t="str">
        <f t="shared" si="155"/>
        <v/>
      </c>
      <c r="Q272" s="307" t="str">
        <f t="shared" si="156"/>
        <v/>
      </c>
      <c r="R272" s="304" t="str">
        <f t="shared" si="135"/>
        <v/>
      </c>
      <c r="S272" s="304" t="str">
        <f t="shared" si="153"/>
        <v/>
      </c>
      <c r="T272" s="304" t="str">
        <f t="shared" si="136"/>
        <v/>
      </c>
      <c r="U272" s="304" t="str">
        <f t="shared" si="137"/>
        <v/>
      </c>
      <c r="V272" s="303" t="str">
        <f t="shared" si="158"/>
        <v/>
      </c>
      <c r="W272" s="304" t="str">
        <f t="shared" si="138"/>
        <v/>
      </c>
      <c r="X272" s="304" t="str">
        <f t="shared" si="145"/>
        <v/>
      </c>
      <c r="Y272" s="304" t="str">
        <f t="shared" si="139"/>
        <v/>
      </c>
      <c r="Z272" s="304" t="str">
        <f t="shared" si="129"/>
        <v/>
      </c>
      <c r="AA272" s="308" t="str">
        <f t="shared" si="140"/>
        <v/>
      </c>
      <c r="AB272" s="304" t="str">
        <f t="shared" si="150"/>
        <v/>
      </c>
      <c r="AC272" s="309"/>
      <c r="AD272" s="310" t="str">
        <f t="shared" si="141"/>
        <v/>
      </c>
      <c r="AE272" s="310" t="str">
        <f t="shared" si="141"/>
        <v/>
      </c>
      <c r="AF272" s="310" t="str">
        <f t="shared" si="142"/>
        <v/>
      </c>
      <c r="AG272" s="310" t="str">
        <f t="shared" si="143"/>
        <v/>
      </c>
      <c r="AH272" s="310" t="str">
        <f t="shared" si="146"/>
        <v/>
      </c>
      <c r="AI272" s="310" t="str">
        <f t="shared" si="147"/>
        <v/>
      </c>
      <c r="AJ272" s="311" t="str">
        <f t="shared" si="148"/>
        <v/>
      </c>
      <c r="AK272" s="311" t="str" cm="1">
        <f t="array" ref="AK272">IF(OR(E272="", H272=""), "",
  IFERROR(
     (
      INDEX($AM$3:$AM$22, MATCH(E272, $AL$3:$AL$22, 1)) +
      (E272 - INDEX($AL$3:$AL$22, MATCH(E272, $AL$3:$AL$22, 1))) *
      (INDEX($AM$3:$AM$22, MATCH(E272, $AL$3:$AL$22, 1)+1) - INDEX($AM$3:$AM$22, MATCH(E272, $AL$3:$AL$22, 1))) /
      (INDEX($AL$3:$AL$22, MATCH(E272, $AL$3:$AL$22, 1)+1) - INDEX($AL$3:$AL$22, MATCH(E272, $AL$3:$AL$22, 1)))
    ) - H272,
    ""
  )
)</f>
        <v/>
      </c>
      <c r="AL272" s="338"/>
      <c r="AM272" s="339"/>
      <c r="AN272" s="340"/>
    </row>
    <row r="273" spans="1:40" s="315" customFormat="1" ht="15" customHeight="1" x14ac:dyDescent="0.35">
      <c r="A273" s="316">
        <f t="shared" ref="A273:B288" si="159">+A272</f>
        <v>3</v>
      </c>
      <c r="B273" s="317">
        <f t="shared" si="159"/>
        <v>19</v>
      </c>
      <c r="C273" s="318" t="str">
        <f t="shared" si="154"/>
        <v/>
      </c>
      <c r="D273" s="319"/>
      <c r="E273" s="320" t="str">
        <f t="shared" si="151"/>
        <v/>
      </c>
      <c r="F273" s="321"/>
      <c r="G273" s="321"/>
      <c r="H273" s="322" t="str">
        <f t="shared" si="131"/>
        <v/>
      </c>
      <c r="I273" s="323" t="str">
        <f t="shared" si="144"/>
        <v/>
      </c>
      <c r="J273" s="321" t="str">
        <f t="shared" si="133"/>
        <v/>
      </c>
      <c r="K273" s="323" t="str">
        <f t="shared" si="149"/>
        <v/>
      </c>
      <c r="L273" s="321"/>
      <c r="M273" s="333"/>
      <c r="N273" s="323" t="str">
        <f t="shared" si="152"/>
        <v/>
      </c>
      <c r="O273" s="323">
        <f t="shared" si="157"/>
        <v>0</v>
      </c>
      <c r="P273" s="324" t="str">
        <f t="shared" si="155"/>
        <v/>
      </c>
      <c r="Q273" s="325" t="str">
        <f t="shared" si="156"/>
        <v/>
      </c>
      <c r="R273" s="323" t="str">
        <f t="shared" si="135"/>
        <v/>
      </c>
      <c r="S273" s="323" t="str">
        <f t="shared" si="153"/>
        <v/>
      </c>
      <c r="T273" s="323" t="str">
        <f t="shared" si="136"/>
        <v/>
      </c>
      <c r="U273" s="323" t="str">
        <f t="shared" si="137"/>
        <v/>
      </c>
      <c r="V273" s="322" t="str">
        <f t="shared" si="158"/>
        <v/>
      </c>
      <c r="W273" s="323" t="str">
        <f t="shared" si="138"/>
        <v/>
      </c>
      <c r="X273" s="323" t="str">
        <f t="shared" si="145"/>
        <v/>
      </c>
      <c r="Y273" s="323" t="str">
        <f t="shared" si="139"/>
        <v/>
      </c>
      <c r="Z273" s="323" t="str">
        <f t="shared" si="129"/>
        <v/>
      </c>
      <c r="AA273" s="326" t="str">
        <f t="shared" si="140"/>
        <v/>
      </c>
      <c r="AB273" s="323" t="str">
        <f t="shared" si="150"/>
        <v/>
      </c>
      <c r="AC273" s="327"/>
      <c r="AD273" s="328" t="str">
        <f t="shared" si="141"/>
        <v/>
      </c>
      <c r="AE273" s="328" t="str">
        <f t="shared" si="141"/>
        <v/>
      </c>
      <c r="AF273" s="328" t="str">
        <f t="shared" si="142"/>
        <v/>
      </c>
      <c r="AG273" s="328" t="str">
        <f t="shared" si="143"/>
        <v/>
      </c>
      <c r="AH273" s="328" t="str">
        <f t="shared" si="146"/>
        <v/>
      </c>
      <c r="AI273" s="328" t="str">
        <f t="shared" si="147"/>
        <v/>
      </c>
      <c r="AJ273" s="329" t="str">
        <f t="shared" si="148"/>
        <v/>
      </c>
      <c r="AK273" s="329" t="str" cm="1">
        <f t="array" ref="AK273">IF(OR(E273="", H273=""), "",
  IFERROR(
     (
      INDEX($AM$3:$AM$22, MATCH(E273, $AL$3:$AL$22, 1)) +
      (E273 - INDEX($AL$3:$AL$22, MATCH(E273, $AL$3:$AL$22, 1))) *
      (INDEX($AM$3:$AM$22, MATCH(E273, $AL$3:$AL$22, 1)+1) - INDEX($AM$3:$AM$22, MATCH(E273, $AL$3:$AL$22, 1))) /
      (INDEX($AL$3:$AL$22, MATCH(E273, $AL$3:$AL$22, 1)+1) - INDEX($AL$3:$AL$22, MATCH(E273, $AL$3:$AL$22, 1)))
    ) - H273,
    ""
  )
)</f>
        <v/>
      </c>
      <c r="AL273" s="341"/>
      <c r="AM273" s="342"/>
      <c r="AN273" s="343"/>
    </row>
    <row r="274" spans="1:40" s="315" customFormat="1" ht="15" customHeight="1" x14ac:dyDescent="0.35">
      <c r="A274" s="297">
        <f t="shared" si="159"/>
        <v>3</v>
      </c>
      <c r="B274" s="298">
        <f t="shared" si="159"/>
        <v>19</v>
      </c>
      <c r="C274" s="299" t="str">
        <f t="shared" si="154"/>
        <v/>
      </c>
      <c r="D274" s="300"/>
      <c r="E274" s="301" t="str">
        <f t="shared" si="151"/>
        <v/>
      </c>
      <c r="F274" s="302"/>
      <c r="G274" s="302"/>
      <c r="H274" s="303" t="str">
        <f t="shared" si="131"/>
        <v/>
      </c>
      <c r="I274" s="304" t="str">
        <f t="shared" si="144"/>
        <v/>
      </c>
      <c r="J274" s="302" t="str">
        <f t="shared" si="133"/>
        <v/>
      </c>
      <c r="K274" s="304" t="str">
        <f t="shared" si="149"/>
        <v/>
      </c>
      <c r="L274" s="302"/>
      <c r="M274" s="305"/>
      <c r="N274" s="304" t="str">
        <f t="shared" si="152"/>
        <v/>
      </c>
      <c r="O274" s="304">
        <f t="shared" si="157"/>
        <v>0</v>
      </c>
      <c r="P274" s="306" t="str">
        <f t="shared" si="155"/>
        <v/>
      </c>
      <c r="Q274" s="307" t="str">
        <f t="shared" si="156"/>
        <v/>
      </c>
      <c r="R274" s="304" t="str">
        <f t="shared" si="135"/>
        <v/>
      </c>
      <c r="S274" s="304" t="str">
        <f t="shared" si="153"/>
        <v/>
      </c>
      <c r="T274" s="304" t="str">
        <f t="shared" si="136"/>
        <v/>
      </c>
      <c r="U274" s="304" t="str">
        <f t="shared" si="137"/>
        <v/>
      </c>
      <c r="V274" s="303" t="str">
        <f t="shared" si="158"/>
        <v/>
      </c>
      <c r="W274" s="304" t="str">
        <f t="shared" si="138"/>
        <v/>
      </c>
      <c r="X274" s="304" t="str">
        <f t="shared" si="145"/>
        <v/>
      </c>
      <c r="Y274" s="304" t="str">
        <f t="shared" si="139"/>
        <v/>
      </c>
      <c r="Z274" s="304" t="str">
        <f t="shared" si="129"/>
        <v/>
      </c>
      <c r="AA274" s="308" t="str">
        <f t="shared" si="140"/>
        <v/>
      </c>
      <c r="AB274" s="304" t="str">
        <f t="shared" si="150"/>
        <v/>
      </c>
      <c r="AC274" s="309"/>
      <c r="AD274" s="310" t="str">
        <f t="shared" si="141"/>
        <v/>
      </c>
      <c r="AE274" s="310" t="str">
        <f t="shared" si="141"/>
        <v/>
      </c>
      <c r="AF274" s="310" t="str">
        <f t="shared" si="142"/>
        <v/>
      </c>
      <c r="AG274" s="310" t="str">
        <f t="shared" si="143"/>
        <v/>
      </c>
      <c r="AH274" s="310" t="str">
        <f t="shared" si="146"/>
        <v/>
      </c>
      <c r="AI274" s="310" t="str">
        <f t="shared" si="147"/>
        <v/>
      </c>
      <c r="AJ274" s="311" t="str">
        <f t="shared" si="148"/>
        <v/>
      </c>
      <c r="AK274" s="311" t="str" cm="1">
        <f t="array" ref="AK274">IF(OR(E274="", H274=""), "",
  IFERROR(
     (
      INDEX($AM$3:$AM$22, MATCH(E274, $AL$3:$AL$22, 1)) +
      (E274 - INDEX($AL$3:$AL$22, MATCH(E274, $AL$3:$AL$22, 1))) *
      (INDEX($AM$3:$AM$22, MATCH(E274, $AL$3:$AL$22, 1)+1) - INDEX($AM$3:$AM$22, MATCH(E274, $AL$3:$AL$22, 1))) /
      (INDEX($AL$3:$AL$22, MATCH(E274, $AL$3:$AL$22, 1)+1) - INDEX($AL$3:$AL$22, MATCH(E274, $AL$3:$AL$22, 1)))
    ) - H274,
    ""
  )
)</f>
        <v/>
      </c>
      <c r="AL274" s="338"/>
      <c r="AM274" s="339"/>
      <c r="AN274" s="340"/>
    </row>
    <row r="275" spans="1:40" s="315" customFormat="1" ht="15" customHeight="1" x14ac:dyDescent="0.35">
      <c r="A275" s="316">
        <f t="shared" si="159"/>
        <v>3</v>
      </c>
      <c r="B275" s="317">
        <f t="shared" si="159"/>
        <v>19</v>
      </c>
      <c r="C275" s="318" t="str">
        <f t="shared" si="154"/>
        <v/>
      </c>
      <c r="D275" s="319"/>
      <c r="E275" s="320" t="str">
        <f t="shared" si="151"/>
        <v/>
      </c>
      <c r="F275" s="321"/>
      <c r="G275" s="321"/>
      <c r="H275" s="322" t="str">
        <f t="shared" si="131"/>
        <v/>
      </c>
      <c r="I275" s="323" t="str">
        <f t="shared" si="144"/>
        <v/>
      </c>
      <c r="J275" s="321" t="str">
        <f t="shared" si="133"/>
        <v/>
      </c>
      <c r="K275" s="323" t="str">
        <f t="shared" si="149"/>
        <v/>
      </c>
      <c r="L275" s="321"/>
      <c r="M275" s="333"/>
      <c r="N275" s="323" t="str">
        <f t="shared" si="152"/>
        <v/>
      </c>
      <c r="O275" s="323">
        <f t="shared" si="157"/>
        <v>0</v>
      </c>
      <c r="P275" s="324" t="str">
        <f t="shared" si="155"/>
        <v/>
      </c>
      <c r="Q275" s="325" t="str">
        <f t="shared" si="156"/>
        <v/>
      </c>
      <c r="R275" s="323" t="str">
        <f t="shared" si="135"/>
        <v/>
      </c>
      <c r="S275" s="323" t="str">
        <f t="shared" si="153"/>
        <v/>
      </c>
      <c r="T275" s="323" t="str">
        <f t="shared" si="136"/>
        <v/>
      </c>
      <c r="U275" s="323" t="str">
        <f t="shared" si="137"/>
        <v/>
      </c>
      <c r="V275" s="322" t="str">
        <f t="shared" si="158"/>
        <v/>
      </c>
      <c r="W275" s="323" t="str">
        <f t="shared" si="138"/>
        <v/>
      </c>
      <c r="X275" s="323" t="str">
        <f t="shared" si="145"/>
        <v/>
      </c>
      <c r="Y275" s="323" t="str">
        <f t="shared" si="139"/>
        <v/>
      </c>
      <c r="Z275" s="323" t="str">
        <f t="shared" si="129"/>
        <v/>
      </c>
      <c r="AA275" s="326" t="str">
        <f t="shared" si="140"/>
        <v/>
      </c>
      <c r="AB275" s="323" t="str">
        <f t="shared" si="150"/>
        <v/>
      </c>
      <c r="AC275" s="327"/>
      <c r="AD275" s="328" t="str">
        <f t="shared" si="141"/>
        <v/>
      </c>
      <c r="AE275" s="328" t="str">
        <f t="shared" si="141"/>
        <v/>
      </c>
      <c r="AF275" s="328" t="str">
        <f t="shared" si="142"/>
        <v/>
      </c>
      <c r="AG275" s="328" t="str">
        <f t="shared" si="143"/>
        <v/>
      </c>
      <c r="AH275" s="328" t="str">
        <f t="shared" si="146"/>
        <v/>
      </c>
      <c r="AI275" s="328" t="str">
        <f t="shared" si="147"/>
        <v/>
      </c>
      <c r="AJ275" s="329" t="str">
        <f t="shared" si="148"/>
        <v/>
      </c>
      <c r="AK275" s="329" t="str" cm="1">
        <f t="array" ref="AK275">IF(OR(E275="", H275=""), "",
  IFERROR(
     (
      INDEX($AM$3:$AM$22, MATCH(E275, $AL$3:$AL$22, 1)) +
      (E275 - INDEX($AL$3:$AL$22, MATCH(E275, $AL$3:$AL$22, 1))) *
      (INDEX($AM$3:$AM$22, MATCH(E275, $AL$3:$AL$22, 1)+1) - INDEX($AM$3:$AM$22, MATCH(E275, $AL$3:$AL$22, 1))) /
      (INDEX($AL$3:$AL$22, MATCH(E275, $AL$3:$AL$22, 1)+1) - INDEX($AL$3:$AL$22, MATCH(E275, $AL$3:$AL$22, 1)))
    ) - H275,
    ""
  )
)</f>
        <v/>
      </c>
      <c r="AL275" s="341"/>
      <c r="AM275" s="342"/>
      <c r="AN275" s="343"/>
    </row>
    <row r="276" spans="1:40" s="315" customFormat="1" ht="15" customHeight="1" x14ac:dyDescent="0.35">
      <c r="A276" s="297">
        <f t="shared" si="159"/>
        <v>3</v>
      </c>
      <c r="B276" s="298">
        <f t="shared" si="159"/>
        <v>19</v>
      </c>
      <c r="C276" s="299" t="str">
        <f t="shared" si="154"/>
        <v/>
      </c>
      <c r="D276" s="300"/>
      <c r="E276" s="301" t="str">
        <f t="shared" si="151"/>
        <v/>
      </c>
      <c r="F276" s="302"/>
      <c r="G276" s="302"/>
      <c r="H276" s="303" t="str">
        <f t="shared" si="131"/>
        <v/>
      </c>
      <c r="I276" s="304" t="str">
        <f t="shared" si="144"/>
        <v/>
      </c>
      <c r="J276" s="302" t="str">
        <f t="shared" si="133"/>
        <v/>
      </c>
      <c r="K276" s="304" t="str">
        <f t="shared" si="149"/>
        <v/>
      </c>
      <c r="L276" s="302"/>
      <c r="M276" s="305"/>
      <c r="N276" s="304" t="str">
        <f t="shared" si="152"/>
        <v/>
      </c>
      <c r="O276" s="304">
        <f t="shared" si="157"/>
        <v>0</v>
      </c>
      <c r="P276" s="306" t="str">
        <f t="shared" si="155"/>
        <v/>
      </c>
      <c r="Q276" s="307" t="str">
        <f t="shared" si="156"/>
        <v/>
      </c>
      <c r="R276" s="304" t="str">
        <f t="shared" si="135"/>
        <v/>
      </c>
      <c r="S276" s="304" t="str">
        <f t="shared" si="153"/>
        <v/>
      </c>
      <c r="T276" s="304" t="str">
        <f t="shared" si="136"/>
        <v/>
      </c>
      <c r="U276" s="304" t="str">
        <f t="shared" si="137"/>
        <v/>
      </c>
      <c r="V276" s="303" t="str">
        <f t="shared" si="158"/>
        <v/>
      </c>
      <c r="W276" s="304" t="str">
        <f t="shared" si="138"/>
        <v/>
      </c>
      <c r="X276" s="304" t="str">
        <f t="shared" si="145"/>
        <v/>
      </c>
      <c r="Y276" s="304" t="str">
        <f t="shared" si="139"/>
        <v/>
      </c>
      <c r="Z276" s="304" t="str">
        <f t="shared" si="129"/>
        <v/>
      </c>
      <c r="AA276" s="308" t="str">
        <f t="shared" si="140"/>
        <v/>
      </c>
      <c r="AB276" s="304" t="str">
        <f t="shared" si="150"/>
        <v/>
      </c>
      <c r="AC276" s="309"/>
      <c r="AD276" s="310" t="str">
        <f t="shared" si="141"/>
        <v/>
      </c>
      <c r="AE276" s="310" t="str">
        <f t="shared" si="141"/>
        <v/>
      </c>
      <c r="AF276" s="310" t="str">
        <f t="shared" si="142"/>
        <v/>
      </c>
      <c r="AG276" s="310" t="str">
        <f t="shared" si="143"/>
        <v/>
      </c>
      <c r="AH276" s="310" t="str">
        <f t="shared" si="146"/>
        <v/>
      </c>
      <c r="AI276" s="310" t="str">
        <f t="shared" si="147"/>
        <v/>
      </c>
      <c r="AJ276" s="311" t="str">
        <f t="shared" si="148"/>
        <v/>
      </c>
      <c r="AK276" s="311" t="str" cm="1">
        <f t="array" ref="AK276">IF(OR(E276="", H276=""), "",
  IFERROR(
     (
      INDEX($AM$3:$AM$22, MATCH(E276, $AL$3:$AL$22, 1)) +
      (E276 - INDEX($AL$3:$AL$22, MATCH(E276, $AL$3:$AL$22, 1))) *
      (INDEX($AM$3:$AM$22, MATCH(E276, $AL$3:$AL$22, 1)+1) - INDEX($AM$3:$AM$22, MATCH(E276, $AL$3:$AL$22, 1))) /
      (INDEX($AL$3:$AL$22, MATCH(E276, $AL$3:$AL$22, 1)+1) - INDEX($AL$3:$AL$22, MATCH(E276, $AL$3:$AL$22, 1)))
    ) - H276,
    ""
  )
)</f>
        <v/>
      </c>
      <c r="AL276" s="338"/>
      <c r="AM276" s="339"/>
      <c r="AN276" s="340"/>
    </row>
    <row r="277" spans="1:40" s="315" customFormat="1" ht="15" customHeight="1" x14ac:dyDescent="0.35">
      <c r="A277" s="316">
        <f t="shared" si="159"/>
        <v>3</v>
      </c>
      <c r="B277" s="317">
        <f t="shared" si="159"/>
        <v>19</v>
      </c>
      <c r="C277" s="318" t="str">
        <f t="shared" si="154"/>
        <v/>
      </c>
      <c r="D277" s="319"/>
      <c r="E277" s="320" t="str">
        <f t="shared" si="151"/>
        <v/>
      </c>
      <c r="F277" s="321"/>
      <c r="G277" s="321"/>
      <c r="H277" s="322" t="str">
        <f t="shared" si="131"/>
        <v/>
      </c>
      <c r="I277" s="323" t="str">
        <f t="shared" si="144"/>
        <v/>
      </c>
      <c r="J277" s="321" t="str">
        <f t="shared" si="133"/>
        <v/>
      </c>
      <c r="K277" s="323" t="str">
        <f t="shared" si="149"/>
        <v/>
      </c>
      <c r="L277" s="321"/>
      <c r="M277" s="333"/>
      <c r="N277" s="323" t="str">
        <f t="shared" si="152"/>
        <v/>
      </c>
      <c r="O277" s="323">
        <f t="shared" si="157"/>
        <v>0</v>
      </c>
      <c r="P277" s="324" t="str">
        <f t="shared" si="155"/>
        <v/>
      </c>
      <c r="Q277" s="325" t="str">
        <f t="shared" si="156"/>
        <v/>
      </c>
      <c r="R277" s="323" t="str">
        <f t="shared" si="135"/>
        <v/>
      </c>
      <c r="S277" s="323" t="str">
        <f t="shared" si="153"/>
        <v/>
      </c>
      <c r="T277" s="323" t="str">
        <f t="shared" si="136"/>
        <v/>
      </c>
      <c r="U277" s="323" t="str">
        <f t="shared" si="137"/>
        <v/>
      </c>
      <c r="V277" s="322" t="str">
        <f t="shared" si="158"/>
        <v/>
      </c>
      <c r="W277" s="323" t="str">
        <f t="shared" si="138"/>
        <v/>
      </c>
      <c r="X277" s="323" t="str">
        <f t="shared" si="145"/>
        <v/>
      </c>
      <c r="Y277" s="323" t="str">
        <f t="shared" si="139"/>
        <v/>
      </c>
      <c r="Z277" s="323" t="str">
        <f t="shared" si="129"/>
        <v/>
      </c>
      <c r="AA277" s="326" t="str">
        <f t="shared" si="140"/>
        <v/>
      </c>
      <c r="AB277" s="323" t="str">
        <f t="shared" si="150"/>
        <v/>
      </c>
      <c r="AC277" s="327"/>
      <c r="AD277" s="328" t="str">
        <f t="shared" si="141"/>
        <v/>
      </c>
      <c r="AE277" s="328" t="str">
        <f t="shared" si="141"/>
        <v/>
      </c>
      <c r="AF277" s="328" t="str">
        <f t="shared" si="142"/>
        <v/>
      </c>
      <c r="AG277" s="328" t="str">
        <f t="shared" si="143"/>
        <v/>
      </c>
      <c r="AH277" s="328" t="str">
        <f t="shared" si="146"/>
        <v/>
      </c>
      <c r="AI277" s="328" t="str">
        <f t="shared" si="147"/>
        <v/>
      </c>
      <c r="AJ277" s="329" t="str">
        <f t="shared" si="148"/>
        <v/>
      </c>
      <c r="AK277" s="329" t="str" cm="1">
        <f t="array" ref="AK277">IF(OR(E277="", H277=""), "",
  IFERROR(
     (
      INDEX($AM$3:$AM$22, MATCH(E277, $AL$3:$AL$22, 1)) +
      (E277 - INDEX($AL$3:$AL$22, MATCH(E277, $AL$3:$AL$22, 1))) *
      (INDEX($AM$3:$AM$22, MATCH(E277, $AL$3:$AL$22, 1)+1) - INDEX($AM$3:$AM$22, MATCH(E277, $AL$3:$AL$22, 1))) /
      (INDEX($AL$3:$AL$22, MATCH(E277, $AL$3:$AL$22, 1)+1) - INDEX($AL$3:$AL$22, MATCH(E277, $AL$3:$AL$22, 1)))
    ) - H277,
    ""
  )
)</f>
        <v/>
      </c>
      <c r="AL277" s="341"/>
      <c r="AM277" s="342"/>
      <c r="AN277" s="343"/>
    </row>
    <row r="278" spans="1:40" s="315" customFormat="1" ht="15" customHeight="1" x14ac:dyDescent="0.35">
      <c r="A278" s="297">
        <f t="shared" si="159"/>
        <v>3</v>
      </c>
      <c r="B278" s="298">
        <f t="shared" si="159"/>
        <v>19</v>
      </c>
      <c r="C278" s="299" t="str">
        <f t="shared" si="154"/>
        <v/>
      </c>
      <c r="D278" s="300"/>
      <c r="E278" s="301" t="str">
        <f t="shared" si="151"/>
        <v/>
      </c>
      <c r="F278" s="302"/>
      <c r="G278" s="302"/>
      <c r="H278" s="303" t="str">
        <f t="shared" si="131"/>
        <v/>
      </c>
      <c r="I278" s="304" t="str">
        <f t="shared" si="144"/>
        <v/>
      </c>
      <c r="J278" s="302" t="str">
        <f t="shared" si="133"/>
        <v/>
      </c>
      <c r="K278" s="304" t="str">
        <f t="shared" si="149"/>
        <v/>
      </c>
      <c r="L278" s="302"/>
      <c r="M278" s="305"/>
      <c r="N278" s="304" t="str">
        <f t="shared" si="152"/>
        <v/>
      </c>
      <c r="O278" s="304">
        <f t="shared" si="157"/>
        <v>0</v>
      </c>
      <c r="P278" s="306" t="str">
        <f t="shared" si="155"/>
        <v/>
      </c>
      <c r="Q278" s="307" t="str">
        <f t="shared" si="156"/>
        <v/>
      </c>
      <c r="R278" s="304" t="str">
        <f t="shared" si="135"/>
        <v/>
      </c>
      <c r="S278" s="304" t="str">
        <f t="shared" si="153"/>
        <v/>
      </c>
      <c r="T278" s="304" t="str">
        <f t="shared" si="136"/>
        <v/>
      </c>
      <c r="U278" s="304" t="str">
        <f t="shared" si="137"/>
        <v/>
      </c>
      <c r="V278" s="303" t="str">
        <f t="shared" si="158"/>
        <v/>
      </c>
      <c r="W278" s="304" t="str">
        <f t="shared" si="138"/>
        <v/>
      </c>
      <c r="X278" s="304" t="str">
        <f t="shared" si="145"/>
        <v/>
      </c>
      <c r="Y278" s="304" t="str">
        <f t="shared" si="139"/>
        <v/>
      </c>
      <c r="Z278" s="304" t="str">
        <f t="shared" si="129"/>
        <v/>
      </c>
      <c r="AA278" s="308" t="str">
        <f t="shared" si="140"/>
        <v/>
      </c>
      <c r="AB278" s="304" t="str">
        <f t="shared" si="150"/>
        <v/>
      </c>
      <c r="AC278" s="309"/>
      <c r="AD278" s="310" t="str">
        <f t="shared" si="141"/>
        <v/>
      </c>
      <c r="AE278" s="310" t="str">
        <f t="shared" si="141"/>
        <v/>
      </c>
      <c r="AF278" s="310" t="str">
        <f t="shared" si="142"/>
        <v/>
      </c>
      <c r="AG278" s="310" t="str">
        <f t="shared" si="143"/>
        <v/>
      </c>
      <c r="AH278" s="310" t="str">
        <f t="shared" si="146"/>
        <v/>
      </c>
      <c r="AI278" s="310" t="str">
        <f t="shared" si="147"/>
        <v/>
      </c>
      <c r="AJ278" s="311" t="str">
        <f t="shared" si="148"/>
        <v/>
      </c>
      <c r="AK278" s="311" t="str" cm="1">
        <f t="array" ref="AK278">IF(OR(E278="", H278=""), "",
  IFERROR(
     (
      INDEX($AM$3:$AM$22, MATCH(E278, $AL$3:$AL$22, 1)) +
      (E278 - INDEX($AL$3:$AL$22, MATCH(E278, $AL$3:$AL$22, 1))) *
      (INDEX($AM$3:$AM$22, MATCH(E278, $AL$3:$AL$22, 1)+1) - INDEX($AM$3:$AM$22, MATCH(E278, $AL$3:$AL$22, 1))) /
      (INDEX($AL$3:$AL$22, MATCH(E278, $AL$3:$AL$22, 1)+1) - INDEX($AL$3:$AL$22, MATCH(E278, $AL$3:$AL$22, 1)))
    ) - H278,
    ""
  )
)</f>
        <v/>
      </c>
      <c r="AL278" s="338"/>
      <c r="AM278" s="339"/>
      <c r="AN278" s="340"/>
    </row>
    <row r="279" spans="1:40" s="315" customFormat="1" ht="15" customHeight="1" x14ac:dyDescent="0.35">
      <c r="A279" s="316">
        <f t="shared" si="159"/>
        <v>3</v>
      </c>
      <c r="B279" s="317">
        <f t="shared" si="159"/>
        <v>19</v>
      </c>
      <c r="C279" s="318" t="str">
        <f t="shared" si="154"/>
        <v/>
      </c>
      <c r="D279" s="319"/>
      <c r="E279" s="320" t="str">
        <f t="shared" si="151"/>
        <v/>
      </c>
      <c r="F279" s="321"/>
      <c r="G279" s="321"/>
      <c r="H279" s="322" t="str">
        <f t="shared" si="131"/>
        <v/>
      </c>
      <c r="I279" s="323" t="str">
        <f t="shared" si="144"/>
        <v/>
      </c>
      <c r="J279" s="321" t="str">
        <f t="shared" si="133"/>
        <v/>
      </c>
      <c r="K279" s="323" t="str">
        <f t="shared" si="149"/>
        <v/>
      </c>
      <c r="L279" s="321"/>
      <c r="M279" s="333"/>
      <c r="N279" s="323" t="str">
        <f t="shared" si="152"/>
        <v/>
      </c>
      <c r="O279" s="323">
        <f t="shared" si="157"/>
        <v>0</v>
      </c>
      <c r="P279" s="324" t="str">
        <f t="shared" si="155"/>
        <v/>
      </c>
      <c r="Q279" s="325" t="str">
        <f t="shared" si="156"/>
        <v/>
      </c>
      <c r="R279" s="323" t="str">
        <f t="shared" si="135"/>
        <v/>
      </c>
      <c r="S279" s="323" t="str">
        <f t="shared" si="153"/>
        <v/>
      </c>
      <c r="T279" s="323" t="str">
        <f t="shared" si="136"/>
        <v/>
      </c>
      <c r="U279" s="323" t="str">
        <f t="shared" si="137"/>
        <v/>
      </c>
      <c r="V279" s="322" t="str">
        <f t="shared" si="158"/>
        <v/>
      </c>
      <c r="W279" s="323" t="str">
        <f t="shared" si="138"/>
        <v/>
      </c>
      <c r="X279" s="323" t="str">
        <f t="shared" si="145"/>
        <v/>
      </c>
      <c r="Y279" s="323" t="str">
        <f t="shared" si="139"/>
        <v/>
      </c>
      <c r="Z279" s="323" t="str">
        <f t="shared" si="129"/>
        <v/>
      </c>
      <c r="AA279" s="326" t="str">
        <f t="shared" si="140"/>
        <v/>
      </c>
      <c r="AB279" s="323" t="str">
        <f t="shared" si="150"/>
        <v/>
      </c>
      <c r="AC279" s="327"/>
      <c r="AD279" s="328" t="str">
        <f t="shared" si="141"/>
        <v/>
      </c>
      <c r="AE279" s="328" t="str">
        <f t="shared" si="141"/>
        <v/>
      </c>
      <c r="AF279" s="328" t="str">
        <f t="shared" si="142"/>
        <v/>
      </c>
      <c r="AG279" s="328" t="str">
        <f t="shared" si="143"/>
        <v/>
      </c>
      <c r="AH279" s="328" t="str">
        <f t="shared" si="146"/>
        <v/>
      </c>
      <c r="AI279" s="328" t="str">
        <f t="shared" si="147"/>
        <v/>
      </c>
      <c r="AJ279" s="329" t="str">
        <f t="shared" si="148"/>
        <v/>
      </c>
      <c r="AK279" s="329" t="str" cm="1">
        <f t="array" ref="AK279">IF(OR(E279="", H279=""), "",
  IFERROR(
     (
      INDEX($AM$3:$AM$22, MATCH(E279, $AL$3:$AL$22, 1)) +
      (E279 - INDEX($AL$3:$AL$22, MATCH(E279, $AL$3:$AL$22, 1))) *
      (INDEX($AM$3:$AM$22, MATCH(E279, $AL$3:$AL$22, 1)+1) - INDEX($AM$3:$AM$22, MATCH(E279, $AL$3:$AL$22, 1))) /
      (INDEX($AL$3:$AL$22, MATCH(E279, $AL$3:$AL$22, 1)+1) - INDEX($AL$3:$AL$22, MATCH(E279, $AL$3:$AL$22, 1)))
    ) - H279,
    ""
  )
)</f>
        <v/>
      </c>
      <c r="AL279" s="341"/>
      <c r="AM279" s="342"/>
      <c r="AN279" s="343"/>
    </row>
    <row r="280" spans="1:40" s="315" customFormat="1" ht="15" customHeight="1" x14ac:dyDescent="0.35">
      <c r="A280" s="297">
        <f t="shared" si="159"/>
        <v>3</v>
      </c>
      <c r="B280" s="298">
        <f t="shared" si="159"/>
        <v>19</v>
      </c>
      <c r="C280" s="299" t="str">
        <f t="shared" si="154"/>
        <v/>
      </c>
      <c r="D280" s="300"/>
      <c r="E280" s="301" t="str">
        <f t="shared" si="151"/>
        <v/>
      </c>
      <c r="F280" s="302"/>
      <c r="G280" s="302"/>
      <c r="H280" s="303" t="str">
        <f t="shared" si="131"/>
        <v/>
      </c>
      <c r="I280" s="304" t="str">
        <f t="shared" si="144"/>
        <v/>
      </c>
      <c r="J280" s="302" t="str">
        <f t="shared" si="133"/>
        <v/>
      </c>
      <c r="K280" s="304" t="str">
        <f t="shared" si="149"/>
        <v/>
      </c>
      <c r="L280" s="302"/>
      <c r="M280" s="305"/>
      <c r="N280" s="304" t="str">
        <f t="shared" si="152"/>
        <v/>
      </c>
      <c r="O280" s="304">
        <f t="shared" si="157"/>
        <v>0</v>
      </c>
      <c r="P280" s="306" t="str">
        <f t="shared" si="155"/>
        <v/>
      </c>
      <c r="Q280" s="307" t="str">
        <f t="shared" si="156"/>
        <v/>
      </c>
      <c r="R280" s="304" t="str">
        <f t="shared" si="135"/>
        <v/>
      </c>
      <c r="S280" s="304" t="str">
        <f t="shared" si="153"/>
        <v/>
      </c>
      <c r="T280" s="304" t="str">
        <f t="shared" si="136"/>
        <v/>
      </c>
      <c r="U280" s="304" t="str">
        <f t="shared" si="137"/>
        <v/>
      </c>
      <c r="V280" s="303" t="str">
        <f t="shared" si="158"/>
        <v/>
      </c>
      <c r="W280" s="304" t="str">
        <f t="shared" si="138"/>
        <v/>
      </c>
      <c r="X280" s="304" t="str">
        <f t="shared" si="145"/>
        <v/>
      </c>
      <c r="Y280" s="304" t="str">
        <f t="shared" si="139"/>
        <v/>
      </c>
      <c r="Z280" s="304" t="str">
        <f t="shared" si="129"/>
        <v/>
      </c>
      <c r="AA280" s="308" t="str">
        <f t="shared" si="140"/>
        <v/>
      </c>
      <c r="AB280" s="304" t="str">
        <f t="shared" si="150"/>
        <v/>
      </c>
      <c r="AC280" s="309"/>
      <c r="AD280" s="310" t="str">
        <f t="shared" si="141"/>
        <v/>
      </c>
      <c r="AE280" s="310" t="str">
        <f t="shared" si="141"/>
        <v/>
      </c>
      <c r="AF280" s="310" t="str">
        <f t="shared" si="142"/>
        <v/>
      </c>
      <c r="AG280" s="310" t="str">
        <f t="shared" si="143"/>
        <v/>
      </c>
      <c r="AH280" s="310" t="str">
        <f t="shared" si="146"/>
        <v/>
      </c>
      <c r="AI280" s="310" t="str">
        <f t="shared" si="147"/>
        <v/>
      </c>
      <c r="AJ280" s="311" t="str">
        <f t="shared" si="148"/>
        <v/>
      </c>
      <c r="AK280" s="311" t="str" cm="1">
        <f t="array" ref="AK280">IF(OR(E280="", H280=""), "",
  IFERROR(
     (
      INDEX($AM$3:$AM$22, MATCH(E280, $AL$3:$AL$22, 1)) +
      (E280 - INDEX($AL$3:$AL$22, MATCH(E280, $AL$3:$AL$22, 1))) *
      (INDEX($AM$3:$AM$22, MATCH(E280, $AL$3:$AL$22, 1)+1) - INDEX($AM$3:$AM$22, MATCH(E280, $AL$3:$AL$22, 1))) /
      (INDEX($AL$3:$AL$22, MATCH(E280, $AL$3:$AL$22, 1)+1) - INDEX($AL$3:$AL$22, MATCH(E280, $AL$3:$AL$22, 1)))
    ) - H280,
    ""
  )
)</f>
        <v/>
      </c>
      <c r="AL280" s="338"/>
      <c r="AM280" s="339"/>
      <c r="AN280" s="340"/>
    </row>
    <row r="281" spans="1:40" s="315" customFormat="1" ht="15" customHeight="1" x14ac:dyDescent="0.35">
      <c r="A281" s="316">
        <f t="shared" si="159"/>
        <v>3</v>
      </c>
      <c r="B281" s="317">
        <f t="shared" si="159"/>
        <v>19</v>
      </c>
      <c r="C281" s="318" t="str">
        <f t="shared" si="154"/>
        <v/>
      </c>
      <c r="D281" s="319"/>
      <c r="E281" s="320" t="str">
        <f t="shared" si="151"/>
        <v/>
      </c>
      <c r="F281" s="321"/>
      <c r="G281" s="321"/>
      <c r="H281" s="322" t="str">
        <f t="shared" si="131"/>
        <v/>
      </c>
      <c r="I281" s="323" t="str">
        <f t="shared" si="144"/>
        <v/>
      </c>
      <c r="J281" s="321" t="str">
        <f t="shared" si="133"/>
        <v/>
      </c>
      <c r="K281" s="323" t="str">
        <f t="shared" si="149"/>
        <v/>
      </c>
      <c r="L281" s="321"/>
      <c r="M281" s="333"/>
      <c r="N281" s="323" t="str">
        <f t="shared" si="152"/>
        <v/>
      </c>
      <c r="O281" s="323">
        <f t="shared" si="157"/>
        <v>0</v>
      </c>
      <c r="P281" s="324" t="str">
        <f t="shared" si="155"/>
        <v/>
      </c>
      <c r="Q281" s="325" t="str">
        <f t="shared" si="156"/>
        <v/>
      </c>
      <c r="R281" s="323" t="str">
        <f t="shared" si="135"/>
        <v/>
      </c>
      <c r="S281" s="323" t="str">
        <f t="shared" si="153"/>
        <v/>
      </c>
      <c r="T281" s="323" t="str">
        <f t="shared" si="136"/>
        <v/>
      </c>
      <c r="U281" s="323" t="str">
        <f t="shared" si="137"/>
        <v/>
      </c>
      <c r="V281" s="322" t="str">
        <f t="shared" si="158"/>
        <v/>
      </c>
      <c r="W281" s="323" t="str">
        <f t="shared" si="138"/>
        <v/>
      </c>
      <c r="X281" s="323" t="str">
        <f t="shared" si="145"/>
        <v/>
      </c>
      <c r="Y281" s="323" t="str">
        <f t="shared" si="139"/>
        <v/>
      </c>
      <c r="Z281" s="323" t="str">
        <f t="shared" si="129"/>
        <v/>
      </c>
      <c r="AA281" s="326" t="str">
        <f t="shared" si="140"/>
        <v/>
      </c>
      <c r="AB281" s="323" t="str">
        <f t="shared" si="150"/>
        <v/>
      </c>
      <c r="AC281" s="327"/>
      <c r="AD281" s="328" t="str">
        <f t="shared" si="141"/>
        <v/>
      </c>
      <c r="AE281" s="328" t="str">
        <f t="shared" si="141"/>
        <v/>
      </c>
      <c r="AF281" s="328" t="str">
        <f t="shared" si="142"/>
        <v/>
      </c>
      <c r="AG281" s="328" t="str">
        <f t="shared" si="143"/>
        <v/>
      </c>
      <c r="AH281" s="328" t="str">
        <f t="shared" si="146"/>
        <v/>
      </c>
      <c r="AI281" s="328" t="str">
        <f t="shared" si="147"/>
        <v/>
      </c>
      <c r="AJ281" s="329" t="str">
        <f t="shared" si="148"/>
        <v/>
      </c>
      <c r="AK281" s="329" t="str" cm="1">
        <f t="array" ref="AK281">IF(OR(E281="", H281=""), "",
  IFERROR(
     (
      INDEX($AM$3:$AM$22, MATCH(E281, $AL$3:$AL$22, 1)) +
      (E281 - INDEX($AL$3:$AL$22, MATCH(E281, $AL$3:$AL$22, 1))) *
      (INDEX($AM$3:$AM$22, MATCH(E281, $AL$3:$AL$22, 1)+1) - INDEX($AM$3:$AM$22, MATCH(E281, $AL$3:$AL$22, 1))) /
      (INDEX($AL$3:$AL$22, MATCH(E281, $AL$3:$AL$22, 1)+1) - INDEX($AL$3:$AL$22, MATCH(E281, $AL$3:$AL$22, 1)))
    ) - H281,
    ""
  )
)</f>
        <v/>
      </c>
      <c r="AL281" s="341"/>
      <c r="AM281" s="342"/>
      <c r="AN281" s="343"/>
    </row>
    <row r="282" spans="1:40" s="315" customFormat="1" ht="15" customHeight="1" x14ac:dyDescent="0.35">
      <c r="A282" s="297">
        <f t="shared" si="159"/>
        <v>3</v>
      </c>
      <c r="B282" s="298">
        <f t="shared" si="159"/>
        <v>19</v>
      </c>
      <c r="C282" s="299" t="str">
        <f t="shared" si="154"/>
        <v/>
      </c>
      <c r="D282" s="300"/>
      <c r="E282" s="301" t="str">
        <f t="shared" si="151"/>
        <v/>
      </c>
      <c r="F282" s="302"/>
      <c r="G282" s="302"/>
      <c r="H282" s="303" t="str">
        <f t="shared" si="131"/>
        <v/>
      </c>
      <c r="I282" s="304" t="str">
        <f t="shared" si="144"/>
        <v/>
      </c>
      <c r="J282" s="302" t="str">
        <f t="shared" si="133"/>
        <v/>
      </c>
      <c r="K282" s="304" t="str">
        <f t="shared" si="149"/>
        <v/>
      </c>
      <c r="L282" s="302"/>
      <c r="M282" s="305"/>
      <c r="N282" s="304" t="str">
        <f t="shared" si="152"/>
        <v/>
      </c>
      <c r="O282" s="304">
        <f t="shared" si="157"/>
        <v>0</v>
      </c>
      <c r="P282" s="306" t="str">
        <f t="shared" si="155"/>
        <v/>
      </c>
      <c r="Q282" s="307" t="str">
        <f t="shared" si="156"/>
        <v/>
      </c>
      <c r="R282" s="304" t="str">
        <f t="shared" si="135"/>
        <v/>
      </c>
      <c r="S282" s="304" t="str">
        <f t="shared" si="153"/>
        <v/>
      </c>
      <c r="T282" s="304" t="str">
        <f t="shared" si="136"/>
        <v/>
      </c>
      <c r="U282" s="304" t="str">
        <f t="shared" si="137"/>
        <v/>
      </c>
      <c r="V282" s="303" t="str">
        <f t="shared" si="158"/>
        <v/>
      </c>
      <c r="W282" s="304" t="str">
        <f t="shared" si="138"/>
        <v/>
      </c>
      <c r="X282" s="304" t="str">
        <f t="shared" si="145"/>
        <v/>
      </c>
      <c r="Y282" s="304" t="str">
        <f t="shared" si="139"/>
        <v/>
      </c>
      <c r="Z282" s="304" t="str">
        <f t="shared" si="129"/>
        <v/>
      </c>
      <c r="AA282" s="308" t="str">
        <f t="shared" si="140"/>
        <v/>
      </c>
      <c r="AB282" s="304" t="str">
        <f t="shared" si="150"/>
        <v/>
      </c>
      <c r="AC282" s="309"/>
      <c r="AD282" s="310" t="str">
        <f t="shared" si="141"/>
        <v/>
      </c>
      <c r="AE282" s="310" t="str">
        <f t="shared" si="141"/>
        <v/>
      </c>
      <c r="AF282" s="310" t="str">
        <f t="shared" si="142"/>
        <v/>
      </c>
      <c r="AG282" s="310" t="str">
        <f t="shared" si="143"/>
        <v/>
      </c>
      <c r="AH282" s="310" t="str">
        <f t="shared" si="146"/>
        <v/>
      </c>
      <c r="AI282" s="310" t="str">
        <f t="shared" si="147"/>
        <v/>
      </c>
      <c r="AJ282" s="311" t="str">
        <f t="shared" si="148"/>
        <v/>
      </c>
      <c r="AK282" s="311" t="str" cm="1">
        <f t="array" ref="AK282">IF(OR(E282="", H282=""), "",
  IFERROR(
     (
      INDEX($AM$3:$AM$22, MATCH(E282, $AL$3:$AL$22, 1)) +
      (E282 - INDEX($AL$3:$AL$22, MATCH(E282, $AL$3:$AL$22, 1))) *
      (INDEX($AM$3:$AM$22, MATCH(E282, $AL$3:$AL$22, 1)+1) - INDEX($AM$3:$AM$22, MATCH(E282, $AL$3:$AL$22, 1))) /
      (INDEX($AL$3:$AL$22, MATCH(E282, $AL$3:$AL$22, 1)+1) - INDEX($AL$3:$AL$22, MATCH(E282, $AL$3:$AL$22, 1)))
    ) - H282,
    ""
  )
)</f>
        <v/>
      </c>
      <c r="AL282" s="338"/>
      <c r="AM282" s="339"/>
      <c r="AN282" s="340"/>
    </row>
    <row r="283" spans="1:40" s="315" customFormat="1" ht="15" customHeight="1" x14ac:dyDescent="0.35">
      <c r="A283" s="316">
        <f t="shared" si="159"/>
        <v>3</v>
      </c>
      <c r="B283" s="317">
        <f t="shared" si="159"/>
        <v>19</v>
      </c>
      <c r="C283" s="318" t="str">
        <f t="shared" si="154"/>
        <v/>
      </c>
      <c r="D283" s="319"/>
      <c r="E283" s="320" t="str">
        <f t="shared" si="151"/>
        <v/>
      </c>
      <c r="F283" s="321"/>
      <c r="G283" s="321"/>
      <c r="H283" s="322" t="str">
        <f t="shared" si="131"/>
        <v/>
      </c>
      <c r="I283" s="323" t="str">
        <f t="shared" si="144"/>
        <v/>
      </c>
      <c r="J283" s="321" t="str">
        <f t="shared" si="133"/>
        <v/>
      </c>
      <c r="K283" s="323" t="str">
        <f t="shared" si="149"/>
        <v/>
      </c>
      <c r="L283" s="321"/>
      <c r="M283" s="333"/>
      <c r="N283" s="323" t="str">
        <f t="shared" si="152"/>
        <v/>
      </c>
      <c r="O283" s="323">
        <f t="shared" si="157"/>
        <v>0</v>
      </c>
      <c r="P283" s="324" t="str">
        <f t="shared" si="155"/>
        <v/>
      </c>
      <c r="Q283" s="325" t="str">
        <f t="shared" si="156"/>
        <v/>
      </c>
      <c r="R283" s="323" t="str">
        <f t="shared" si="135"/>
        <v/>
      </c>
      <c r="S283" s="323" t="str">
        <f t="shared" si="153"/>
        <v/>
      </c>
      <c r="T283" s="323" t="str">
        <f t="shared" si="136"/>
        <v/>
      </c>
      <c r="U283" s="323" t="str">
        <f t="shared" si="137"/>
        <v/>
      </c>
      <c r="V283" s="322" t="str">
        <f t="shared" si="158"/>
        <v/>
      </c>
      <c r="W283" s="323" t="str">
        <f t="shared" si="138"/>
        <v/>
      </c>
      <c r="X283" s="323" t="str">
        <f t="shared" si="145"/>
        <v/>
      </c>
      <c r="Y283" s="323" t="str">
        <f t="shared" si="139"/>
        <v/>
      </c>
      <c r="Z283" s="323" t="str">
        <f t="shared" si="129"/>
        <v/>
      </c>
      <c r="AA283" s="326" t="str">
        <f t="shared" si="140"/>
        <v/>
      </c>
      <c r="AB283" s="323" t="str">
        <f t="shared" si="150"/>
        <v/>
      </c>
      <c r="AC283" s="327"/>
      <c r="AD283" s="328" t="str">
        <f t="shared" si="141"/>
        <v/>
      </c>
      <c r="AE283" s="328" t="str">
        <f t="shared" si="141"/>
        <v/>
      </c>
      <c r="AF283" s="328" t="str">
        <f t="shared" si="142"/>
        <v/>
      </c>
      <c r="AG283" s="328" t="str">
        <f t="shared" si="143"/>
        <v/>
      </c>
      <c r="AH283" s="328" t="str">
        <f t="shared" si="146"/>
        <v/>
      </c>
      <c r="AI283" s="328" t="str">
        <f t="shared" si="147"/>
        <v/>
      </c>
      <c r="AJ283" s="329" t="str">
        <f t="shared" si="148"/>
        <v/>
      </c>
      <c r="AK283" s="329" t="str" cm="1">
        <f t="array" ref="AK283">IF(OR(E283="", H283=""), "",
  IFERROR(
     (
      INDEX($AM$3:$AM$22, MATCH(E283, $AL$3:$AL$22, 1)) +
      (E283 - INDEX($AL$3:$AL$22, MATCH(E283, $AL$3:$AL$22, 1))) *
      (INDEX($AM$3:$AM$22, MATCH(E283, $AL$3:$AL$22, 1)+1) - INDEX($AM$3:$AM$22, MATCH(E283, $AL$3:$AL$22, 1))) /
      (INDEX($AL$3:$AL$22, MATCH(E283, $AL$3:$AL$22, 1)+1) - INDEX($AL$3:$AL$22, MATCH(E283, $AL$3:$AL$22, 1)))
    ) - H283,
    ""
  )
)</f>
        <v/>
      </c>
      <c r="AL283" s="341"/>
      <c r="AM283" s="342"/>
      <c r="AN283" s="343"/>
    </row>
    <row r="284" spans="1:40" s="315" customFormat="1" ht="15" customHeight="1" x14ac:dyDescent="0.35">
      <c r="A284" s="297">
        <f t="shared" si="159"/>
        <v>3</v>
      </c>
      <c r="B284" s="298">
        <f t="shared" si="159"/>
        <v>19</v>
      </c>
      <c r="C284" s="299" t="str">
        <f t="shared" si="154"/>
        <v/>
      </c>
      <c r="D284" s="300"/>
      <c r="E284" s="301" t="str">
        <f t="shared" si="151"/>
        <v/>
      </c>
      <c r="F284" s="302"/>
      <c r="G284" s="302"/>
      <c r="H284" s="303" t="str">
        <f t="shared" si="131"/>
        <v/>
      </c>
      <c r="I284" s="304" t="str">
        <f t="shared" si="144"/>
        <v/>
      </c>
      <c r="J284" s="302" t="str">
        <f t="shared" si="133"/>
        <v/>
      </c>
      <c r="K284" s="304" t="str">
        <f t="shared" si="149"/>
        <v/>
      </c>
      <c r="L284" s="302"/>
      <c r="M284" s="305"/>
      <c r="N284" s="304" t="str">
        <f t="shared" si="152"/>
        <v/>
      </c>
      <c r="O284" s="304">
        <f t="shared" si="157"/>
        <v>0</v>
      </c>
      <c r="P284" s="306" t="str">
        <f t="shared" si="155"/>
        <v/>
      </c>
      <c r="Q284" s="307" t="str">
        <f t="shared" si="156"/>
        <v/>
      </c>
      <c r="R284" s="304" t="str">
        <f t="shared" si="135"/>
        <v/>
      </c>
      <c r="S284" s="304" t="str">
        <f t="shared" si="153"/>
        <v/>
      </c>
      <c r="T284" s="304" t="str">
        <f t="shared" si="136"/>
        <v/>
      </c>
      <c r="U284" s="304" t="str">
        <f t="shared" si="137"/>
        <v/>
      </c>
      <c r="V284" s="303" t="str">
        <f t="shared" si="158"/>
        <v/>
      </c>
      <c r="W284" s="304" t="str">
        <f t="shared" si="138"/>
        <v/>
      </c>
      <c r="X284" s="304" t="str">
        <f t="shared" si="145"/>
        <v/>
      </c>
      <c r="Y284" s="304" t="str">
        <f t="shared" si="139"/>
        <v/>
      </c>
      <c r="Z284" s="304" t="str">
        <f t="shared" si="129"/>
        <v/>
      </c>
      <c r="AA284" s="308" t="str">
        <f t="shared" si="140"/>
        <v/>
      </c>
      <c r="AB284" s="304" t="str">
        <f t="shared" si="150"/>
        <v/>
      </c>
      <c r="AC284" s="309"/>
      <c r="AD284" s="310" t="str">
        <f t="shared" si="141"/>
        <v/>
      </c>
      <c r="AE284" s="310" t="str">
        <f t="shared" si="141"/>
        <v/>
      </c>
      <c r="AF284" s="310" t="str">
        <f t="shared" si="142"/>
        <v/>
      </c>
      <c r="AG284" s="310" t="str">
        <f t="shared" si="143"/>
        <v/>
      </c>
      <c r="AH284" s="310" t="str">
        <f t="shared" si="146"/>
        <v/>
      </c>
      <c r="AI284" s="310" t="str">
        <f t="shared" si="147"/>
        <v/>
      </c>
      <c r="AJ284" s="311" t="str">
        <f t="shared" si="148"/>
        <v/>
      </c>
      <c r="AK284" s="311" t="str" cm="1">
        <f t="array" ref="AK284">IF(OR(E284="", H284=""), "",
  IFERROR(
     (
      INDEX($AM$3:$AM$22, MATCH(E284, $AL$3:$AL$22, 1)) +
      (E284 - INDEX($AL$3:$AL$22, MATCH(E284, $AL$3:$AL$22, 1))) *
      (INDEX($AM$3:$AM$22, MATCH(E284, $AL$3:$AL$22, 1)+1) - INDEX($AM$3:$AM$22, MATCH(E284, $AL$3:$AL$22, 1))) /
      (INDEX($AL$3:$AL$22, MATCH(E284, $AL$3:$AL$22, 1)+1) - INDEX($AL$3:$AL$22, MATCH(E284, $AL$3:$AL$22, 1)))
    ) - H284,
    ""
  )
)</f>
        <v/>
      </c>
      <c r="AL284" s="338"/>
      <c r="AM284" s="339"/>
      <c r="AN284" s="340"/>
    </row>
    <row r="285" spans="1:40" s="315" customFormat="1" ht="15" customHeight="1" x14ac:dyDescent="0.35">
      <c r="A285" s="316">
        <f t="shared" si="159"/>
        <v>3</v>
      </c>
      <c r="B285" s="317">
        <f t="shared" si="159"/>
        <v>19</v>
      </c>
      <c r="C285" s="318" t="str">
        <f t="shared" si="154"/>
        <v/>
      </c>
      <c r="D285" s="319"/>
      <c r="E285" s="320" t="str">
        <f t="shared" si="151"/>
        <v/>
      </c>
      <c r="F285" s="321"/>
      <c r="G285" s="321"/>
      <c r="H285" s="322" t="str">
        <f t="shared" si="131"/>
        <v/>
      </c>
      <c r="I285" s="323" t="str">
        <f t="shared" si="144"/>
        <v/>
      </c>
      <c r="J285" s="321" t="str">
        <f t="shared" si="133"/>
        <v/>
      </c>
      <c r="K285" s="323" t="str">
        <f t="shared" si="149"/>
        <v/>
      </c>
      <c r="L285" s="321"/>
      <c r="M285" s="333"/>
      <c r="N285" s="323" t="str">
        <f t="shared" si="152"/>
        <v/>
      </c>
      <c r="O285" s="323">
        <f t="shared" si="157"/>
        <v>0</v>
      </c>
      <c r="P285" s="324" t="str">
        <f t="shared" si="155"/>
        <v/>
      </c>
      <c r="Q285" s="325" t="str">
        <f t="shared" si="156"/>
        <v/>
      </c>
      <c r="R285" s="323" t="str">
        <f t="shared" si="135"/>
        <v/>
      </c>
      <c r="S285" s="323" t="str">
        <f t="shared" si="153"/>
        <v/>
      </c>
      <c r="T285" s="323" t="str">
        <f t="shared" si="136"/>
        <v/>
      </c>
      <c r="U285" s="323" t="str">
        <f t="shared" si="137"/>
        <v/>
      </c>
      <c r="V285" s="322" t="str">
        <f t="shared" si="158"/>
        <v/>
      </c>
      <c r="W285" s="323" t="str">
        <f t="shared" si="138"/>
        <v/>
      </c>
      <c r="X285" s="323" t="str">
        <f t="shared" si="145"/>
        <v/>
      </c>
      <c r="Y285" s="323" t="str">
        <f t="shared" si="139"/>
        <v/>
      </c>
      <c r="Z285" s="323" t="str">
        <f t="shared" ref="Z285:Z348" si="160">IF(V285="","",IF(N285="",I285,AI285/N285*I285))</f>
        <v/>
      </c>
      <c r="AA285" s="326" t="str">
        <f t="shared" si="140"/>
        <v/>
      </c>
      <c r="AB285" s="323" t="str">
        <f t="shared" si="150"/>
        <v/>
      </c>
      <c r="AC285" s="327"/>
      <c r="AD285" s="328" t="str">
        <f t="shared" si="141"/>
        <v/>
      </c>
      <c r="AE285" s="328" t="str">
        <f t="shared" si="141"/>
        <v/>
      </c>
      <c r="AF285" s="328" t="str">
        <f t="shared" si="142"/>
        <v/>
      </c>
      <c r="AG285" s="328" t="str">
        <f t="shared" si="143"/>
        <v/>
      </c>
      <c r="AH285" s="328" t="str">
        <f t="shared" si="146"/>
        <v/>
      </c>
      <c r="AI285" s="328" t="str">
        <f t="shared" si="147"/>
        <v/>
      </c>
      <c r="AJ285" s="329" t="str">
        <f t="shared" si="148"/>
        <v/>
      </c>
      <c r="AK285" s="329" t="str" cm="1">
        <f t="array" ref="AK285">IF(OR(E285="", H285=""), "",
  IFERROR(
     (
      INDEX($AM$3:$AM$22, MATCH(E285, $AL$3:$AL$22, 1)) +
      (E285 - INDEX($AL$3:$AL$22, MATCH(E285, $AL$3:$AL$22, 1))) *
      (INDEX($AM$3:$AM$22, MATCH(E285, $AL$3:$AL$22, 1)+1) - INDEX($AM$3:$AM$22, MATCH(E285, $AL$3:$AL$22, 1))) /
      (INDEX($AL$3:$AL$22, MATCH(E285, $AL$3:$AL$22, 1)+1) - INDEX($AL$3:$AL$22, MATCH(E285, $AL$3:$AL$22, 1)))
    ) - H285,
    ""
  )
)</f>
        <v/>
      </c>
      <c r="AL285" s="341"/>
      <c r="AM285" s="342"/>
      <c r="AN285" s="343"/>
    </row>
    <row r="286" spans="1:40" s="315" customFormat="1" ht="15" customHeight="1" x14ac:dyDescent="0.35">
      <c r="A286" s="297">
        <f t="shared" si="159"/>
        <v>3</v>
      </c>
      <c r="B286" s="298">
        <f t="shared" si="159"/>
        <v>19</v>
      </c>
      <c r="C286" s="299" t="str">
        <f t="shared" si="154"/>
        <v/>
      </c>
      <c r="D286" s="300"/>
      <c r="E286" s="301" t="str">
        <f t="shared" si="151"/>
        <v/>
      </c>
      <c r="F286" s="302"/>
      <c r="G286" s="302"/>
      <c r="H286" s="303" t="str">
        <f t="shared" si="131"/>
        <v/>
      </c>
      <c r="I286" s="304" t="str">
        <f t="shared" si="144"/>
        <v/>
      </c>
      <c r="J286" s="302" t="str">
        <f t="shared" si="133"/>
        <v/>
      </c>
      <c r="K286" s="304" t="str">
        <f t="shared" si="149"/>
        <v/>
      </c>
      <c r="L286" s="302"/>
      <c r="M286" s="305"/>
      <c r="N286" s="304" t="str">
        <f t="shared" si="152"/>
        <v/>
      </c>
      <c r="O286" s="304">
        <f t="shared" si="157"/>
        <v>0</v>
      </c>
      <c r="P286" s="306" t="str">
        <f t="shared" si="155"/>
        <v/>
      </c>
      <c r="Q286" s="307" t="str">
        <f t="shared" si="156"/>
        <v/>
      </c>
      <c r="R286" s="304" t="str">
        <f t="shared" si="135"/>
        <v/>
      </c>
      <c r="S286" s="304" t="str">
        <f t="shared" si="153"/>
        <v/>
      </c>
      <c r="T286" s="304" t="str">
        <f t="shared" si="136"/>
        <v/>
      </c>
      <c r="U286" s="304" t="str">
        <f t="shared" si="137"/>
        <v/>
      </c>
      <c r="V286" s="303" t="str">
        <f t="shared" si="158"/>
        <v/>
      </c>
      <c r="W286" s="304" t="str">
        <f t="shared" si="138"/>
        <v/>
      </c>
      <c r="X286" s="304" t="str">
        <f t="shared" si="145"/>
        <v/>
      </c>
      <c r="Y286" s="304" t="str">
        <f t="shared" si="139"/>
        <v/>
      </c>
      <c r="Z286" s="304" t="str">
        <f t="shared" si="160"/>
        <v/>
      </c>
      <c r="AA286" s="308" t="str">
        <f t="shared" si="140"/>
        <v/>
      </c>
      <c r="AB286" s="304" t="str">
        <f t="shared" si="150"/>
        <v/>
      </c>
      <c r="AC286" s="309"/>
      <c r="AD286" s="310" t="str">
        <f t="shared" si="141"/>
        <v/>
      </c>
      <c r="AE286" s="310" t="str">
        <f t="shared" si="141"/>
        <v/>
      </c>
      <c r="AF286" s="310" t="str">
        <f t="shared" si="142"/>
        <v/>
      </c>
      <c r="AG286" s="310" t="str">
        <f t="shared" si="143"/>
        <v/>
      </c>
      <c r="AH286" s="310" t="str">
        <f t="shared" si="146"/>
        <v/>
      </c>
      <c r="AI286" s="310" t="str">
        <f t="shared" si="147"/>
        <v/>
      </c>
      <c r="AJ286" s="311" t="str">
        <f t="shared" si="148"/>
        <v/>
      </c>
      <c r="AK286" s="311" t="str" cm="1">
        <f t="array" ref="AK286">IF(OR(E286="", H286=""), "",
  IFERROR(
     (
      INDEX($AM$3:$AM$22, MATCH(E286, $AL$3:$AL$22, 1)) +
      (E286 - INDEX($AL$3:$AL$22, MATCH(E286, $AL$3:$AL$22, 1))) *
      (INDEX($AM$3:$AM$22, MATCH(E286, $AL$3:$AL$22, 1)+1) - INDEX($AM$3:$AM$22, MATCH(E286, $AL$3:$AL$22, 1))) /
      (INDEX($AL$3:$AL$22, MATCH(E286, $AL$3:$AL$22, 1)+1) - INDEX($AL$3:$AL$22, MATCH(E286, $AL$3:$AL$22, 1)))
    ) - H286,
    ""
  )
)</f>
        <v/>
      </c>
      <c r="AL286" s="338"/>
      <c r="AM286" s="339"/>
      <c r="AN286" s="340"/>
    </row>
    <row r="287" spans="1:40" s="315" customFormat="1" ht="15" customHeight="1" x14ac:dyDescent="0.35">
      <c r="A287" s="316">
        <f t="shared" si="159"/>
        <v>3</v>
      </c>
      <c r="B287" s="317">
        <f t="shared" si="159"/>
        <v>19</v>
      </c>
      <c r="C287" s="318" t="str">
        <f t="shared" si="154"/>
        <v/>
      </c>
      <c r="D287" s="319"/>
      <c r="E287" s="320" t="str">
        <f t="shared" si="151"/>
        <v/>
      </c>
      <c r="F287" s="321"/>
      <c r="G287" s="321"/>
      <c r="H287" s="322" t="str">
        <f t="shared" si="131"/>
        <v/>
      </c>
      <c r="I287" s="323" t="str">
        <f t="shared" si="144"/>
        <v/>
      </c>
      <c r="J287" s="321" t="str">
        <f t="shared" si="133"/>
        <v/>
      </c>
      <c r="K287" s="323" t="str">
        <f t="shared" si="149"/>
        <v/>
      </c>
      <c r="L287" s="321"/>
      <c r="M287" s="333"/>
      <c r="N287" s="323" t="str">
        <f t="shared" si="152"/>
        <v/>
      </c>
      <c r="O287" s="323">
        <f t="shared" si="157"/>
        <v>0</v>
      </c>
      <c r="P287" s="324" t="str">
        <f t="shared" si="155"/>
        <v/>
      </c>
      <c r="Q287" s="325" t="str">
        <f t="shared" si="156"/>
        <v/>
      </c>
      <c r="R287" s="323" t="str">
        <f t="shared" si="135"/>
        <v/>
      </c>
      <c r="S287" s="323" t="str">
        <f t="shared" si="153"/>
        <v/>
      </c>
      <c r="T287" s="323" t="str">
        <f t="shared" si="136"/>
        <v/>
      </c>
      <c r="U287" s="323" t="str">
        <f t="shared" si="137"/>
        <v/>
      </c>
      <c r="V287" s="322" t="str">
        <f t="shared" si="158"/>
        <v/>
      </c>
      <c r="W287" s="323" t="str">
        <f t="shared" si="138"/>
        <v/>
      </c>
      <c r="X287" s="323" t="str">
        <f t="shared" si="145"/>
        <v/>
      </c>
      <c r="Y287" s="323" t="str">
        <f t="shared" si="139"/>
        <v/>
      </c>
      <c r="Z287" s="323" t="str">
        <f t="shared" si="160"/>
        <v/>
      </c>
      <c r="AA287" s="326" t="str">
        <f t="shared" si="140"/>
        <v/>
      </c>
      <c r="AB287" s="323" t="str">
        <f t="shared" si="150"/>
        <v/>
      </c>
      <c r="AC287" s="327"/>
      <c r="AD287" s="328" t="str">
        <f t="shared" si="141"/>
        <v/>
      </c>
      <c r="AE287" s="328" t="str">
        <f t="shared" si="141"/>
        <v/>
      </c>
      <c r="AF287" s="328" t="str">
        <f t="shared" si="142"/>
        <v/>
      </c>
      <c r="AG287" s="328" t="str">
        <f t="shared" si="143"/>
        <v/>
      </c>
      <c r="AH287" s="328" t="str">
        <f t="shared" si="146"/>
        <v/>
      </c>
      <c r="AI287" s="328" t="str">
        <f t="shared" si="147"/>
        <v/>
      </c>
      <c r="AJ287" s="329" t="str">
        <f t="shared" si="148"/>
        <v/>
      </c>
      <c r="AK287" s="329" t="str" cm="1">
        <f t="array" ref="AK287">IF(OR(E287="", H287=""), "",
  IFERROR(
     (
      INDEX($AM$3:$AM$22, MATCH(E287, $AL$3:$AL$22, 1)) +
      (E287 - INDEX($AL$3:$AL$22, MATCH(E287, $AL$3:$AL$22, 1))) *
      (INDEX($AM$3:$AM$22, MATCH(E287, $AL$3:$AL$22, 1)+1) - INDEX($AM$3:$AM$22, MATCH(E287, $AL$3:$AL$22, 1))) /
      (INDEX($AL$3:$AL$22, MATCH(E287, $AL$3:$AL$22, 1)+1) - INDEX($AL$3:$AL$22, MATCH(E287, $AL$3:$AL$22, 1)))
    ) - H287,
    ""
  )
)</f>
        <v/>
      </c>
      <c r="AL287" s="341"/>
      <c r="AM287" s="342"/>
      <c r="AN287" s="343"/>
    </row>
    <row r="288" spans="1:40" s="315" customFormat="1" ht="15" customHeight="1" x14ac:dyDescent="0.35">
      <c r="A288" s="297">
        <f t="shared" si="159"/>
        <v>3</v>
      </c>
      <c r="B288" s="298">
        <f t="shared" si="159"/>
        <v>19</v>
      </c>
      <c r="C288" s="299" t="str">
        <f t="shared" si="154"/>
        <v/>
      </c>
      <c r="D288" s="300"/>
      <c r="E288" s="301" t="str">
        <f t="shared" si="151"/>
        <v/>
      </c>
      <c r="F288" s="302"/>
      <c r="G288" s="302"/>
      <c r="H288" s="303" t="str">
        <f t="shared" si="131"/>
        <v/>
      </c>
      <c r="I288" s="304" t="str">
        <f t="shared" si="144"/>
        <v/>
      </c>
      <c r="J288" s="302" t="str">
        <f t="shared" si="133"/>
        <v/>
      </c>
      <c r="K288" s="304" t="str">
        <f t="shared" si="149"/>
        <v/>
      </c>
      <c r="L288" s="302"/>
      <c r="M288" s="305"/>
      <c r="N288" s="304" t="str">
        <f t="shared" si="152"/>
        <v/>
      </c>
      <c r="O288" s="304">
        <f t="shared" si="157"/>
        <v>0</v>
      </c>
      <c r="P288" s="306" t="str">
        <f t="shared" si="155"/>
        <v/>
      </c>
      <c r="Q288" s="307" t="str">
        <f t="shared" si="156"/>
        <v/>
      </c>
      <c r="R288" s="304" t="str">
        <f t="shared" si="135"/>
        <v/>
      </c>
      <c r="S288" s="304" t="str">
        <f t="shared" si="153"/>
        <v/>
      </c>
      <c r="T288" s="304" t="str">
        <f t="shared" si="136"/>
        <v/>
      </c>
      <c r="U288" s="304" t="str">
        <f t="shared" si="137"/>
        <v/>
      </c>
      <c r="V288" s="303" t="str">
        <f t="shared" si="158"/>
        <v/>
      </c>
      <c r="W288" s="304" t="str">
        <f t="shared" si="138"/>
        <v/>
      </c>
      <c r="X288" s="304" t="str">
        <f t="shared" si="145"/>
        <v/>
      </c>
      <c r="Y288" s="304" t="str">
        <f t="shared" si="139"/>
        <v/>
      </c>
      <c r="Z288" s="304" t="str">
        <f t="shared" si="160"/>
        <v/>
      </c>
      <c r="AA288" s="308" t="str">
        <f t="shared" si="140"/>
        <v/>
      </c>
      <c r="AB288" s="304" t="str">
        <f t="shared" si="150"/>
        <v/>
      </c>
      <c r="AC288" s="309"/>
      <c r="AD288" s="310" t="str">
        <f t="shared" si="141"/>
        <v/>
      </c>
      <c r="AE288" s="310" t="str">
        <f t="shared" si="141"/>
        <v/>
      </c>
      <c r="AF288" s="310" t="str">
        <f t="shared" si="142"/>
        <v/>
      </c>
      <c r="AG288" s="310" t="str">
        <f t="shared" si="143"/>
        <v/>
      </c>
      <c r="AH288" s="310" t="str">
        <f t="shared" si="146"/>
        <v/>
      </c>
      <c r="AI288" s="310" t="str">
        <f t="shared" si="147"/>
        <v/>
      </c>
      <c r="AJ288" s="311" t="str">
        <f t="shared" si="148"/>
        <v/>
      </c>
      <c r="AK288" s="311" t="str" cm="1">
        <f t="array" ref="AK288">IF(OR(E288="", H288=""), "",
  IFERROR(
     (
      INDEX($AM$3:$AM$22, MATCH(E288, $AL$3:$AL$22, 1)) +
      (E288 - INDEX($AL$3:$AL$22, MATCH(E288, $AL$3:$AL$22, 1))) *
      (INDEX($AM$3:$AM$22, MATCH(E288, $AL$3:$AL$22, 1)+1) - INDEX($AM$3:$AM$22, MATCH(E288, $AL$3:$AL$22, 1))) /
      (INDEX($AL$3:$AL$22, MATCH(E288, $AL$3:$AL$22, 1)+1) - INDEX($AL$3:$AL$22, MATCH(E288, $AL$3:$AL$22, 1)))
    ) - H288,
    ""
  )
)</f>
        <v/>
      </c>
      <c r="AL288" s="338"/>
      <c r="AM288" s="339"/>
      <c r="AN288" s="340"/>
    </row>
    <row r="289" spans="1:40" s="315" customFormat="1" ht="15" customHeight="1" x14ac:dyDescent="0.35">
      <c r="A289" s="316">
        <f t="shared" ref="A289:B294" si="161">+A288</f>
        <v>3</v>
      </c>
      <c r="B289" s="317">
        <f t="shared" si="161"/>
        <v>19</v>
      </c>
      <c r="C289" s="318" t="str">
        <f t="shared" si="154"/>
        <v/>
      </c>
      <c r="D289" s="319"/>
      <c r="E289" s="320" t="str">
        <f t="shared" si="151"/>
        <v/>
      </c>
      <c r="F289" s="321"/>
      <c r="G289" s="321"/>
      <c r="H289" s="322" t="str">
        <f t="shared" si="131"/>
        <v/>
      </c>
      <c r="I289" s="323" t="str">
        <f t="shared" si="144"/>
        <v/>
      </c>
      <c r="J289" s="321" t="str">
        <f t="shared" si="133"/>
        <v/>
      </c>
      <c r="K289" s="323" t="str">
        <f t="shared" si="149"/>
        <v/>
      </c>
      <c r="L289" s="321"/>
      <c r="M289" s="333"/>
      <c r="N289" s="323" t="str">
        <f t="shared" si="152"/>
        <v/>
      </c>
      <c r="O289" s="323">
        <f t="shared" si="157"/>
        <v>0</v>
      </c>
      <c r="P289" s="324" t="str">
        <f t="shared" si="155"/>
        <v/>
      </c>
      <c r="Q289" s="325" t="str">
        <f t="shared" si="156"/>
        <v/>
      </c>
      <c r="R289" s="323" t="str">
        <f t="shared" si="135"/>
        <v/>
      </c>
      <c r="S289" s="323" t="str">
        <f t="shared" si="153"/>
        <v/>
      </c>
      <c r="T289" s="323" t="str">
        <f t="shared" si="136"/>
        <v/>
      </c>
      <c r="U289" s="323" t="str">
        <f t="shared" si="137"/>
        <v/>
      </c>
      <c r="V289" s="322" t="str">
        <f t="shared" si="158"/>
        <v/>
      </c>
      <c r="W289" s="323" t="str">
        <f t="shared" si="138"/>
        <v/>
      </c>
      <c r="X289" s="323" t="str">
        <f t="shared" si="145"/>
        <v/>
      </c>
      <c r="Y289" s="323" t="str">
        <f t="shared" si="139"/>
        <v/>
      </c>
      <c r="Z289" s="323" t="str">
        <f t="shared" si="160"/>
        <v/>
      </c>
      <c r="AA289" s="326" t="str">
        <f t="shared" si="140"/>
        <v/>
      </c>
      <c r="AB289" s="323" t="str">
        <f t="shared" si="150"/>
        <v/>
      </c>
      <c r="AC289" s="327"/>
      <c r="AD289" s="328" t="str">
        <f t="shared" si="141"/>
        <v/>
      </c>
      <c r="AE289" s="328" t="str">
        <f t="shared" si="141"/>
        <v/>
      </c>
      <c r="AF289" s="328" t="str">
        <f t="shared" si="142"/>
        <v/>
      </c>
      <c r="AG289" s="328" t="str">
        <f t="shared" si="143"/>
        <v/>
      </c>
      <c r="AH289" s="328" t="str">
        <f t="shared" si="146"/>
        <v/>
      </c>
      <c r="AI289" s="328" t="str">
        <f t="shared" si="147"/>
        <v/>
      </c>
      <c r="AJ289" s="329" t="str">
        <f t="shared" si="148"/>
        <v/>
      </c>
      <c r="AK289" s="329" t="str" cm="1">
        <f t="array" ref="AK289">IF(OR(E289="", H289=""), "",
  IFERROR(
     (
      INDEX($AM$3:$AM$22, MATCH(E289, $AL$3:$AL$22, 1)) +
      (E289 - INDEX($AL$3:$AL$22, MATCH(E289, $AL$3:$AL$22, 1))) *
      (INDEX($AM$3:$AM$22, MATCH(E289, $AL$3:$AL$22, 1)+1) - INDEX($AM$3:$AM$22, MATCH(E289, $AL$3:$AL$22, 1))) /
      (INDEX($AL$3:$AL$22, MATCH(E289, $AL$3:$AL$22, 1)+1) - INDEX($AL$3:$AL$22, MATCH(E289, $AL$3:$AL$22, 1)))
    ) - H289,
    ""
  )
)</f>
        <v/>
      </c>
      <c r="AL289" s="341"/>
      <c r="AM289" s="342"/>
      <c r="AN289" s="343"/>
    </row>
    <row r="290" spans="1:40" s="315" customFormat="1" ht="15" customHeight="1" x14ac:dyDescent="0.35">
      <c r="A290" s="297">
        <f t="shared" si="161"/>
        <v>3</v>
      </c>
      <c r="B290" s="298">
        <f t="shared" si="161"/>
        <v>19</v>
      </c>
      <c r="C290" s="299" t="str">
        <f t="shared" si="154"/>
        <v/>
      </c>
      <c r="D290" s="300"/>
      <c r="E290" s="301" t="str">
        <f t="shared" si="151"/>
        <v/>
      </c>
      <c r="F290" s="302"/>
      <c r="G290" s="302"/>
      <c r="H290" s="303" t="str">
        <f t="shared" si="131"/>
        <v/>
      </c>
      <c r="I290" s="304" t="str">
        <f t="shared" si="144"/>
        <v/>
      </c>
      <c r="J290" s="302" t="str">
        <f t="shared" si="133"/>
        <v/>
      </c>
      <c r="K290" s="304" t="str">
        <f t="shared" si="149"/>
        <v/>
      </c>
      <c r="L290" s="302"/>
      <c r="M290" s="305"/>
      <c r="N290" s="304" t="str">
        <f t="shared" si="152"/>
        <v/>
      </c>
      <c r="O290" s="304">
        <f t="shared" si="157"/>
        <v>0</v>
      </c>
      <c r="P290" s="306" t="str">
        <f t="shared" si="155"/>
        <v/>
      </c>
      <c r="Q290" s="307" t="str">
        <f t="shared" si="156"/>
        <v/>
      </c>
      <c r="R290" s="304" t="str">
        <f t="shared" si="135"/>
        <v/>
      </c>
      <c r="S290" s="304" t="str">
        <f t="shared" si="153"/>
        <v/>
      </c>
      <c r="T290" s="304" t="str">
        <f t="shared" si="136"/>
        <v/>
      </c>
      <c r="U290" s="304" t="str">
        <f t="shared" si="137"/>
        <v/>
      </c>
      <c r="V290" s="303" t="str">
        <f t="shared" si="158"/>
        <v/>
      </c>
      <c r="W290" s="304" t="str">
        <f t="shared" si="138"/>
        <v/>
      </c>
      <c r="X290" s="304" t="str">
        <f t="shared" si="145"/>
        <v/>
      </c>
      <c r="Y290" s="304" t="str">
        <f t="shared" si="139"/>
        <v/>
      </c>
      <c r="Z290" s="304" t="str">
        <f t="shared" si="160"/>
        <v/>
      </c>
      <c r="AA290" s="308" t="str">
        <f t="shared" si="140"/>
        <v/>
      </c>
      <c r="AB290" s="304" t="str">
        <f t="shared" si="150"/>
        <v/>
      </c>
      <c r="AC290" s="309"/>
      <c r="AD290" s="310" t="str">
        <f t="shared" si="141"/>
        <v/>
      </c>
      <c r="AE290" s="310" t="str">
        <f t="shared" si="141"/>
        <v/>
      </c>
      <c r="AF290" s="310" t="str">
        <f t="shared" si="142"/>
        <v/>
      </c>
      <c r="AG290" s="310" t="str">
        <f t="shared" si="143"/>
        <v/>
      </c>
      <c r="AH290" s="310" t="str">
        <f t="shared" si="146"/>
        <v/>
      </c>
      <c r="AI290" s="310" t="str">
        <f t="shared" si="147"/>
        <v/>
      </c>
      <c r="AJ290" s="311" t="str">
        <f t="shared" si="148"/>
        <v/>
      </c>
      <c r="AK290" s="311" t="str" cm="1">
        <f t="array" ref="AK290">IF(OR(E290="", H290=""), "",
  IFERROR(
     (
      INDEX($AM$3:$AM$22, MATCH(E290, $AL$3:$AL$22, 1)) +
      (E290 - INDEX($AL$3:$AL$22, MATCH(E290, $AL$3:$AL$22, 1))) *
      (INDEX($AM$3:$AM$22, MATCH(E290, $AL$3:$AL$22, 1)+1) - INDEX($AM$3:$AM$22, MATCH(E290, $AL$3:$AL$22, 1))) /
      (INDEX($AL$3:$AL$22, MATCH(E290, $AL$3:$AL$22, 1)+1) - INDEX($AL$3:$AL$22, MATCH(E290, $AL$3:$AL$22, 1)))
    ) - H290,
    ""
  )
)</f>
        <v/>
      </c>
      <c r="AL290" s="338"/>
      <c r="AM290" s="339"/>
      <c r="AN290" s="340"/>
    </row>
    <row r="291" spans="1:40" s="315" customFormat="1" ht="15" customHeight="1" x14ac:dyDescent="0.35">
      <c r="A291" s="316">
        <f t="shared" si="161"/>
        <v>3</v>
      </c>
      <c r="B291" s="317">
        <f t="shared" si="161"/>
        <v>19</v>
      </c>
      <c r="C291" s="318" t="str">
        <f t="shared" si="154"/>
        <v/>
      </c>
      <c r="D291" s="319"/>
      <c r="E291" s="320" t="str">
        <f t="shared" si="151"/>
        <v/>
      </c>
      <c r="F291" s="321"/>
      <c r="G291" s="321"/>
      <c r="H291" s="322" t="str">
        <f t="shared" si="131"/>
        <v/>
      </c>
      <c r="I291" s="323" t="str">
        <f t="shared" si="144"/>
        <v/>
      </c>
      <c r="J291" s="321" t="str">
        <f t="shared" si="133"/>
        <v/>
      </c>
      <c r="K291" s="323" t="str">
        <f t="shared" si="149"/>
        <v/>
      </c>
      <c r="L291" s="321"/>
      <c r="M291" s="333"/>
      <c r="N291" s="323" t="str">
        <f t="shared" si="152"/>
        <v/>
      </c>
      <c r="O291" s="323">
        <f t="shared" si="157"/>
        <v>0</v>
      </c>
      <c r="P291" s="324" t="str">
        <f t="shared" si="155"/>
        <v/>
      </c>
      <c r="Q291" s="325" t="str">
        <f t="shared" si="156"/>
        <v/>
      </c>
      <c r="R291" s="323" t="str">
        <f t="shared" si="135"/>
        <v/>
      </c>
      <c r="S291" s="323" t="str">
        <f t="shared" si="153"/>
        <v/>
      </c>
      <c r="T291" s="323" t="str">
        <f t="shared" si="136"/>
        <v/>
      </c>
      <c r="U291" s="323" t="str">
        <f t="shared" si="137"/>
        <v/>
      </c>
      <c r="V291" s="322" t="str">
        <f t="shared" si="158"/>
        <v/>
      </c>
      <c r="W291" s="323" t="str">
        <f t="shared" si="138"/>
        <v/>
      </c>
      <c r="X291" s="323" t="str">
        <f t="shared" si="145"/>
        <v/>
      </c>
      <c r="Y291" s="323" t="str">
        <f t="shared" si="139"/>
        <v/>
      </c>
      <c r="Z291" s="323" t="str">
        <f t="shared" si="160"/>
        <v/>
      </c>
      <c r="AA291" s="326" t="str">
        <f t="shared" si="140"/>
        <v/>
      </c>
      <c r="AB291" s="323" t="str">
        <f t="shared" si="150"/>
        <v/>
      </c>
      <c r="AC291" s="327"/>
      <c r="AD291" s="328" t="str">
        <f t="shared" si="141"/>
        <v/>
      </c>
      <c r="AE291" s="328" t="str">
        <f t="shared" si="141"/>
        <v/>
      </c>
      <c r="AF291" s="328" t="str">
        <f t="shared" si="142"/>
        <v/>
      </c>
      <c r="AG291" s="328" t="str">
        <f t="shared" si="143"/>
        <v/>
      </c>
      <c r="AH291" s="328" t="str">
        <f t="shared" si="146"/>
        <v/>
      </c>
      <c r="AI291" s="328" t="str">
        <f t="shared" si="147"/>
        <v/>
      </c>
      <c r="AJ291" s="329" t="str">
        <f t="shared" si="148"/>
        <v/>
      </c>
      <c r="AK291" s="329" t="str" cm="1">
        <f t="array" ref="AK291">IF(OR(E291="", H291=""), "",
  IFERROR(
     (
      INDEX($AM$3:$AM$22, MATCH(E291, $AL$3:$AL$22, 1)) +
      (E291 - INDEX($AL$3:$AL$22, MATCH(E291, $AL$3:$AL$22, 1))) *
      (INDEX($AM$3:$AM$22, MATCH(E291, $AL$3:$AL$22, 1)+1) - INDEX($AM$3:$AM$22, MATCH(E291, $AL$3:$AL$22, 1))) /
      (INDEX($AL$3:$AL$22, MATCH(E291, $AL$3:$AL$22, 1)+1) - INDEX($AL$3:$AL$22, MATCH(E291, $AL$3:$AL$22, 1)))
    ) - H291,
    ""
  )
)</f>
        <v/>
      </c>
      <c r="AL291" s="341"/>
      <c r="AM291" s="342"/>
      <c r="AN291" s="343"/>
    </row>
    <row r="292" spans="1:40" s="315" customFormat="1" ht="15" customHeight="1" x14ac:dyDescent="0.35">
      <c r="A292" s="297">
        <f t="shared" si="161"/>
        <v>3</v>
      </c>
      <c r="B292" s="298">
        <f t="shared" si="161"/>
        <v>19</v>
      </c>
      <c r="C292" s="299" t="str">
        <f t="shared" si="154"/>
        <v/>
      </c>
      <c r="D292" s="300"/>
      <c r="E292" s="301" t="str">
        <f t="shared" si="151"/>
        <v/>
      </c>
      <c r="F292" s="302"/>
      <c r="G292" s="302"/>
      <c r="H292" s="303" t="str">
        <f t="shared" si="131"/>
        <v/>
      </c>
      <c r="I292" s="304" t="str">
        <f t="shared" si="144"/>
        <v/>
      </c>
      <c r="J292" s="302" t="str">
        <f t="shared" si="133"/>
        <v/>
      </c>
      <c r="K292" s="304" t="str">
        <f t="shared" si="149"/>
        <v/>
      </c>
      <c r="L292" s="302"/>
      <c r="M292" s="305"/>
      <c r="N292" s="304" t="str">
        <f t="shared" si="152"/>
        <v/>
      </c>
      <c r="O292" s="304">
        <f t="shared" si="157"/>
        <v>0</v>
      </c>
      <c r="P292" s="306" t="str">
        <f t="shared" si="155"/>
        <v/>
      </c>
      <c r="Q292" s="307" t="str">
        <f t="shared" si="156"/>
        <v/>
      </c>
      <c r="R292" s="304" t="str">
        <f t="shared" si="135"/>
        <v/>
      </c>
      <c r="S292" s="304" t="str">
        <f t="shared" si="153"/>
        <v/>
      </c>
      <c r="T292" s="304" t="str">
        <f t="shared" si="136"/>
        <v/>
      </c>
      <c r="U292" s="304" t="str">
        <f t="shared" si="137"/>
        <v/>
      </c>
      <c r="V292" s="303" t="str">
        <f t="shared" si="158"/>
        <v/>
      </c>
      <c r="W292" s="304" t="str">
        <f t="shared" si="138"/>
        <v/>
      </c>
      <c r="X292" s="304" t="str">
        <f t="shared" si="145"/>
        <v/>
      </c>
      <c r="Y292" s="304" t="str">
        <f t="shared" si="139"/>
        <v/>
      </c>
      <c r="Z292" s="304" t="str">
        <f t="shared" si="160"/>
        <v/>
      </c>
      <c r="AA292" s="308" t="str">
        <f t="shared" si="140"/>
        <v/>
      </c>
      <c r="AB292" s="304" t="str">
        <f t="shared" si="150"/>
        <v/>
      </c>
      <c r="AC292" s="309"/>
      <c r="AD292" s="310" t="str">
        <f t="shared" si="141"/>
        <v/>
      </c>
      <c r="AE292" s="310" t="str">
        <f t="shared" si="141"/>
        <v/>
      </c>
      <c r="AF292" s="310" t="str">
        <f t="shared" si="142"/>
        <v/>
      </c>
      <c r="AG292" s="310" t="str">
        <f t="shared" si="143"/>
        <v/>
      </c>
      <c r="AH292" s="310" t="str">
        <f t="shared" si="146"/>
        <v/>
      </c>
      <c r="AI292" s="310" t="str">
        <f t="shared" si="147"/>
        <v/>
      </c>
      <c r="AJ292" s="311" t="str">
        <f t="shared" si="148"/>
        <v/>
      </c>
      <c r="AK292" s="311" t="str" cm="1">
        <f t="array" ref="AK292">IF(OR(E292="", H292=""), "",
  IFERROR(
     (
      INDEX($AM$3:$AM$22, MATCH(E292, $AL$3:$AL$22, 1)) +
      (E292 - INDEX($AL$3:$AL$22, MATCH(E292, $AL$3:$AL$22, 1))) *
      (INDEX($AM$3:$AM$22, MATCH(E292, $AL$3:$AL$22, 1)+1) - INDEX($AM$3:$AM$22, MATCH(E292, $AL$3:$AL$22, 1))) /
      (INDEX($AL$3:$AL$22, MATCH(E292, $AL$3:$AL$22, 1)+1) - INDEX($AL$3:$AL$22, MATCH(E292, $AL$3:$AL$22, 1)))
    ) - H292,
    ""
  )
)</f>
        <v/>
      </c>
      <c r="AL292" s="338"/>
      <c r="AM292" s="339"/>
      <c r="AN292" s="340"/>
    </row>
    <row r="293" spans="1:40" s="315" customFormat="1" ht="15" customHeight="1" x14ac:dyDescent="0.35">
      <c r="A293" s="316">
        <f t="shared" si="161"/>
        <v>3</v>
      </c>
      <c r="B293" s="317">
        <f t="shared" si="161"/>
        <v>19</v>
      </c>
      <c r="C293" s="318" t="str">
        <f t="shared" si="154"/>
        <v/>
      </c>
      <c r="D293" s="319"/>
      <c r="E293" s="320" t="str">
        <f t="shared" si="151"/>
        <v/>
      </c>
      <c r="F293" s="321"/>
      <c r="G293" s="321"/>
      <c r="H293" s="322" t="str">
        <f t="shared" si="131"/>
        <v/>
      </c>
      <c r="I293" s="323" t="str">
        <f t="shared" si="144"/>
        <v/>
      </c>
      <c r="J293" s="321" t="str">
        <f t="shared" si="133"/>
        <v/>
      </c>
      <c r="K293" s="323" t="str">
        <f t="shared" si="149"/>
        <v/>
      </c>
      <c r="L293" s="321"/>
      <c r="M293" s="333"/>
      <c r="N293" s="323" t="str">
        <f t="shared" si="152"/>
        <v/>
      </c>
      <c r="O293" s="323">
        <f t="shared" si="157"/>
        <v>0</v>
      </c>
      <c r="P293" s="324" t="str">
        <f t="shared" si="155"/>
        <v/>
      </c>
      <c r="Q293" s="325" t="str">
        <f t="shared" si="156"/>
        <v/>
      </c>
      <c r="R293" s="323" t="str">
        <f t="shared" si="135"/>
        <v/>
      </c>
      <c r="S293" s="323" t="str">
        <f t="shared" si="153"/>
        <v/>
      </c>
      <c r="T293" s="323" t="str">
        <f t="shared" si="136"/>
        <v/>
      </c>
      <c r="U293" s="323" t="str">
        <f t="shared" si="137"/>
        <v/>
      </c>
      <c r="V293" s="322" t="str">
        <f t="shared" si="158"/>
        <v/>
      </c>
      <c r="W293" s="323" t="str">
        <f t="shared" si="138"/>
        <v/>
      </c>
      <c r="X293" s="323" t="str">
        <f t="shared" si="145"/>
        <v/>
      </c>
      <c r="Y293" s="323" t="str">
        <f t="shared" si="139"/>
        <v/>
      </c>
      <c r="Z293" s="323" t="str">
        <f t="shared" si="160"/>
        <v/>
      </c>
      <c r="AA293" s="326" t="str">
        <f t="shared" si="140"/>
        <v/>
      </c>
      <c r="AB293" s="323" t="str">
        <f t="shared" si="150"/>
        <v/>
      </c>
      <c r="AC293" s="327"/>
      <c r="AD293" s="328" t="str">
        <f t="shared" si="141"/>
        <v/>
      </c>
      <c r="AE293" s="328" t="str">
        <f t="shared" si="141"/>
        <v/>
      </c>
      <c r="AF293" s="328" t="str">
        <f t="shared" si="142"/>
        <v/>
      </c>
      <c r="AG293" s="328" t="str">
        <f t="shared" si="143"/>
        <v/>
      </c>
      <c r="AH293" s="328" t="str">
        <f t="shared" si="146"/>
        <v/>
      </c>
      <c r="AI293" s="328" t="str">
        <f t="shared" si="147"/>
        <v/>
      </c>
      <c r="AJ293" s="329" t="str">
        <f t="shared" si="148"/>
        <v/>
      </c>
      <c r="AK293" s="329" t="str" cm="1">
        <f t="array" ref="AK293">IF(OR(E293="", H293=""), "",
  IFERROR(
     (
      INDEX($AM$3:$AM$22, MATCH(E293, $AL$3:$AL$22, 1)) +
      (E293 - INDEX($AL$3:$AL$22, MATCH(E293, $AL$3:$AL$22, 1))) *
      (INDEX($AM$3:$AM$22, MATCH(E293, $AL$3:$AL$22, 1)+1) - INDEX($AM$3:$AM$22, MATCH(E293, $AL$3:$AL$22, 1))) /
      (INDEX($AL$3:$AL$22, MATCH(E293, $AL$3:$AL$22, 1)+1) - INDEX($AL$3:$AL$22, MATCH(E293, $AL$3:$AL$22, 1)))
    ) - H293,
    ""
  )
)</f>
        <v/>
      </c>
      <c r="AL293" s="341"/>
      <c r="AM293" s="342"/>
      <c r="AN293" s="343"/>
    </row>
    <row r="294" spans="1:40" s="315" customFormat="1" ht="15" customHeight="1" x14ac:dyDescent="0.35">
      <c r="A294" s="297">
        <f t="shared" si="161"/>
        <v>3</v>
      </c>
      <c r="B294" s="298">
        <f t="shared" si="161"/>
        <v>19</v>
      </c>
      <c r="C294" s="299" t="str">
        <f t="shared" si="154"/>
        <v/>
      </c>
      <c r="D294" s="300"/>
      <c r="E294" s="301" t="str">
        <f t="shared" si="151"/>
        <v/>
      </c>
      <c r="F294" s="302"/>
      <c r="G294" s="302"/>
      <c r="H294" s="303" t="str">
        <f t="shared" si="131"/>
        <v/>
      </c>
      <c r="I294" s="304" t="str">
        <f t="shared" si="144"/>
        <v/>
      </c>
      <c r="J294" s="302" t="str">
        <f t="shared" si="133"/>
        <v/>
      </c>
      <c r="K294" s="304" t="str">
        <f t="shared" si="149"/>
        <v/>
      </c>
      <c r="L294" s="302"/>
      <c r="M294" s="305"/>
      <c r="N294" s="304" t="str">
        <f t="shared" si="152"/>
        <v/>
      </c>
      <c r="O294" s="304">
        <f t="shared" si="157"/>
        <v>0</v>
      </c>
      <c r="P294" s="306" t="str">
        <f t="shared" si="155"/>
        <v/>
      </c>
      <c r="Q294" s="307" t="str">
        <f t="shared" si="156"/>
        <v/>
      </c>
      <c r="R294" s="304" t="str">
        <f t="shared" si="135"/>
        <v/>
      </c>
      <c r="S294" s="304" t="str">
        <f t="shared" si="153"/>
        <v/>
      </c>
      <c r="T294" s="304" t="str">
        <f t="shared" si="136"/>
        <v/>
      </c>
      <c r="U294" s="304" t="str">
        <f t="shared" si="137"/>
        <v/>
      </c>
      <c r="V294" s="303" t="str">
        <f t="shared" si="158"/>
        <v/>
      </c>
      <c r="W294" s="323" t="str">
        <f t="shared" ref="W294:W295" si="162">IF(G294="","",IF(N294="",(G294-G293)/30,AH294/N294))</f>
        <v/>
      </c>
      <c r="X294" s="323" t="str">
        <f t="shared" ref="X294:X295" si="163">IF(V294="","",(F294-F293)*30/AI294)</f>
        <v/>
      </c>
      <c r="Y294" s="304" t="str">
        <f t="shared" si="139"/>
        <v/>
      </c>
      <c r="Z294" s="304" t="str">
        <f t="shared" si="160"/>
        <v/>
      </c>
      <c r="AA294" s="308" t="str">
        <f t="shared" si="140"/>
        <v/>
      </c>
      <c r="AB294" s="304" t="str">
        <f t="shared" si="150"/>
        <v/>
      </c>
      <c r="AC294" s="309"/>
      <c r="AD294" s="310" t="str">
        <f t="shared" si="141"/>
        <v/>
      </c>
      <c r="AE294" s="310" t="str">
        <f t="shared" si="141"/>
        <v/>
      </c>
      <c r="AF294" s="310" t="str">
        <f t="shared" si="142"/>
        <v/>
      </c>
      <c r="AG294" s="310" t="str">
        <f t="shared" si="143"/>
        <v/>
      </c>
      <c r="AH294" s="310" t="str">
        <f t="shared" si="146"/>
        <v/>
      </c>
      <c r="AI294" s="310" t="str">
        <f t="shared" si="147"/>
        <v/>
      </c>
      <c r="AJ294" s="311" t="str">
        <f t="shared" si="148"/>
        <v/>
      </c>
      <c r="AK294" s="311" t="str" cm="1">
        <f t="array" ref="AK294">IF(OR(E294="", H294=""), "",
  IFERROR(
     (
      INDEX($AM$3:$AM$22, MATCH(E294, $AL$3:$AL$22, 1)) +
      (E294 - INDEX($AL$3:$AL$22, MATCH(E294, $AL$3:$AL$22, 1))) *
      (INDEX($AM$3:$AM$22, MATCH(E294, $AL$3:$AL$22, 1)+1) - INDEX($AM$3:$AM$22, MATCH(E294, $AL$3:$AL$22, 1))) /
      (INDEX($AL$3:$AL$22, MATCH(E294, $AL$3:$AL$22, 1)+1) - INDEX($AL$3:$AL$22, MATCH(E294, $AL$3:$AL$22, 1)))
    ) - H294,
    ""
  )
)</f>
        <v/>
      </c>
      <c r="AL294" s="338"/>
      <c r="AM294" s="339"/>
      <c r="AN294" s="340"/>
    </row>
    <row r="295" spans="1:40" s="315" customFormat="1" ht="15" customHeight="1" x14ac:dyDescent="0.35">
      <c r="A295" s="316">
        <f>+A249</f>
        <v>3</v>
      </c>
      <c r="B295" s="317">
        <f>+B249</f>
        <v>19</v>
      </c>
      <c r="C295" s="318" t="str">
        <f>IF(D295&gt;0,D295-D249,"")</f>
        <v/>
      </c>
      <c r="D295" s="319"/>
      <c r="E295" s="320" t="str">
        <f t="shared" si="151"/>
        <v/>
      </c>
      <c r="F295" s="321"/>
      <c r="G295" s="321"/>
      <c r="H295" s="322" t="str">
        <f>IF(F295="","",H249+(COS((AD295+AD249)/2))*AI295)</f>
        <v/>
      </c>
      <c r="I295" s="304" t="str">
        <f t="shared" si="144"/>
        <v/>
      </c>
      <c r="J295" s="321" t="str">
        <f t="shared" si="133"/>
        <v/>
      </c>
      <c r="K295" s="323" t="str">
        <f t="shared" si="149"/>
        <v/>
      </c>
      <c r="L295" s="321"/>
      <c r="M295" s="333"/>
      <c r="N295" s="323" t="str">
        <f>IF(SUM(IF(AND(E295&gt;K246,E249&lt;=J246),L246,0)+IF(AND(E295&gt;=K246,E249&lt;K246,E249&gt;J246),K246-E249,0)+IF(AND(E295&gt;J246,E249&lt;=J246,E295&lt;K246),E295-J246,0)+IF(AND(E295&lt;K246,E249&gt;J246,E295&gt;E249),E295-E249,0)+IF(AND(E295&gt;K247,E249&lt;=J247),L247,0)+IF(AND(E295&gt;=K247,E249&lt;K247,E249&gt;J247),K247-E249,0)+IF(AND(E295&gt;J247,E249&lt;=J247,E295&lt;K247),E295-J247,0)+IF(AND(E295&lt;K247,E249&gt;J247,E295&gt;E249),E295-E249,0)+IF(AND(E295&gt;K248,E249&lt;=J248),L248,0)+IF(AND(E295&gt;=K248,E249&lt;K248,E249&gt;J248),K248-E249,0)+IF(AND(E295&gt;J248,E249&lt;J248,E295&lt;=K248),E295-J248,0)+IF(AND(E295&lt;K248,E249&gt;J248,E295&gt;E249),E295-E249,0)+IF(AND(E295&gt;K249,E249&lt;=J249),L249,0)+IF(AND(E295&gt;=K249,E249&lt;K249,E249&gt;J249),K249-E249,0)+IF(AND(E295&gt;J249,E249&lt;J249,E295&lt;=K249),E295-J249,0)+IF(AND(E295&lt;K249,E249&gt;J249,E295&gt;E249),E295-E249,0))=0,"",SUM(IF(AND(E295&gt;K246,E249&lt;=J246),L246,0)+IF(AND(E295&gt;=K246,E249&lt;K246,E249&gt;J246),K246-E249,0)+IF(AND(E295&gt;J246,E249&lt;=J246,E295&lt;K246),E295-J246,0)+IF(AND(E295&lt;K246,E249&gt;J246,E295&gt;E249),E295-E249,0)+IF(AND(E295&gt;K247,E249&lt;=J247),L247,0)+IF(AND(E295&gt;=K247,E249&lt;K247,E249&gt;J247),K247-E249,0)+IF(AND(E295&gt;J247,E249&lt;=J247,E295&lt;K247),E295-J247,0)+IF(AND(E295&lt;K247,E249&gt;J247,E295&gt;E249),E295-E249,0)+IF(AND(E295&gt;K248,E249&lt;=J248),L248,0)+IF(AND(E295&gt;=K248,E249&lt;K248,E249&gt;J248),K248-E249,0)+IF(AND(E295&gt;J248,E249&lt;J248,E295&lt;=K248),E295-J248,0)+IF(AND(E295&lt;K248,E249&gt;J248,E295&gt;E249),E295-E249,0)+IF(AND(E295&gt;K249,E249&lt;=J249),L249,0)+IF(AND(E295&gt;=K249,E249&lt;K249,E249&gt;J249),K249-E249,0)+IF(AND(E295&gt;J249,E249&lt;J249,E295&lt;=K249),E295-J249,0)+IF(AND(E295&lt;K249,E249&gt;J249,E295&gt;E249),E295-E249,0)))</f>
        <v/>
      </c>
      <c r="O295" s="323">
        <f>SUM(IF(AND(D295&gt;K247,E295&lt;=J247),L247,0)+IF(AND(D295&gt;=K247,E295&lt;K247,E295&gt;J247),K247-E295,0)+IF(AND(D295&gt;J247,E295&lt;=J247,D295&lt;K247),D295-J247,0)+IF(AND(D295&lt;K247,E295&gt;J247,D295&gt;E295),D295-E295,0)+IF(AND(D295&gt;K248,E295&lt;=J248),L248,0)+IF(AND(D295&gt;=K248,E295&lt;K248,E295&gt;J248),K248-E295,0)+IF(AND(D295&gt;J248,E295&lt;J248,D295&lt;=K248),D295-J248,0)+IF(AND(D295&lt;K248,E295&gt;J248,D295&gt;E295),D295-E295,0)+IF(AND(D295&gt;K249,E295&lt;=J249),L249,0)+IF(AND(D295&gt;=K249,E295&lt;K249,E295&gt;J249),K249-E295,0)+IF(AND(D295&gt;J249,E295&lt;J249,D295&lt;=K249),D295-J249,0)+IF(AND(D295&lt;K249,E295&gt;J249,D295&gt;E295),D295-E295,0))</f>
        <v>0</v>
      </c>
      <c r="P295" s="306" t="str">
        <f t="shared" si="155"/>
        <v/>
      </c>
      <c r="Q295" s="325" t="str">
        <f t="shared" si="156"/>
        <v/>
      </c>
      <c r="R295" s="323" t="str">
        <f t="shared" si="135"/>
        <v/>
      </c>
      <c r="S295" s="323" t="str">
        <f>IF(V295="","",IF(AND(N295="",O295=""),F295,IF(O295="",O295*AVERAGE(V249,V248,V247)+F295,O295*V295+F295)))</f>
        <v/>
      </c>
      <c r="T295" s="323" t="str">
        <f t="shared" si="136"/>
        <v/>
      </c>
      <c r="U295" s="323" t="str">
        <f t="shared" si="137"/>
        <v/>
      </c>
      <c r="V295" s="322" t="str">
        <f t="shared" si="158"/>
        <v/>
      </c>
      <c r="W295" s="323" t="str">
        <f t="shared" si="162"/>
        <v/>
      </c>
      <c r="X295" s="323" t="str">
        <f t="shared" si="163"/>
        <v/>
      </c>
      <c r="Y295" s="323" t="str">
        <f t="shared" si="139"/>
        <v/>
      </c>
      <c r="Z295" s="323" t="str">
        <f t="shared" si="160"/>
        <v/>
      </c>
      <c r="AA295" s="326" t="str">
        <f t="shared" si="140"/>
        <v/>
      </c>
      <c r="AB295" s="323" t="str">
        <f t="shared" si="150"/>
        <v/>
      </c>
      <c r="AC295" s="327"/>
      <c r="AD295" s="328" t="str">
        <f t="shared" si="141"/>
        <v/>
      </c>
      <c r="AE295" s="328" t="str">
        <f t="shared" si="141"/>
        <v/>
      </c>
      <c r="AF295" s="328" t="str">
        <f t="shared" si="142"/>
        <v/>
      </c>
      <c r="AG295" s="328" t="str">
        <f t="shared" si="143"/>
        <v/>
      </c>
      <c r="AH295" s="328" t="str">
        <f>IF(G295="","",IF(G295&gt;G249,IF((G295-G249)&gt;180,(G295-G249)-360,G295-G249),IF((G295-G249)&lt;-180,(G295-G249)+360,G295-G249)))</f>
        <v/>
      </c>
      <c r="AI295" s="328" t="str">
        <f>+IF(E295="","",E295-E249)</f>
        <v/>
      </c>
      <c r="AJ295" s="329" t="str">
        <f t="shared" si="148"/>
        <v/>
      </c>
      <c r="AK295" s="329" t="str" cm="1">
        <f t="array" ref="AK295">IF(OR(E295="", H295=""), "",
  IFERROR(
     (
      INDEX($AM$3:$AM$22, MATCH(E295, $AL$3:$AL$22, 1)) +
      (E295 - INDEX($AL$3:$AL$22, MATCH(E295, $AL$3:$AL$22, 1))) *
      (INDEX($AM$3:$AM$22, MATCH(E295, $AL$3:$AL$22, 1)+1) - INDEX($AM$3:$AM$22, MATCH(E295, $AL$3:$AL$22, 1))) /
      (INDEX($AL$3:$AL$22, MATCH(E295, $AL$3:$AL$22, 1)+1) - INDEX($AL$3:$AL$22, MATCH(E295, $AL$3:$AL$22, 1)))
    ) - H295,
    ""
  )
)</f>
        <v/>
      </c>
      <c r="AL295" s="341"/>
      <c r="AM295" s="342"/>
      <c r="AN295" s="343"/>
    </row>
    <row r="296" spans="1:40" s="315" customFormat="1" ht="15" customHeight="1" x14ac:dyDescent="0.35">
      <c r="A296" s="297">
        <f t="shared" ref="A296:B311" si="164">+A295</f>
        <v>3</v>
      </c>
      <c r="B296" s="298">
        <f t="shared" si="164"/>
        <v>19</v>
      </c>
      <c r="C296" s="299" t="str">
        <f t="shared" ref="C296:C339" si="165">IF(D296&gt;0,D296-D295,"")</f>
        <v/>
      </c>
      <c r="D296" s="300"/>
      <c r="E296" s="301" t="str">
        <f t="shared" si="151"/>
        <v/>
      </c>
      <c r="F296" s="302"/>
      <c r="G296" s="302"/>
      <c r="H296" s="303" t="str">
        <f t="shared" ref="H296:H339" si="166">IF(F296="","",H295+(COS((AD296+AD295)/2))*AI296)</f>
        <v/>
      </c>
      <c r="I296" s="304" t="str">
        <f t="shared" ref="I296:I347" si="167">IF(OR(F296="",G296=""),"",DEGREES(ACOS(COS(AD296-AD295)-(SIN(AD296)*SIN(AD295)*(1-COS(AE296-AE295)))))*(30/AI296))</f>
        <v/>
      </c>
      <c r="J296" s="302" t="str">
        <f t="shared" si="133"/>
        <v/>
      </c>
      <c r="K296" s="304" t="str">
        <f t="shared" si="149"/>
        <v/>
      </c>
      <c r="L296" s="302"/>
      <c r="M296" s="305"/>
      <c r="N296" s="304" t="str">
        <f>IF(SUM(IF(AND(E296&gt;K247,E295&lt;=J247),L247,0)+IF(AND(E296&gt;=K247,E295&lt;K247,E295&gt;J247),K247-E295,0)+IF(AND(E296&gt;J247,E295&lt;=J247,E296&lt;K247),E296-J247,0)+IF(AND(E296&lt;K247,E295&gt;J247,E296&gt;E295),E296-E295,0)+IF(AND(E296&gt;K248,E295&lt;=J248),L248,0)+IF(AND(E296&gt;=K248,E295&lt;K248,E295&gt;J248),K248-E295,0)+IF(AND(E296&gt;J248,E295&lt;=J248,E296&lt;K248),E296-J248,0)+IF(AND(E296&lt;K248,E295&gt;J248,E296&gt;E295),E296-E295,0)+IF(AND(E296&gt;K249,E295&lt;=J249),L249,0)+IF(AND(E296&gt;=K249,E295&lt;K249,E295&gt;J249),K249-E295,0)+IF(AND(E296&gt;J249,E295&lt;J249,E296&lt;=K249),E296-J249,0)+IF(AND(E296&lt;K249,E295&gt;J249,E296&gt;E295),E296-E295,0)+IF(AND(E296&gt;K295,E295&lt;=J295),L295,0)+IF(AND(E296&gt;=K295,E295&lt;K295,E295&gt;J295),K295-E295,0)+IF(AND(E296&gt;J295,E295&lt;J295,E296&lt;=K295),E296-J295,0)+IF(AND(E296&lt;K295,E295&gt;J295,E296&gt;E295),E296-E295,0))=0,"",SUM(IF(AND(E296&gt;K247,E295&lt;=J247),L247,0)+IF(AND(E296&gt;=K247,E295&lt;K247,E295&gt;J247),K247-E295,0)+IF(AND(E296&gt;J247,E295&lt;=J247,E296&lt;K247),E296-J247,0)+IF(AND(E296&lt;K247,E295&gt;J247,E296&gt;E295),E296-E295,0)+IF(AND(E296&gt;K248,E295&lt;=J248),L248,0)+IF(AND(E296&gt;=K248,E295&lt;K248,E295&gt;J248),K248-E295,0)+IF(AND(E296&gt;J248,E295&lt;=J248,E296&lt;K248),E296-J248,0)+IF(AND(E296&lt;K248,E295&gt;J248,E296&gt;E295),E296-E295,0)+IF(AND(E296&gt;K249,E295&lt;=J249),L249,0)+IF(AND(E296&gt;=K249,E295&lt;K249,E295&gt;J249),K249-E295,0)+IF(AND(E296&gt;J249,E295&lt;J249,E296&lt;=K249),E296-J249,0)+IF(AND(E296&lt;K249,E295&gt;J249,E296&gt;E295),E296-E295,0)+IF(AND(E296&gt;K295,E295&lt;=J295),L295,0)+IF(AND(E296&gt;=K295,E295&lt;K295,E295&gt;J295),K295-E295,0)+IF(AND(E296&gt;J295,E295&lt;J295,E296&lt;=K295),E296-J295,0)+IF(AND(E296&lt;K295,E295&gt;J295,E296&gt;E295),E296-E295,0)))</f>
        <v/>
      </c>
      <c r="O296" s="304">
        <f>SUM(IF(AND(D296&gt;K248,E296&lt;=J248),L248,0)+IF(AND(D296&gt;=K248,E296&lt;K248,E296&gt;J248),K248-E296,0)+IF(AND(D296&gt;J248,E296&lt;=J248,D296&lt;K248),D296-J248,0)+IF(AND(D296&lt;K248,E296&gt;J248,D296&gt;E296),D296-E296,0)+IF(AND(D296&gt;K249,E296&lt;=J249),L249,0)+IF(AND(D296&gt;=K249,E296&lt;K249,E296&gt;J249),K249-E296,0)+IF(AND(D296&gt;J249,E296&lt;J249,D296&lt;=K249),D296-J249,0)+IF(AND(D296&lt;K249,E296&gt;J249,D296&gt;E296),D296-E296,0)+IF(AND(D296&gt;K295,E296&lt;=J295),L295,0)+IF(AND(D296&gt;=K295,E296&lt;K295,E296&gt;J295),K295-E296,0)+IF(AND(D296&gt;J295,E296&lt;J295,D296&lt;=K295),D296-J295,0)+IF(AND(D296&lt;K295,E296&gt;J295,D296&gt;E296),D296-E296,0))</f>
        <v>0</v>
      </c>
      <c r="P296" s="306" t="str">
        <f t="shared" ref="P296:P345" si="168">IF(AND(ISNUMBER(C296),ISNUMBER(I296)),(IF(AND(I296&gt;0,G296&lt;&gt;G295),ACOS((C296*X296/30)/(C296*I296/30))*180/PI(),IF(AND(F296&gt;F295,G296=G295),"H/S",IF(AND(F296&lt;F295,G296=G295),"L/S","")))),"")</f>
        <v/>
      </c>
      <c r="Q296" s="307" t="str">
        <f t="shared" si="156"/>
        <v/>
      </c>
      <c r="R296" s="304" t="str">
        <f t="shared" si="135"/>
        <v/>
      </c>
      <c r="S296" s="304" t="str">
        <f>IF(V296="","",IF(AND(N296="",O296=""),F296,IF(O296="",O296*AVERAGE(V295,V249,V248)+F296,O296*V296+F296)))</f>
        <v/>
      </c>
      <c r="T296" s="304" t="str">
        <f t="shared" si="136"/>
        <v/>
      </c>
      <c r="U296" s="304" t="str">
        <f t="shared" si="137"/>
        <v/>
      </c>
      <c r="V296" s="303" t="str">
        <f t="shared" si="158"/>
        <v/>
      </c>
      <c r="W296" s="304" t="str">
        <f t="shared" ref="W296:W346" si="169">IF(G296="","",IF(N296="",(G296-G295)/30,AH296/N296))</f>
        <v/>
      </c>
      <c r="X296" s="304" t="str">
        <f t="shared" ref="X296:X348" si="170">IF(V296="","",(F296-F295)*30/AI296)</f>
        <v/>
      </c>
      <c r="Y296" s="304" t="str">
        <f t="shared" si="139"/>
        <v/>
      </c>
      <c r="Z296" s="304" t="str">
        <f t="shared" si="160"/>
        <v/>
      </c>
      <c r="AA296" s="308" t="str">
        <f t="shared" si="140"/>
        <v/>
      </c>
      <c r="AB296" s="304" t="str">
        <f t="shared" si="150"/>
        <v/>
      </c>
      <c r="AC296" s="309"/>
      <c r="AD296" s="310" t="str">
        <f t="shared" si="141"/>
        <v/>
      </c>
      <c r="AE296" s="310" t="str">
        <f t="shared" si="141"/>
        <v/>
      </c>
      <c r="AF296" s="310" t="str">
        <f t="shared" si="142"/>
        <v/>
      </c>
      <c r="AG296" s="310" t="str">
        <f t="shared" si="143"/>
        <v/>
      </c>
      <c r="AH296" s="310" t="str">
        <f t="shared" ref="AH296:AH339" si="171">IF(G296="","",IF(G296&gt;G295,IF((G296-G295)&gt;180,(G296-G295)-360,G296-G295),IF((G296-G295)&lt;-180,(G296-G295)+360,G296-G295)))</f>
        <v/>
      </c>
      <c r="AI296" s="310" t="str">
        <f t="shared" ref="AI296:AI339" si="172">+IF(E296="","",E296-E295)</f>
        <v/>
      </c>
      <c r="AJ296" s="311" t="str">
        <f t="shared" si="148"/>
        <v/>
      </c>
      <c r="AK296" s="311" t="str" cm="1">
        <f t="array" ref="AK296">IF(OR(E296="", H296=""), "",
  IFERROR(
     (
      INDEX($AM$3:$AM$22, MATCH(E296, $AL$3:$AL$22, 1)) +
      (E296 - INDEX($AL$3:$AL$22, MATCH(E296, $AL$3:$AL$22, 1))) *
      (INDEX($AM$3:$AM$22, MATCH(E296, $AL$3:$AL$22, 1)+1) - INDEX($AM$3:$AM$22, MATCH(E296, $AL$3:$AL$22, 1))) /
      (INDEX($AL$3:$AL$22, MATCH(E296, $AL$3:$AL$22, 1)+1) - INDEX($AL$3:$AL$22, MATCH(E296, $AL$3:$AL$22, 1)))
    ) - H296,
    ""
  )
)</f>
        <v/>
      </c>
      <c r="AL296" s="338"/>
      <c r="AM296" s="339"/>
      <c r="AN296" s="340"/>
    </row>
    <row r="297" spans="1:40" s="315" customFormat="1" ht="15" customHeight="1" x14ac:dyDescent="0.35">
      <c r="A297" s="316">
        <f t="shared" si="164"/>
        <v>3</v>
      </c>
      <c r="B297" s="317">
        <f t="shared" si="164"/>
        <v>19</v>
      </c>
      <c r="C297" s="318" t="str">
        <f t="shared" si="165"/>
        <v/>
      </c>
      <c r="D297" s="319"/>
      <c r="E297" s="320" t="str">
        <f t="shared" si="151"/>
        <v/>
      </c>
      <c r="F297" s="321"/>
      <c r="G297" s="321"/>
      <c r="H297" s="322" t="str">
        <f t="shared" si="166"/>
        <v/>
      </c>
      <c r="I297" s="323" t="str">
        <f t="shared" si="167"/>
        <v/>
      </c>
      <c r="J297" s="321" t="str">
        <f t="shared" si="133"/>
        <v/>
      </c>
      <c r="K297" s="323" t="str">
        <f t="shared" si="149"/>
        <v/>
      </c>
      <c r="L297" s="321"/>
      <c r="M297" s="333"/>
      <c r="N297" s="323" t="str">
        <f>IF(SUM(IF(AND(E297&gt;K248,E296&lt;=J248),L248,0)+IF(AND(E297&gt;=K248,E296&lt;K248,E296&gt;J248),K248-E296,0)+IF(AND(E297&gt;J248,E296&lt;=J248,E297&lt;K248),E297-J248,0)+IF(AND(E297&lt;K248,E296&gt;J248,E297&gt;E296),E297-E296,0)+IF(AND(E297&gt;K249,E296&lt;=J249),L249,0)+IF(AND(E297&gt;=K249,E296&lt;K249,E296&gt;J249),K249-E296,0)+IF(AND(E297&gt;J249,E296&lt;=J249,E297&lt;K249),E297-J249,0)+IF(AND(E297&lt;K249,E296&gt;J249,E297&gt;E296),E297-E296,0)+IF(AND(E297&gt;K295,E296&lt;=J295),L295,0)+IF(AND(E297&gt;=K295,E296&lt;K295,E296&gt;J295),K295-E296,0)+IF(AND(E297&gt;J295,E296&lt;J295,E297&lt;=K295),E297-J295,0)+IF(AND(E297&lt;K295,E296&gt;J295,E297&gt;E296),E297-E296,0)+IF(AND(E297&gt;K296,E296&lt;=J296),L296,0)+IF(AND(E297&gt;=K296,E296&lt;K296,E296&gt;J296),K296-E296,0)+IF(AND(E297&gt;J296,E296&lt;J296,E297&lt;=K296),E297-J296,0)+IF(AND(E297&lt;K296,E296&gt;J296,E297&gt;E296),E297-E296,0))=0,"",SUM(IF(AND(E297&gt;K248,E296&lt;=J248),L248,0)+IF(AND(E297&gt;=K248,E296&lt;K248,E296&gt;J248),K248-E296,0)+IF(AND(E297&gt;J248,E296&lt;=J248,E297&lt;K248),E297-J248,0)+IF(AND(E297&lt;K248,E296&gt;J248,E297&gt;E296),E297-E296,0)+IF(AND(E297&gt;K249,E296&lt;=J249),L249,0)+IF(AND(E297&gt;=K249,E296&lt;K249,E296&gt;J249),K249-E296,0)+IF(AND(E297&gt;J249,E296&lt;=J249,E297&lt;K249),E297-J249,0)+IF(AND(E297&lt;K249,E296&gt;J249,E297&gt;E296),E297-E296,0)+IF(AND(E297&gt;K295,E296&lt;=J295),L295,0)+IF(AND(E297&gt;=K295,E296&lt;K295,E296&gt;J295),K295-E296,0)+IF(AND(E297&gt;J295,E296&lt;J295,E297&lt;=K295),E297-J295,0)+IF(AND(E297&lt;K295,E296&gt;J295,E297&gt;E296),E297-E296,0)+IF(AND(E297&gt;K296,E296&lt;=J296),L296,0)+IF(AND(E297&gt;=K296,E296&lt;K296,E296&gt;J296),K296-E296,0)+IF(AND(E297&gt;J296,E296&lt;J296,E297&lt;=K296),E297-J296,0)+IF(AND(E297&lt;K296,E296&gt;J296,E297&gt;E296),E297-E296,0)))</f>
        <v/>
      </c>
      <c r="O297" s="323">
        <f>SUM(IF(AND(D297&gt;K249,E297&lt;=J249),L249,0)+IF(AND(D297&gt;=K249,E297&lt;K249,E297&gt;J249),K249-E297,0)+IF(AND(D297&gt;J249,E297&lt;=J249,D297&lt;K249),D297-J249,0)+IF(AND(D297&lt;K249,E297&gt;J249,D297&gt;E297),D297-E297,0)+IF(AND(D297&gt;K295,E297&lt;=J295),L295,0)+IF(AND(D297&gt;=K295,E297&lt;K295,E297&gt;J295),K295-E297,0)+IF(AND(D297&gt;J295,E297&lt;J295,D297&lt;=K295),D297-J295,0)+IF(AND(D297&lt;K295,E297&gt;J295,D297&gt;E297),D297-E297,0)+IF(AND(D297&gt;K296,E297&lt;=J296),L296,0)+IF(AND(D297&gt;=K296,E297&lt;K296,E297&gt;J296),K296-E297,0)+IF(AND(D297&gt;J296,E297&lt;J296,D297&lt;=K296),D297-J296,0)+IF(AND(D297&lt;K296,E297&gt;J296,D297&gt;E297),D297-E297,0))</f>
        <v>0</v>
      </c>
      <c r="P297" s="324" t="str">
        <f t="shared" si="168"/>
        <v/>
      </c>
      <c r="Q297" s="325" t="str">
        <f t="shared" si="156"/>
        <v/>
      </c>
      <c r="R297" s="323" t="str">
        <f t="shared" si="135"/>
        <v/>
      </c>
      <c r="S297" s="323" t="str">
        <f>IF(V297="","",IF(AND(N297="",O297=""),F297,IF(O297="",O297*AVERAGE(V296,V295,V249)+F297,O297*V297+F297)))</f>
        <v/>
      </c>
      <c r="T297" s="323" t="str">
        <f t="shared" si="136"/>
        <v/>
      </c>
      <c r="U297" s="323" t="str">
        <f t="shared" si="137"/>
        <v/>
      </c>
      <c r="V297" s="322" t="str">
        <f t="shared" si="158"/>
        <v/>
      </c>
      <c r="W297" s="323" t="str">
        <f t="shared" si="169"/>
        <v/>
      </c>
      <c r="X297" s="323" t="str">
        <f t="shared" si="170"/>
        <v/>
      </c>
      <c r="Y297" s="323" t="str">
        <f t="shared" si="139"/>
        <v/>
      </c>
      <c r="Z297" s="323" t="str">
        <f t="shared" si="160"/>
        <v/>
      </c>
      <c r="AA297" s="326" t="str">
        <f t="shared" si="140"/>
        <v/>
      </c>
      <c r="AB297" s="323" t="str">
        <f t="shared" si="150"/>
        <v/>
      </c>
      <c r="AC297" s="327"/>
      <c r="AD297" s="328" t="str">
        <f t="shared" si="141"/>
        <v/>
      </c>
      <c r="AE297" s="328" t="str">
        <f t="shared" si="141"/>
        <v/>
      </c>
      <c r="AF297" s="328" t="str">
        <f t="shared" si="142"/>
        <v/>
      </c>
      <c r="AG297" s="328" t="str">
        <f t="shared" si="143"/>
        <v/>
      </c>
      <c r="AH297" s="328" t="str">
        <f t="shared" si="171"/>
        <v/>
      </c>
      <c r="AI297" s="328" t="str">
        <f t="shared" si="172"/>
        <v/>
      </c>
      <c r="AJ297" s="329" t="str">
        <f t="shared" si="148"/>
        <v/>
      </c>
      <c r="AK297" s="329" t="str" cm="1">
        <f t="array" ref="AK297">IF(OR(E297="", H297=""), "",
  IFERROR(
     (
      INDEX($AM$3:$AM$22, MATCH(E297, $AL$3:$AL$22, 1)) +
      (E297 - INDEX($AL$3:$AL$22, MATCH(E297, $AL$3:$AL$22, 1))) *
      (INDEX($AM$3:$AM$22, MATCH(E297, $AL$3:$AL$22, 1)+1) - INDEX($AM$3:$AM$22, MATCH(E297, $AL$3:$AL$22, 1))) /
      (INDEX($AL$3:$AL$22, MATCH(E297, $AL$3:$AL$22, 1)+1) - INDEX($AL$3:$AL$22, MATCH(E297, $AL$3:$AL$22, 1)))
    ) - H297,
    ""
  )
)</f>
        <v/>
      </c>
      <c r="AL297" s="341"/>
      <c r="AM297" s="342"/>
      <c r="AN297" s="343"/>
    </row>
    <row r="298" spans="1:40" s="315" customFormat="1" ht="15" customHeight="1" x14ac:dyDescent="0.35">
      <c r="A298" s="297">
        <f t="shared" si="164"/>
        <v>3</v>
      </c>
      <c r="B298" s="298">
        <f t="shared" si="164"/>
        <v>19</v>
      </c>
      <c r="C298" s="299" t="str">
        <f t="shared" si="165"/>
        <v/>
      </c>
      <c r="D298" s="300"/>
      <c r="E298" s="301" t="str">
        <f t="shared" si="151"/>
        <v/>
      </c>
      <c r="F298" s="302"/>
      <c r="G298" s="302"/>
      <c r="H298" s="303" t="str">
        <f t="shared" si="166"/>
        <v/>
      </c>
      <c r="I298" s="304" t="str">
        <f t="shared" si="167"/>
        <v/>
      </c>
      <c r="J298" s="302" t="str">
        <f t="shared" si="133"/>
        <v/>
      </c>
      <c r="K298" s="304" t="str">
        <f t="shared" si="149"/>
        <v/>
      </c>
      <c r="L298" s="302"/>
      <c r="M298" s="305"/>
      <c r="N298" s="304" t="str">
        <f>IF(SUM(IF(AND(E298&gt;K249,E297&lt;=J249),L249,0)+IF(AND(E298&gt;=K249,E297&lt;K249,E297&gt;J249),K249-E297,0)+IF(AND(E298&gt;J249,E297&lt;=J249,E298&lt;K249),E298-J249,0)+IF(AND(E298&lt;K249,E297&gt;J249,E298&gt;E297),E298-E297,0)+IF(AND(E298&gt;K295,E297&lt;=J295),L295,0)+IF(AND(E298&gt;=K295,E297&lt;K295,E297&gt;J295),K295-E297,0)+IF(AND(E298&gt;J295,E297&lt;=J295,E298&lt;K295),E298-J295,0)+IF(AND(E298&lt;K295,E297&gt;J295,E298&gt;E297),E298-E297,0)+IF(AND(E298&gt;K296,E297&lt;=J296),L296,0)+IF(AND(E298&gt;=K296,E297&lt;K296,E297&gt;J296),K296-E297,0)+IF(AND(E298&gt;J296,E297&lt;J296,E298&lt;=K296),E298-J296,0)+IF(AND(E298&lt;K296,E297&gt;J296,E298&gt;E297),E298-E297,0)+IF(AND(E298&gt;K297,E297&lt;=J297),L297,0)+IF(AND(E298&gt;=K297,E297&lt;K297,E297&gt;J297),K297-E297,0)+IF(AND(E298&gt;J297,E297&lt;J297,E298&lt;=K297),E298-J297,0)+IF(AND(E298&lt;K297,E297&gt;J297,E298&gt;E297),E298-E297,0))=0,"",SUM(IF(AND(E298&gt;K249,E297&lt;=J249),L249,0)+IF(AND(E298&gt;=K249,E297&lt;K249,E297&gt;J249),K249-E297,0)+IF(AND(E298&gt;J249,E297&lt;=J249,E298&lt;K249),E298-J249,0)+IF(AND(E298&lt;K249,E297&gt;J249,E298&gt;E297),E298-E297,0)+IF(AND(E298&gt;K295,E297&lt;=J295),L295,0)+IF(AND(E298&gt;=K295,E297&lt;K295,E297&gt;J295),K295-E297,0)+IF(AND(E298&gt;J295,E297&lt;=J295,E298&lt;K295),E298-J295,0)+IF(AND(E298&lt;K295,E297&gt;J295,E298&gt;E297),E298-E297,0)+IF(AND(E298&gt;K296,E297&lt;=J296),L296,0)+IF(AND(E298&gt;=K296,E297&lt;K296,E297&gt;J296),K296-E297,0)+IF(AND(E298&gt;J296,E297&lt;J296,E298&lt;=K296),E298-J296,0)+IF(AND(E298&lt;K296,E297&gt;J296,E298&gt;E297),E298-E297,0)+IF(AND(E298&gt;K297,E297&lt;=J297),L297,0)+IF(AND(E298&gt;=K297,E297&lt;K297,E297&gt;J297),K297-E297,0)+IF(AND(E298&gt;J297,E297&lt;J297,E298&lt;=K297),E298-J297,0)+IF(AND(E298&lt;K297,E297&gt;J297,E298&gt;E297),E298-E297,0)))</f>
        <v/>
      </c>
      <c r="O298" s="304">
        <f t="shared" ref="O298:O339" si="173">SUM(IF(AND(D298&gt;K295,E298&lt;=J295),L295,0)+IF(AND(D298&gt;=K295,E298&lt;K295,E298&gt;J295),K295-E298,0)+IF(AND(D298&gt;J295,E298&lt;=J295,D298&lt;K295),D298-J295,0)+IF(AND(D298&lt;K295,E298&gt;J295,D298&gt;E298),D298-E298,0)+IF(AND(D298&gt;K296,E298&lt;=J296),L296,0)+IF(AND(D298&gt;=K296,E298&lt;K296,E298&gt;J296),K296-E298,0)+IF(AND(D298&gt;J296,E298&lt;J296,D298&lt;=K296),D298-J296,0)+IF(AND(D298&lt;K296,E298&gt;J296,D298&gt;E298),D298-E298,0)+IF(AND(D298&gt;K297,E298&lt;=J297),L297,0)+IF(AND(D298&gt;=K297,E298&lt;K297,E298&gt;J297),K297-E298,0)+IF(AND(D298&gt;J297,E298&lt;J297,D298&lt;=K297),D298-J297,0)+IF(AND(D298&lt;K297,E298&gt;J297,D298&gt;E298),D298-E298,0))</f>
        <v>0</v>
      </c>
      <c r="P298" s="306" t="str">
        <f t="shared" si="168"/>
        <v/>
      </c>
      <c r="Q298" s="307" t="str">
        <f t="shared" si="156"/>
        <v/>
      </c>
      <c r="R298" s="304" t="str">
        <f t="shared" si="135"/>
        <v/>
      </c>
      <c r="S298" s="304" t="str">
        <f t="shared" ref="S298:S339" si="174">IF(V298="","",IF(AND(N298="",O298=""),F298,IF(O298="",O298*AVERAGE(V297,V296,V295)+F298,O298*V298+F298)))</f>
        <v/>
      </c>
      <c r="T298" s="304" t="str">
        <f t="shared" si="136"/>
        <v/>
      </c>
      <c r="U298" s="304" t="str">
        <f t="shared" si="137"/>
        <v/>
      </c>
      <c r="V298" s="303" t="str">
        <f t="shared" si="158"/>
        <v/>
      </c>
      <c r="W298" s="304" t="str">
        <f t="shared" si="169"/>
        <v/>
      </c>
      <c r="X298" s="304" t="str">
        <f t="shared" si="170"/>
        <v/>
      </c>
      <c r="Y298" s="304" t="str">
        <f t="shared" si="139"/>
        <v/>
      </c>
      <c r="Z298" s="304" t="str">
        <f t="shared" si="160"/>
        <v/>
      </c>
      <c r="AA298" s="308" t="str">
        <f t="shared" si="140"/>
        <v/>
      </c>
      <c r="AB298" s="304" t="str">
        <f t="shared" si="150"/>
        <v/>
      </c>
      <c r="AC298" s="309"/>
      <c r="AD298" s="310" t="str">
        <f t="shared" si="141"/>
        <v/>
      </c>
      <c r="AE298" s="310" t="str">
        <f t="shared" si="141"/>
        <v/>
      </c>
      <c r="AF298" s="310" t="str">
        <f t="shared" si="142"/>
        <v/>
      </c>
      <c r="AG298" s="310" t="str">
        <f t="shared" si="143"/>
        <v/>
      </c>
      <c r="AH298" s="310" t="str">
        <f t="shared" si="171"/>
        <v/>
      </c>
      <c r="AI298" s="310" t="str">
        <f t="shared" si="172"/>
        <v/>
      </c>
      <c r="AJ298" s="311" t="str">
        <f t="shared" si="148"/>
        <v/>
      </c>
      <c r="AK298" s="311" t="str" cm="1">
        <f t="array" ref="AK298">IF(OR(E298="", H298=""), "",
  IFERROR(
     (
      INDEX($AM$3:$AM$22, MATCH(E298, $AL$3:$AL$22, 1)) +
      (E298 - INDEX($AL$3:$AL$22, MATCH(E298, $AL$3:$AL$22, 1))) *
      (INDEX($AM$3:$AM$22, MATCH(E298, $AL$3:$AL$22, 1)+1) - INDEX($AM$3:$AM$22, MATCH(E298, $AL$3:$AL$22, 1))) /
      (INDEX($AL$3:$AL$22, MATCH(E298, $AL$3:$AL$22, 1)+1) - INDEX($AL$3:$AL$22, MATCH(E298, $AL$3:$AL$22, 1)))
    ) - H298,
    ""
  )
)</f>
        <v/>
      </c>
      <c r="AL298" s="338"/>
      <c r="AM298" s="339"/>
      <c r="AN298" s="340"/>
    </row>
    <row r="299" spans="1:40" s="315" customFormat="1" ht="15" customHeight="1" x14ac:dyDescent="0.35">
      <c r="A299" s="316">
        <f t="shared" si="164"/>
        <v>3</v>
      </c>
      <c r="B299" s="317">
        <f t="shared" si="164"/>
        <v>19</v>
      </c>
      <c r="C299" s="318" t="str">
        <f t="shared" si="165"/>
        <v/>
      </c>
      <c r="D299" s="319"/>
      <c r="E299" s="320" t="str">
        <f t="shared" si="151"/>
        <v/>
      </c>
      <c r="F299" s="321"/>
      <c r="G299" s="321"/>
      <c r="H299" s="322" t="str">
        <f t="shared" si="166"/>
        <v/>
      </c>
      <c r="I299" s="323" t="str">
        <f t="shared" si="167"/>
        <v/>
      </c>
      <c r="J299" s="321" t="str">
        <f t="shared" si="133"/>
        <v/>
      </c>
      <c r="K299" s="323" t="str">
        <f t="shared" si="149"/>
        <v/>
      </c>
      <c r="L299" s="321"/>
      <c r="M299" s="333"/>
      <c r="N299" s="323" t="str">
        <f t="shared" ref="N299:N339" si="175">IF(SUM(IF(AND(E299&gt;K295,E298&lt;=J295),L295,0)+IF(AND(E299&gt;=K295,E298&lt;K295,E298&gt;J295),K295-E298,0)+IF(AND(E299&gt;J295,E298&lt;=J295,E299&lt;K295),E299-J295,0)+IF(AND(E299&lt;K295,E298&gt;J295,E299&gt;E298),E299-E298,0)+IF(AND(E299&gt;K296,E298&lt;=J296),L296,0)+IF(AND(E299&gt;=K296,E298&lt;K296,E298&gt;J296),K296-E298,0)+IF(AND(E299&gt;J296,E298&lt;=J296,E299&lt;K296),E299-J296,0)+IF(AND(E299&lt;K296,E298&gt;J296,E299&gt;E298),E299-E298,0)+IF(AND(E299&gt;K297,E298&lt;=J297),L297,0)+IF(AND(E299&gt;=K297,E298&lt;K297,E298&gt;J297),K297-E298,0)+IF(AND(E299&gt;J297,E298&lt;J297,E299&lt;=K297),E299-J297,0)+IF(AND(E299&lt;K297,E298&gt;J297,E299&gt;E298),E299-E298,0)+IF(AND(E299&gt;K298,E298&lt;=J298),L298,0)+IF(AND(E299&gt;=K298,E298&lt;K298,E298&gt;J298),K298-E298,0)+IF(AND(E299&gt;J298,E298&lt;J298,E299&lt;=K298),E299-J298,0)+IF(AND(E299&lt;K298,E298&gt;J298,E299&gt;E298),E299-E298,0))=0,"",SUM(IF(AND(E299&gt;K295,E298&lt;=J295),L295,0)+IF(AND(E299&gt;=K295,E298&lt;K295,E298&gt;J295),K295-E298,0)+IF(AND(E299&gt;J295,E298&lt;=J295,E299&lt;K295),E299-J295,0)+IF(AND(E299&lt;K295,E298&gt;J295,E299&gt;E298),E299-E298,0)+IF(AND(E299&gt;K296,E298&lt;=J296),L296,0)+IF(AND(E299&gt;=K296,E298&lt;K296,E298&gt;J296),K296-E298,0)+IF(AND(E299&gt;J296,E298&lt;=J296,E299&lt;K296),E299-J296,0)+IF(AND(E299&lt;K296,E298&gt;J296,E299&gt;E298),E299-E298,0)+IF(AND(E299&gt;K297,E298&lt;=J297),L297,0)+IF(AND(E299&gt;=K297,E298&lt;K297,E298&gt;J297),K297-E298,0)+IF(AND(E299&gt;J297,E298&lt;J297,E299&lt;=K297),E299-J297,0)+IF(AND(E299&lt;K297,E298&gt;J297,E299&gt;E298),E299-E298,0)+IF(AND(E299&gt;K298,E298&lt;=J298),L298,0)+IF(AND(E299&gt;=K298,E298&lt;K298,E298&gt;J298),K298-E298,0)+IF(AND(E299&gt;J298,E298&lt;J298,E299&lt;=K298),E299-J298,0)+IF(AND(E299&lt;K298,E298&gt;J298,E299&gt;E298),E299-E298,0)))</f>
        <v/>
      </c>
      <c r="O299" s="323">
        <f t="shared" si="173"/>
        <v>0</v>
      </c>
      <c r="P299" s="324" t="str">
        <f t="shared" si="168"/>
        <v/>
      </c>
      <c r="Q299" s="325" t="str">
        <f t="shared" si="156"/>
        <v/>
      </c>
      <c r="R299" s="323" t="str">
        <f t="shared" si="135"/>
        <v/>
      </c>
      <c r="S299" s="323" t="str">
        <f t="shared" si="174"/>
        <v/>
      </c>
      <c r="T299" s="323" t="str">
        <f t="shared" si="136"/>
        <v/>
      </c>
      <c r="U299" s="323" t="str">
        <f t="shared" si="137"/>
        <v/>
      </c>
      <c r="V299" s="322" t="str">
        <f t="shared" si="158"/>
        <v/>
      </c>
      <c r="W299" s="323" t="str">
        <f t="shared" si="169"/>
        <v/>
      </c>
      <c r="X299" s="323" t="str">
        <f t="shared" si="170"/>
        <v/>
      </c>
      <c r="Y299" s="323" t="str">
        <f t="shared" si="139"/>
        <v/>
      </c>
      <c r="Z299" s="323" t="str">
        <f t="shared" si="160"/>
        <v/>
      </c>
      <c r="AA299" s="326" t="str">
        <f t="shared" si="140"/>
        <v/>
      </c>
      <c r="AB299" s="323" t="str">
        <f t="shared" si="150"/>
        <v/>
      </c>
      <c r="AC299" s="327"/>
      <c r="AD299" s="328" t="str">
        <f t="shared" si="141"/>
        <v/>
      </c>
      <c r="AE299" s="328" t="str">
        <f t="shared" si="141"/>
        <v/>
      </c>
      <c r="AF299" s="328" t="str">
        <f t="shared" si="142"/>
        <v/>
      </c>
      <c r="AG299" s="328" t="str">
        <f t="shared" si="143"/>
        <v/>
      </c>
      <c r="AH299" s="328" t="str">
        <f t="shared" si="171"/>
        <v/>
      </c>
      <c r="AI299" s="328" t="str">
        <f t="shared" si="172"/>
        <v/>
      </c>
      <c r="AJ299" s="329" t="str">
        <f t="shared" si="148"/>
        <v/>
      </c>
      <c r="AK299" s="329" t="str" cm="1">
        <f t="array" ref="AK299">IF(OR(E299="", H299=""), "",
  IFERROR(
     (
      INDEX($AM$3:$AM$22, MATCH(E299, $AL$3:$AL$22, 1)) +
      (E299 - INDEX($AL$3:$AL$22, MATCH(E299, $AL$3:$AL$22, 1))) *
      (INDEX($AM$3:$AM$22, MATCH(E299, $AL$3:$AL$22, 1)+1) - INDEX($AM$3:$AM$22, MATCH(E299, $AL$3:$AL$22, 1))) /
      (INDEX($AL$3:$AL$22, MATCH(E299, $AL$3:$AL$22, 1)+1) - INDEX($AL$3:$AL$22, MATCH(E299, $AL$3:$AL$22, 1)))
    ) - H299,
    ""
  )
)</f>
        <v/>
      </c>
      <c r="AL299" s="341"/>
      <c r="AM299" s="342"/>
      <c r="AN299" s="343"/>
    </row>
    <row r="300" spans="1:40" s="315" customFormat="1" ht="15" customHeight="1" x14ac:dyDescent="0.35">
      <c r="A300" s="297">
        <f t="shared" si="164"/>
        <v>3</v>
      </c>
      <c r="B300" s="298">
        <f t="shared" si="164"/>
        <v>19</v>
      </c>
      <c r="C300" s="299" t="str">
        <f t="shared" si="165"/>
        <v/>
      </c>
      <c r="D300" s="300"/>
      <c r="E300" s="301" t="str">
        <f t="shared" si="151"/>
        <v/>
      </c>
      <c r="F300" s="302"/>
      <c r="G300" s="302"/>
      <c r="H300" s="303" t="str">
        <f t="shared" si="166"/>
        <v/>
      </c>
      <c r="I300" s="304" t="str">
        <f t="shared" si="167"/>
        <v/>
      </c>
      <c r="J300" s="302" t="str">
        <f t="shared" si="133"/>
        <v/>
      </c>
      <c r="K300" s="304" t="str">
        <f t="shared" si="149"/>
        <v/>
      </c>
      <c r="L300" s="302"/>
      <c r="M300" s="305"/>
      <c r="N300" s="304" t="str">
        <f t="shared" si="175"/>
        <v/>
      </c>
      <c r="O300" s="304">
        <f t="shared" si="173"/>
        <v>0</v>
      </c>
      <c r="P300" s="306" t="str">
        <f t="shared" si="168"/>
        <v/>
      </c>
      <c r="Q300" s="307" t="str">
        <f t="shared" si="156"/>
        <v/>
      </c>
      <c r="R300" s="304" t="str">
        <f t="shared" si="135"/>
        <v/>
      </c>
      <c r="S300" s="304" t="str">
        <f t="shared" si="174"/>
        <v/>
      </c>
      <c r="T300" s="304" t="str">
        <f t="shared" si="136"/>
        <v/>
      </c>
      <c r="U300" s="304" t="str">
        <f t="shared" si="137"/>
        <v/>
      </c>
      <c r="V300" s="303" t="str">
        <f t="shared" si="158"/>
        <v/>
      </c>
      <c r="W300" s="304" t="str">
        <f t="shared" si="169"/>
        <v/>
      </c>
      <c r="X300" s="304" t="str">
        <f t="shared" si="170"/>
        <v/>
      </c>
      <c r="Y300" s="304" t="str">
        <f t="shared" si="139"/>
        <v/>
      </c>
      <c r="Z300" s="304" t="str">
        <f t="shared" si="160"/>
        <v/>
      </c>
      <c r="AA300" s="308" t="str">
        <f t="shared" si="140"/>
        <v/>
      </c>
      <c r="AB300" s="304" t="str">
        <f t="shared" si="150"/>
        <v/>
      </c>
      <c r="AC300" s="309"/>
      <c r="AD300" s="310" t="str">
        <f t="shared" si="141"/>
        <v/>
      </c>
      <c r="AE300" s="310" t="str">
        <f t="shared" si="141"/>
        <v/>
      </c>
      <c r="AF300" s="310" t="str">
        <f t="shared" si="142"/>
        <v/>
      </c>
      <c r="AG300" s="310" t="str">
        <f t="shared" si="143"/>
        <v/>
      </c>
      <c r="AH300" s="310" t="str">
        <f t="shared" si="171"/>
        <v/>
      </c>
      <c r="AI300" s="310" t="str">
        <f t="shared" si="172"/>
        <v/>
      </c>
      <c r="AJ300" s="311" t="str">
        <f t="shared" si="148"/>
        <v/>
      </c>
      <c r="AK300" s="311" t="str" cm="1">
        <f t="array" ref="AK300">IF(OR(E300="", H300=""), "",
  IFERROR(
     (
      INDEX($AM$3:$AM$22, MATCH(E300, $AL$3:$AL$22, 1)) +
      (E300 - INDEX($AL$3:$AL$22, MATCH(E300, $AL$3:$AL$22, 1))) *
      (INDEX($AM$3:$AM$22, MATCH(E300, $AL$3:$AL$22, 1)+1) - INDEX($AM$3:$AM$22, MATCH(E300, $AL$3:$AL$22, 1))) /
      (INDEX($AL$3:$AL$22, MATCH(E300, $AL$3:$AL$22, 1)+1) - INDEX($AL$3:$AL$22, MATCH(E300, $AL$3:$AL$22, 1)))
    ) - H300,
    ""
  )
)</f>
        <v/>
      </c>
      <c r="AL300" s="338"/>
      <c r="AM300" s="339"/>
      <c r="AN300" s="340"/>
    </row>
    <row r="301" spans="1:40" s="315" customFormat="1" ht="15" customHeight="1" x14ac:dyDescent="0.35">
      <c r="A301" s="316">
        <f t="shared" si="164"/>
        <v>3</v>
      </c>
      <c r="B301" s="317">
        <f t="shared" si="164"/>
        <v>19</v>
      </c>
      <c r="C301" s="318" t="str">
        <f t="shared" si="165"/>
        <v/>
      </c>
      <c r="D301" s="319"/>
      <c r="E301" s="320" t="str">
        <f t="shared" si="151"/>
        <v/>
      </c>
      <c r="F301" s="321"/>
      <c r="G301" s="321"/>
      <c r="H301" s="322" t="str">
        <f t="shared" si="166"/>
        <v/>
      </c>
      <c r="I301" s="323" t="str">
        <f t="shared" si="167"/>
        <v/>
      </c>
      <c r="J301" s="321" t="str">
        <f t="shared" si="133"/>
        <v/>
      </c>
      <c r="K301" s="323" t="str">
        <f t="shared" si="149"/>
        <v/>
      </c>
      <c r="L301" s="321"/>
      <c r="M301" s="333"/>
      <c r="N301" s="323" t="str">
        <f t="shared" si="175"/>
        <v/>
      </c>
      <c r="O301" s="323">
        <f t="shared" si="173"/>
        <v>0</v>
      </c>
      <c r="P301" s="324" t="str">
        <f t="shared" si="168"/>
        <v/>
      </c>
      <c r="Q301" s="325" t="str">
        <f t="shared" si="156"/>
        <v/>
      </c>
      <c r="R301" s="323" t="str">
        <f t="shared" si="135"/>
        <v/>
      </c>
      <c r="S301" s="323" t="str">
        <f t="shared" si="174"/>
        <v/>
      </c>
      <c r="T301" s="323" t="str">
        <f t="shared" si="136"/>
        <v/>
      </c>
      <c r="U301" s="323" t="str">
        <f t="shared" si="137"/>
        <v/>
      </c>
      <c r="V301" s="322" t="str">
        <f t="shared" si="158"/>
        <v/>
      </c>
      <c r="W301" s="323" t="str">
        <f t="shared" si="169"/>
        <v/>
      </c>
      <c r="X301" s="323" t="str">
        <f t="shared" si="170"/>
        <v/>
      </c>
      <c r="Y301" s="323" t="str">
        <f t="shared" si="139"/>
        <v/>
      </c>
      <c r="Z301" s="323" t="str">
        <f t="shared" si="160"/>
        <v/>
      </c>
      <c r="AA301" s="326" t="str">
        <f t="shared" si="140"/>
        <v/>
      </c>
      <c r="AB301" s="323" t="str">
        <f t="shared" si="150"/>
        <v/>
      </c>
      <c r="AC301" s="327"/>
      <c r="AD301" s="328" t="str">
        <f t="shared" si="141"/>
        <v/>
      </c>
      <c r="AE301" s="328" t="str">
        <f t="shared" si="141"/>
        <v/>
      </c>
      <c r="AF301" s="328" t="str">
        <f t="shared" si="142"/>
        <v/>
      </c>
      <c r="AG301" s="328" t="str">
        <f t="shared" si="143"/>
        <v/>
      </c>
      <c r="AH301" s="328" t="str">
        <f t="shared" si="171"/>
        <v/>
      </c>
      <c r="AI301" s="328" t="str">
        <f t="shared" si="172"/>
        <v/>
      </c>
      <c r="AJ301" s="329" t="str">
        <f t="shared" si="148"/>
        <v/>
      </c>
      <c r="AK301" s="329" t="str" cm="1">
        <f t="array" ref="AK301">IF(OR(E301="", H301=""), "",
  IFERROR(
     (
      INDEX($AM$3:$AM$22, MATCH(E301, $AL$3:$AL$22, 1)) +
      (E301 - INDEX($AL$3:$AL$22, MATCH(E301, $AL$3:$AL$22, 1))) *
      (INDEX($AM$3:$AM$22, MATCH(E301, $AL$3:$AL$22, 1)+1) - INDEX($AM$3:$AM$22, MATCH(E301, $AL$3:$AL$22, 1))) /
      (INDEX($AL$3:$AL$22, MATCH(E301, $AL$3:$AL$22, 1)+1) - INDEX($AL$3:$AL$22, MATCH(E301, $AL$3:$AL$22, 1)))
    ) - H301,
    ""
  )
)</f>
        <v/>
      </c>
      <c r="AL301" s="341"/>
      <c r="AM301" s="342"/>
      <c r="AN301" s="343"/>
    </row>
    <row r="302" spans="1:40" s="315" customFormat="1" ht="15" customHeight="1" x14ac:dyDescent="0.35">
      <c r="A302" s="297">
        <f t="shared" si="164"/>
        <v>3</v>
      </c>
      <c r="B302" s="298">
        <f t="shared" si="164"/>
        <v>19</v>
      </c>
      <c r="C302" s="299" t="str">
        <f t="shared" si="165"/>
        <v/>
      </c>
      <c r="D302" s="300"/>
      <c r="E302" s="301" t="str">
        <f t="shared" si="151"/>
        <v/>
      </c>
      <c r="F302" s="302"/>
      <c r="G302" s="302"/>
      <c r="H302" s="303" t="str">
        <f t="shared" si="166"/>
        <v/>
      </c>
      <c r="I302" s="304" t="str">
        <f t="shared" si="167"/>
        <v/>
      </c>
      <c r="J302" s="302" t="str">
        <f t="shared" si="133"/>
        <v/>
      </c>
      <c r="K302" s="304" t="str">
        <f t="shared" si="149"/>
        <v/>
      </c>
      <c r="L302" s="302"/>
      <c r="M302" s="305"/>
      <c r="N302" s="304" t="str">
        <f t="shared" si="175"/>
        <v/>
      </c>
      <c r="O302" s="304">
        <f t="shared" si="173"/>
        <v>0</v>
      </c>
      <c r="P302" s="306" t="str">
        <f t="shared" si="168"/>
        <v/>
      </c>
      <c r="Q302" s="307" t="str">
        <f t="shared" si="156"/>
        <v/>
      </c>
      <c r="R302" s="304" t="str">
        <f t="shared" si="135"/>
        <v/>
      </c>
      <c r="S302" s="304" t="str">
        <f t="shared" si="174"/>
        <v/>
      </c>
      <c r="T302" s="304" t="str">
        <f t="shared" si="136"/>
        <v/>
      </c>
      <c r="U302" s="304" t="str">
        <f t="shared" si="137"/>
        <v/>
      </c>
      <c r="V302" s="303" t="str">
        <f t="shared" si="158"/>
        <v/>
      </c>
      <c r="W302" s="304" t="str">
        <f t="shared" si="169"/>
        <v/>
      </c>
      <c r="X302" s="304" t="str">
        <f t="shared" si="170"/>
        <v/>
      </c>
      <c r="Y302" s="304" t="str">
        <f t="shared" si="139"/>
        <v/>
      </c>
      <c r="Z302" s="304" t="str">
        <f t="shared" si="160"/>
        <v/>
      </c>
      <c r="AA302" s="308" t="str">
        <f t="shared" si="140"/>
        <v/>
      </c>
      <c r="AB302" s="304" t="str">
        <f t="shared" si="150"/>
        <v/>
      </c>
      <c r="AC302" s="309"/>
      <c r="AD302" s="310" t="str">
        <f t="shared" si="141"/>
        <v/>
      </c>
      <c r="AE302" s="310" t="str">
        <f t="shared" si="141"/>
        <v/>
      </c>
      <c r="AF302" s="310" t="str">
        <f t="shared" si="142"/>
        <v/>
      </c>
      <c r="AG302" s="310" t="str">
        <f t="shared" si="143"/>
        <v/>
      </c>
      <c r="AH302" s="310" t="str">
        <f t="shared" si="171"/>
        <v/>
      </c>
      <c r="AI302" s="310" t="str">
        <f t="shared" si="172"/>
        <v/>
      </c>
      <c r="AJ302" s="311" t="str">
        <f t="shared" si="148"/>
        <v/>
      </c>
      <c r="AK302" s="311" t="str" cm="1">
        <f t="array" ref="AK302">IF(OR(E302="", H302=""), "",
  IFERROR(
     (
      INDEX($AM$3:$AM$22, MATCH(E302, $AL$3:$AL$22, 1)) +
      (E302 - INDEX($AL$3:$AL$22, MATCH(E302, $AL$3:$AL$22, 1))) *
      (INDEX($AM$3:$AM$22, MATCH(E302, $AL$3:$AL$22, 1)+1) - INDEX($AM$3:$AM$22, MATCH(E302, $AL$3:$AL$22, 1))) /
      (INDEX($AL$3:$AL$22, MATCH(E302, $AL$3:$AL$22, 1)+1) - INDEX($AL$3:$AL$22, MATCH(E302, $AL$3:$AL$22, 1)))
    ) - H302,
    ""
  )
)</f>
        <v/>
      </c>
      <c r="AL302" s="338"/>
      <c r="AM302" s="339"/>
      <c r="AN302" s="340"/>
    </row>
    <row r="303" spans="1:40" s="315" customFormat="1" ht="15" customHeight="1" x14ac:dyDescent="0.35">
      <c r="A303" s="316">
        <f t="shared" si="164"/>
        <v>3</v>
      </c>
      <c r="B303" s="317">
        <f t="shared" si="164"/>
        <v>19</v>
      </c>
      <c r="C303" s="318" t="str">
        <f t="shared" si="165"/>
        <v/>
      </c>
      <c r="D303" s="319"/>
      <c r="E303" s="320" t="str">
        <f t="shared" si="151"/>
        <v/>
      </c>
      <c r="F303" s="321"/>
      <c r="G303" s="321"/>
      <c r="H303" s="322" t="str">
        <f t="shared" si="166"/>
        <v/>
      </c>
      <c r="I303" s="323" t="str">
        <f t="shared" si="167"/>
        <v/>
      </c>
      <c r="J303" s="321" t="str">
        <f t="shared" si="133"/>
        <v/>
      </c>
      <c r="K303" s="323" t="str">
        <f t="shared" si="149"/>
        <v/>
      </c>
      <c r="L303" s="321"/>
      <c r="M303" s="333"/>
      <c r="N303" s="323" t="str">
        <f t="shared" si="175"/>
        <v/>
      </c>
      <c r="O303" s="323">
        <f t="shared" si="173"/>
        <v>0</v>
      </c>
      <c r="P303" s="324" t="str">
        <f t="shared" si="168"/>
        <v/>
      </c>
      <c r="Q303" s="325" t="str">
        <f t="shared" si="156"/>
        <v/>
      </c>
      <c r="R303" s="323" t="str">
        <f t="shared" si="135"/>
        <v/>
      </c>
      <c r="S303" s="323" t="str">
        <f t="shared" si="174"/>
        <v/>
      </c>
      <c r="T303" s="323" t="str">
        <f t="shared" si="136"/>
        <v/>
      </c>
      <c r="U303" s="323" t="str">
        <f t="shared" si="137"/>
        <v/>
      </c>
      <c r="V303" s="322" t="str">
        <f t="shared" si="158"/>
        <v/>
      </c>
      <c r="W303" s="323" t="str">
        <f t="shared" si="169"/>
        <v/>
      </c>
      <c r="X303" s="323" t="str">
        <f t="shared" si="170"/>
        <v/>
      </c>
      <c r="Y303" s="323" t="str">
        <f t="shared" si="139"/>
        <v/>
      </c>
      <c r="Z303" s="323" t="str">
        <f t="shared" si="160"/>
        <v/>
      </c>
      <c r="AA303" s="326" t="str">
        <f t="shared" si="140"/>
        <v/>
      </c>
      <c r="AB303" s="323" t="str">
        <f t="shared" si="150"/>
        <v/>
      </c>
      <c r="AC303" s="327"/>
      <c r="AD303" s="328" t="str">
        <f t="shared" si="141"/>
        <v/>
      </c>
      <c r="AE303" s="328" t="str">
        <f t="shared" si="141"/>
        <v/>
      </c>
      <c r="AF303" s="328" t="str">
        <f t="shared" si="142"/>
        <v/>
      </c>
      <c r="AG303" s="328" t="str">
        <f t="shared" si="143"/>
        <v/>
      </c>
      <c r="AH303" s="328" t="str">
        <f t="shared" si="171"/>
        <v/>
      </c>
      <c r="AI303" s="328" t="str">
        <f t="shared" si="172"/>
        <v/>
      </c>
      <c r="AJ303" s="329" t="str">
        <f t="shared" si="148"/>
        <v/>
      </c>
      <c r="AK303" s="329" t="str" cm="1">
        <f t="array" ref="AK303">IF(OR(E303="", H303=""), "",
  IFERROR(
     (
      INDEX($AM$3:$AM$22, MATCH(E303, $AL$3:$AL$22, 1)) +
      (E303 - INDEX($AL$3:$AL$22, MATCH(E303, $AL$3:$AL$22, 1))) *
      (INDEX($AM$3:$AM$22, MATCH(E303, $AL$3:$AL$22, 1)+1) - INDEX($AM$3:$AM$22, MATCH(E303, $AL$3:$AL$22, 1))) /
      (INDEX($AL$3:$AL$22, MATCH(E303, $AL$3:$AL$22, 1)+1) - INDEX($AL$3:$AL$22, MATCH(E303, $AL$3:$AL$22, 1)))
    ) - H303,
    ""
  )
)</f>
        <v/>
      </c>
      <c r="AL303" s="341"/>
      <c r="AM303" s="342"/>
      <c r="AN303" s="343"/>
    </row>
    <row r="304" spans="1:40" s="315" customFormat="1" ht="15" customHeight="1" x14ac:dyDescent="0.35">
      <c r="A304" s="297">
        <f t="shared" si="164"/>
        <v>3</v>
      </c>
      <c r="B304" s="298">
        <f t="shared" si="164"/>
        <v>19</v>
      </c>
      <c r="C304" s="299" t="str">
        <f t="shared" si="165"/>
        <v/>
      </c>
      <c r="D304" s="300"/>
      <c r="E304" s="301" t="str">
        <f t="shared" si="151"/>
        <v/>
      </c>
      <c r="F304" s="302"/>
      <c r="G304" s="302"/>
      <c r="H304" s="303" t="str">
        <f t="shared" si="166"/>
        <v/>
      </c>
      <c r="I304" s="304" t="str">
        <f t="shared" si="167"/>
        <v/>
      </c>
      <c r="J304" s="302" t="str">
        <f t="shared" si="133"/>
        <v/>
      </c>
      <c r="K304" s="304" t="str">
        <f t="shared" si="149"/>
        <v/>
      </c>
      <c r="L304" s="302"/>
      <c r="M304" s="305"/>
      <c r="N304" s="304" t="str">
        <f t="shared" si="175"/>
        <v/>
      </c>
      <c r="O304" s="304">
        <f t="shared" si="173"/>
        <v>0</v>
      </c>
      <c r="P304" s="306" t="str">
        <f t="shared" si="168"/>
        <v/>
      </c>
      <c r="Q304" s="307" t="str">
        <f t="shared" si="156"/>
        <v/>
      </c>
      <c r="R304" s="304" t="str">
        <f t="shared" si="135"/>
        <v/>
      </c>
      <c r="S304" s="304" t="str">
        <f t="shared" si="174"/>
        <v/>
      </c>
      <c r="T304" s="304" t="str">
        <f t="shared" si="136"/>
        <v/>
      </c>
      <c r="U304" s="304" t="str">
        <f t="shared" si="137"/>
        <v/>
      </c>
      <c r="V304" s="303" t="str">
        <f t="shared" si="158"/>
        <v/>
      </c>
      <c r="W304" s="304" t="str">
        <f t="shared" si="169"/>
        <v/>
      </c>
      <c r="X304" s="304" t="str">
        <f t="shared" si="170"/>
        <v/>
      </c>
      <c r="Y304" s="304" t="str">
        <f t="shared" si="139"/>
        <v/>
      </c>
      <c r="Z304" s="304" t="str">
        <f t="shared" si="160"/>
        <v/>
      </c>
      <c r="AA304" s="308" t="str">
        <f t="shared" si="140"/>
        <v/>
      </c>
      <c r="AB304" s="304" t="str">
        <f t="shared" si="150"/>
        <v/>
      </c>
      <c r="AC304" s="309"/>
      <c r="AD304" s="310" t="str">
        <f t="shared" si="141"/>
        <v/>
      </c>
      <c r="AE304" s="310" t="str">
        <f t="shared" si="141"/>
        <v/>
      </c>
      <c r="AF304" s="310" t="str">
        <f t="shared" si="142"/>
        <v/>
      </c>
      <c r="AG304" s="310" t="str">
        <f t="shared" si="143"/>
        <v/>
      </c>
      <c r="AH304" s="310" t="str">
        <f t="shared" si="171"/>
        <v/>
      </c>
      <c r="AI304" s="310" t="str">
        <f t="shared" si="172"/>
        <v/>
      </c>
      <c r="AJ304" s="311" t="str">
        <f t="shared" si="148"/>
        <v/>
      </c>
      <c r="AK304" s="311" t="str" cm="1">
        <f t="array" ref="AK304">IF(OR(E304="", H304=""), "",
  IFERROR(
     (
      INDEX($AM$3:$AM$22, MATCH(E304, $AL$3:$AL$22, 1)) +
      (E304 - INDEX($AL$3:$AL$22, MATCH(E304, $AL$3:$AL$22, 1))) *
      (INDEX($AM$3:$AM$22, MATCH(E304, $AL$3:$AL$22, 1)+1) - INDEX($AM$3:$AM$22, MATCH(E304, $AL$3:$AL$22, 1))) /
      (INDEX($AL$3:$AL$22, MATCH(E304, $AL$3:$AL$22, 1)+1) - INDEX($AL$3:$AL$22, MATCH(E304, $AL$3:$AL$22, 1)))
    ) - H304,
    ""
  )
)</f>
        <v/>
      </c>
      <c r="AL304" s="338"/>
      <c r="AM304" s="339"/>
      <c r="AN304" s="340"/>
    </row>
    <row r="305" spans="1:40" s="315" customFormat="1" ht="15" customHeight="1" x14ac:dyDescent="0.35">
      <c r="A305" s="316">
        <f t="shared" si="164"/>
        <v>3</v>
      </c>
      <c r="B305" s="317">
        <f t="shared" si="164"/>
        <v>19</v>
      </c>
      <c r="C305" s="318" t="str">
        <f t="shared" si="165"/>
        <v/>
      </c>
      <c r="D305" s="319"/>
      <c r="E305" s="320" t="str">
        <f t="shared" si="151"/>
        <v/>
      </c>
      <c r="F305" s="321"/>
      <c r="G305" s="321"/>
      <c r="H305" s="322" t="str">
        <f t="shared" si="166"/>
        <v/>
      </c>
      <c r="I305" s="323" t="str">
        <f t="shared" si="167"/>
        <v/>
      </c>
      <c r="J305" s="321" t="str">
        <f t="shared" si="133"/>
        <v/>
      </c>
      <c r="K305" s="323" t="str">
        <f t="shared" si="149"/>
        <v/>
      </c>
      <c r="L305" s="321"/>
      <c r="M305" s="333"/>
      <c r="N305" s="323" t="str">
        <f t="shared" si="175"/>
        <v/>
      </c>
      <c r="O305" s="323">
        <f t="shared" si="173"/>
        <v>0</v>
      </c>
      <c r="P305" s="324" t="str">
        <f t="shared" si="168"/>
        <v/>
      </c>
      <c r="Q305" s="325" t="str">
        <f t="shared" si="156"/>
        <v/>
      </c>
      <c r="R305" s="323" t="str">
        <f t="shared" si="135"/>
        <v/>
      </c>
      <c r="S305" s="323" t="str">
        <f t="shared" si="174"/>
        <v/>
      </c>
      <c r="T305" s="323" t="str">
        <f t="shared" si="136"/>
        <v/>
      </c>
      <c r="U305" s="323" t="str">
        <f t="shared" si="137"/>
        <v/>
      </c>
      <c r="V305" s="322" t="str">
        <f t="shared" si="158"/>
        <v/>
      </c>
      <c r="W305" s="323" t="str">
        <f t="shared" si="169"/>
        <v/>
      </c>
      <c r="X305" s="323" t="str">
        <f t="shared" si="170"/>
        <v/>
      </c>
      <c r="Y305" s="323" t="str">
        <f t="shared" si="139"/>
        <v/>
      </c>
      <c r="Z305" s="323" t="str">
        <f t="shared" si="160"/>
        <v/>
      </c>
      <c r="AA305" s="326" t="str">
        <f t="shared" si="140"/>
        <v/>
      </c>
      <c r="AB305" s="323" t="str">
        <f t="shared" si="150"/>
        <v/>
      </c>
      <c r="AC305" s="327"/>
      <c r="AD305" s="328" t="str">
        <f t="shared" si="141"/>
        <v/>
      </c>
      <c r="AE305" s="328" t="str">
        <f t="shared" si="141"/>
        <v/>
      </c>
      <c r="AF305" s="328" t="str">
        <f t="shared" si="142"/>
        <v/>
      </c>
      <c r="AG305" s="328" t="str">
        <f t="shared" si="143"/>
        <v/>
      </c>
      <c r="AH305" s="328" t="str">
        <f t="shared" si="171"/>
        <v/>
      </c>
      <c r="AI305" s="328" t="str">
        <f t="shared" si="172"/>
        <v/>
      </c>
      <c r="AJ305" s="329" t="str">
        <f t="shared" si="148"/>
        <v/>
      </c>
      <c r="AK305" s="329" t="str" cm="1">
        <f t="array" ref="AK305">IF(OR(E305="", H305=""), "",
  IFERROR(
     (
      INDEX($AM$3:$AM$22, MATCH(E305, $AL$3:$AL$22, 1)) +
      (E305 - INDEX($AL$3:$AL$22, MATCH(E305, $AL$3:$AL$22, 1))) *
      (INDEX($AM$3:$AM$22, MATCH(E305, $AL$3:$AL$22, 1)+1) - INDEX($AM$3:$AM$22, MATCH(E305, $AL$3:$AL$22, 1))) /
      (INDEX($AL$3:$AL$22, MATCH(E305, $AL$3:$AL$22, 1)+1) - INDEX($AL$3:$AL$22, MATCH(E305, $AL$3:$AL$22, 1)))
    ) - H305,
    ""
  )
)</f>
        <v/>
      </c>
      <c r="AL305" s="341"/>
      <c r="AM305" s="342"/>
      <c r="AN305" s="343"/>
    </row>
    <row r="306" spans="1:40" s="315" customFormat="1" ht="15" customHeight="1" x14ac:dyDescent="0.35">
      <c r="A306" s="297">
        <f t="shared" si="164"/>
        <v>3</v>
      </c>
      <c r="B306" s="298">
        <f t="shared" si="164"/>
        <v>19</v>
      </c>
      <c r="C306" s="299" t="str">
        <f t="shared" si="165"/>
        <v/>
      </c>
      <c r="D306" s="300"/>
      <c r="E306" s="301" t="str">
        <f t="shared" si="151"/>
        <v/>
      </c>
      <c r="F306" s="302"/>
      <c r="G306" s="302"/>
      <c r="H306" s="303" t="str">
        <f t="shared" si="166"/>
        <v/>
      </c>
      <c r="I306" s="304" t="str">
        <f t="shared" si="167"/>
        <v/>
      </c>
      <c r="J306" s="302" t="str">
        <f t="shared" si="133"/>
        <v/>
      </c>
      <c r="K306" s="304" t="str">
        <f t="shared" si="149"/>
        <v/>
      </c>
      <c r="L306" s="302"/>
      <c r="M306" s="305"/>
      <c r="N306" s="304" t="str">
        <f t="shared" si="175"/>
        <v/>
      </c>
      <c r="O306" s="304">
        <f t="shared" si="173"/>
        <v>0</v>
      </c>
      <c r="P306" s="306" t="str">
        <f t="shared" si="168"/>
        <v/>
      </c>
      <c r="Q306" s="307" t="str">
        <f t="shared" si="156"/>
        <v/>
      </c>
      <c r="R306" s="304" t="str">
        <f t="shared" si="135"/>
        <v/>
      </c>
      <c r="S306" s="304" t="str">
        <f t="shared" si="174"/>
        <v/>
      </c>
      <c r="T306" s="304" t="str">
        <f t="shared" si="136"/>
        <v/>
      </c>
      <c r="U306" s="304" t="str">
        <f t="shared" si="137"/>
        <v/>
      </c>
      <c r="V306" s="303" t="str">
        <f t="shared" si="158"/>
        <v/>
      </c>
      <c r="W306" s="304" t="str">
        <f t="shared" si="169"/>
        <v/>
      </c>
      <c r="X306" s="304" t="str">
        <f t="shared" si="170"/>
        <v/>
      </c>
      <c r="Y306" s="304" t="str">
        <f t="shared" si="139"/>
        <v/>
      </c>
      <c r="Z306" s="304" t="str">
        <f t="shared" si="160"/>
        <v/>
      </c>
      <c r="AA306" s="308" t="str">
        <f t="shared" si="140"/>
        <v/>
      </c>
      <c r="AB306" s="304" t="str">
        <f t="shared" si="150"/>
        <v/>
      </c>
      <c r="AC306" s="309"/>
      <c r="AD306" s="310" t="str">
        <f t="shared" si="141"/>
        <v/>
      </c>
      <c r="AE306" s="310" t="str">
        <f t="shared" si="141"/>
        <v/>
      </c>
      <c r="AF306" s="310" t="str">
        <f t="shared" si="142"/>
        <v/>
      </c>
      <c r="AG306" s="310" t="str">
        <f t="shared" si="143"/>
        <v/>
      </c>
      <c r="AH306" s="310" t="str">
        <f t="shared" si="171"/>
        <v/>
      </c>
      <c r="AI306" s="310" t="str">
        <f t="shared" si="172"/>
        <v/>
      </c>
      <c r="AJ306" s="311" t="str">
        <f t="shared" si="148"/>
        <v/>
      </c>
      <c r="AK306" s="311" t="str" cm="1">
        <f t="array" ref="AK306">IF(OR(E306="", H306=""), "",
  IFERROR(
     (
      INDEX($AM$3:$AM$22, MATCH(E306, $AL$3:$AL$22, 1)) +
      (E306 - INDEX($AL$3:$AL$22, MATCH(E306, $AL$3:$AL$22, 1))) *
      (INDEX($AM$3:$AM$22, MATCH(E306, $AL$3:$AL$22, 1)+1) - INDEX($AM$3:$AM$22, MATCH(E306, $AL$3:$AL$22, 1))) /
      (INDEX($AL$3:$AL$22, MATCH(E306, $AL$3:$AL$22, 1)+1) - INDEX($AL$3:$AL$22, MATCH(E306, $AL$3:$AL$22, 1)))
    ) - H306,
    ""
  )
)</f>
        <v/>
      </c>
      <c r="AL306" s="338"/>
      <c r="AM306" s="339"/>
      <c r="AN306" s="340"/>
    </row>
    <row r="307" spans="1:40" s="315" customFormat="1" ht="15" customHeight="1" x14ac:dyDescent="0.35">
      <c r="A307" s="316">
        <f t="shared" si="164"/>
        <v>3</v>
      </c>
      <c r="B307" s="317">
        <f t="shared" si="164"/>
        <v>19</v>
      </c>
      <c r="C307" s="318" t="str">
        <f t="shared" si="165"/>
        <v/>
      </c>
      <c r="D307" s="319"/>
      <c r="E307" s="320" t="str">
        <f t="shared" si="151"/>
        <v/>
      </c>
      <c r="F307" s="321"/>
      <c r="G307" s="321"/>
      <c r="H307" s="322" t="str">
        <f t="shared" si="166"/>
        <v/>
      </c>
      <c r="I307" s="323" t="str">
        <f t="shared" si="167"/>
        <v/>
      </c>
      <c r="J307" s="321" t="str">
        <f t="shared" si="133"/>
        <v/>
      </c>
      <c r="K307" s="323" t="str">
        <f t="shared" si="149"/>
        <v/>
      </c>
      <c r="L307" s="321"/>
      <c r="M307" s="333"/>
      <c r="N307" s="323" t="str">
        <f t="shared" si="175"/>
        <v/>
      </c>
      <c r="O307" s="323">
        <f t="shared" si="173"/>
        <v>0</v>
      </c>
      <c r="P307" s="324" t="str">
        <f t="shared" si="168"/>
        <v/>
      </c>
      <c r="Q307" s="325" t="str">
        <f t="shared" si="156"/>
        <v/>
      </c>
      <c r="R307" s="323" t="str">
        <f t="shared" si="135"/>
        <v/>
      </c>
      <c r="S307" s="323" t="str">
        <f t="shared" si="174"/>
        <v/>
      </c>
      <c r="T307" s="323" t="str">
        <f t="shared" si="136"/>
        <v/>
      </c>
      <c r="U307" s="323" t="str">
        <f t="shared" si="137"/>
        <v/>
      </c>
      <c r="V307" s="322" t="str">
        <f t="shared" si="158"/>
        <v/>
      </c>
      <c r="W307" s="323" t="str">
        <f t="shared" si="169"/>
        <v/>
      </c>
      <c r="X307" s="323" t="str">
        <f t="shared" si="170"/>
        <v/>
      </c>
      <c r="Y307" s="323" t="str">
        <f t="shared" si="139"/>
        <v/>
      </c>
      <c r="Z307" s="323" t="str">
        <f t="shared" si="160"/>
        <v/>
      </c>
      <c r="AA307" s="326" t="str">
        <f t="shared" si="140"/>
        <v/>
      </c>
      <c r="AB307" s="323" t="str">
        <f t="shared" si="150"/>
        <v/>
      </c>
      <c r="AC307" s="327"/>
      <c r="AD307" s="328" t="str">
        <f t="shared" si="141"/>
        <v/>
      </c>
      <c r="AE307" s="328" t="str">
        <f t="shared" si="141"/>
        <v/>
      </c>
      <c r="AF307" s="328" t="str">
        <f t="shared" si="142"/>
        <v/>
      </c>
      <c r="AG307" s="328" t="str">
        <f t="shared" si="143"/>
        <v/>
      </c>
      <c r="AH307" s="328" t="str">
        <f t="shared" si="171"/>
        <v/>
      </c>
      <c r="AI307" s="328" t="str">
        <f t="shared" si="172"/>
        <v/>
      </c>
      <c r="AJ307" s="329" t="str">
        <f t="shared" si="148"/>
        <v/>
      </c>
      <c r="AK307" s="329" t="str" cm="1">
        <f t="array" ref="AK307">IF(OR(E307="", H307=""), "",
  IFERROR(
     (
      INDEX($AM$3:$AM$22, MATCH(E307, $AL$3:$AL$22, 1)) +
      (E307 - INDEX($AL$3:$AL$22, MATCH(E307, $AL$3:$AL$22, 1))) *
      (INDEX($AM$3:$AM$22, MATCH(E307, $AL$3:$AL$22, 1)+1) - INDEX($AM$3:$AM$22, MATCH(E307, $AL$3:$AL$22, 1))) /
      (INDEX($AL$3:$AL$22, MATCH(E307, $AL$3:$AL$22, 1)+1) - INDEX($AL$3:$AL$22, MATCH(E307, $AL$3:$AL$22, 1)))
    ) - H307,
    ""
  )
)</f>
        <v/>
      </c>
      <c r="AL307" s="341"/>
      <c r="AM307" s="342"/>
      <c r="AN307" s="343"/>
    </row>
    <row r="308" spans="1:40" s="315" customFormat="1" ht="15" customHeight="1" x14ac:dyDescent="0.35">
      <c r="A308" s="297">
        <f t="shared" si="164"/>
        <v>3</v>
      </c>
      <c r="B308" s="298">
        <f t="shared" si="164"/>
        <v>19</v>
      </c>
      <c r="C308" s="299" t="str">
        <f t="shared" si="165"/>
        <v/>
      </c>
      <c r="D308" s="300"/>
      <c r="E308" s="301" t="str">
        <f t="shared" si="151"/>
        <v/>
      </c>
      <c r="F308" s="302"/>
      <c r="G308" s="302"/>
      <c r="H308" s="303" t="str">
        <f t="shared" si="166"/>
        <v/>
      </c>
      <c r="I308" s="304" t="str">
        <f t="shared" si="167"/>
        <v/>
      </c>
      <c r="J308" s="302" t="str">
        <f t="shared" si="133"/>
        <v/>
      </c>
      <c r="K308" s="304" t="str">
        <f t="shared" si="149"/>
        <v/>
      </c>
      <c r="L308" s="302"/>
      <c r="M308" s="305"/>
      <c r="N308" s="304" t="str">
        <f t="shared" si="175"/>
        <v/>
      </c>
      <c r="O308" s="304">
        <f t="shared" si="173"/>
        <v>0</v>
      </c>
      <c r="P308" s="306" t="str">
        <f t="shared" si="168"/>
        <v/>
      </c>
      <c r="Q308" s="307" t="str">
        <f t="shared" si="156"/>
        <v/>
      </c>
      <c r="R308" s="304" t="str">
        <f t="shared" si="135"/>
        <v/>
      </c>
      <c r="S308" s="304" t="str">
        <f t="shared" si="174"/>
        <v/>
      </c>
      <c r="T308" s="304" t="str">
        <f t="shared" si="136"/>
        <v/>
      </c>
      <c r="U308" s="304" t="str">
        <f t="shared" si="137"/>
        <v/>
      </c>
      <c r="V308" s="303" t="str">
        <f t="shared" si="158"/>
        <v/>
      </c>
      <c r="W308" s="304" t="str">
        <f t="shared" si="169"/>
        <v/>
      </c>
      <c r="X308" s="304" t="str">
        <f t="shared" si="170"/>
        <v/>
      </c>
      <c r="Y308" s="304" t="str">
        <f t="shared" si="139"/>
        <v/>
      </c>
      <c r="Z308" s="304" t="str">
        <f t="shared" si="160"/>
        <v/>
      </c>
      <c r="AA308" s="308" t="str">
        <f t="shared" si="140"/>
        <v/>
      </c>
      <c r="AB308" s="304" t="str">
        <f t="shared" si="150"/>
        <v/>
      </c>
      <c r="AC308" s="309"/>
      <c r="AD308" s="310" t="str">
        <f t="shared" si="141"/>
        <v/>
      </c>
      <c r="AE308" s="310" t="str">
        <f t="shared" si="141"/>
        <v/>
      </c>
      <c r="AF308" s="310" t="str">
        <f t="shared" si="142"/>
        <v/>
      </c>
      <c r="AG308" s="310" t="str">
        <f t="shared" si="143"/>
        <v/>
      </c>
      <c r="AH308" s="310" t="str">
        <f t="shared" si="171"/>
        <v/>
      </c>
      <c r="AI308" s="310" t="str">
        <f t="shared" si="172"/>
        <v/>
      </c>
      <c r="AJ308" s="311" t="str">
        <f t="shared" si="148"/>
        <v/>
      </c>
      <c r="AK308" s="311" t="str" cm="1">
        <f t="array" ref="AK308">IF(OR(E308="", H308=""), "",
  IFERROR(
     (
      INDEX($AM$3:$AM$22, MATCH(E308, $AL$3:$AL$22, 1)) +
      (E308 - INDEX($AL$3:$AL$22, MATCH(E308, $AL$3:$AL$22, 1))) *
      (INDEX($AM$3:$AM$22, MATCH(E308, $AL$3:$AL$22, 1)+1) - INDEX($AM$3:$AM$22, MATCH(E308, $AL$3:$AL$22, 1))) /
      (INDEX($AL$3:$AL$22, MATCH(E308, $AL$3:$AL$22, 1)+1) - INDEX($AL$3:$AL$22, MATCH(E308, $AL$3:$AL$22, 1)))
    ) - H308,
    ""
  )
)</f>
        <v/>
      </c>
      <c r="AL308" s="338"/>
      <c r="AM308" s="339"/>
      <c r="AN308" s="340"/>
    </row>
    <row r="309" spans="1:40" s="315" customFormat="1" ht="15" customHeight="1" x14ac:dyDescent="0.35">
      <c r="A309" s="316">
        <f t="shared" si="164"/>
        <v>3</v>
      </c>
      <c r="B309" s="317">
        <f t="shared" si="164"/>
        <v>19</v>
      </c>
      <c r="C309" s="318" t="str">
        <f t="shared" si="165"/>
        <v/>
      </c>
      <c r="D309" s="319"/>
      <c r="E309" s="320" t="str">
        <f t="shared" si="151"/>
        <v/>
      </c>
      <c r="F309" s="321"/>
      <c r="G309" s="321"/>
      <c r="H309" s="322" t="str">
        <f t="shared" si="166"/>
        <v/>
      </c>
      <c r="I309" s="323" t="str">
        <f t="shared" si="167"/>
        <v/>
      </c>
      <c r="J309" s="321" t="str">
        <f t="shared" si="133"/>
        <v/>
      </c>
      <c r="K309" s="323" t="str">
        <f t="shared" si="149"/>
        <v/>
      </c>
      <c r="L309" s="321"/>
      <c r="M309" s="333"/>
      <c r="N309" s="323" t="str">
        <f t="shared" si="175"/>
        <v/>
      </c>
      <c r="O309" s="323">
        <f t="shared" si="173"/>
        <v>0</v>
      </c>
      <c r="P309" s="324" t="str">
        <f t="shared" si="168"/>
        <v/>
      </c>
      <c r="Q309" s="325" t="str">
        <f t="shared" si="156"/>
        <v/>
      </c>
      <c r="R309" s="323" t="str">
        <f t="shared" si="135"/>
        <v/>
      </c>
      <c r="S309" s="323" t="str">
        <f t="shared" si="174"/>
        <v/>
      </c>
      <c r="T309" s="323" t="str">
        <f t="shared" si="136"/>
        <v/>
      </c>
      <c r="U309" s="323" t="str">
        <f t="shared" si="137"/>
        <v/>
      </c>
      <c r="V309" s="322" t="str">
        <f t="shared" si="158"/>
        <v/>
      </c>
      <c r="W309" s="323" t="str">
        <f t="shared" si="169"/>
        <v/>
      </c>
      <c r="X309" s="323" t="str">
        <f t="shared" si="170"/>
        <v/>
      </c>
      <c r="Y309" s="323" t="str">
        <f t="shared" si="139"/>
        <v/>
      </c>
      <c r="Z309" s="323" t="str">
        <f t="shared" si="160"/>
        <v/>
      </c>
      <c r="AA309" s="326" t="str">
        <f t="shared" si="140"/>
        <v/>
      </c>
      <c r="AB309" s="323" t="str">
        <f t="shared" si="150"/>
        <v/>
      </c>
      <c r="AC309" s="327"/>
      <c r="AD309" s="328" t="str">
        <f t="shared" si="141"/>
        <v/>
      </c>
      <c r="AE309" s="328" t="str">
        <f t="shared" si="141"/>
        <v/>
      </c>
      <c r="AF309" s="328" t="str">
        <f t="shared" si="142"/>
        <v/>
      </c>
      <c r="AG309" s="328" t="str">
        <f t="shared" si="143"/>
        <v/>
      </c>
      <c r="AH309" s="328" t="str">
        <f t="shared" si="171"/>
        <v/>
      </c>
      <c r="AI309" s="328" t="str">
        <f t="shared" si="172"/>
        <v/>
      </c>
      <c r="AJ309" s="329" t="str">
        <f t="shared" si="148"/>
        <v/>
      </c>
      <c r="AK309" s="329" t="str" cm="1">
        <f t="array" ref="AK309">IF(OR(E309="", H309=""), "",
  IFERROR(
     (
      INDEX($AM$3:$AM$22, MATCH(E309, $AL$3:$AL$22, 1)) +
      (E309 - INDEX($AL$3:$AL$22, MATCH(E309, $AL$3:$AL$22, 1))) *
      (INDEX($AM$3:$AM$22, MATCH(E309, $AL$3:$AL$22, 1)+1) - INDEX($AM$3:$AM$22, MATCH(E309, $AL$3:$AL$22, 1))) /
      (INDEX($AL$3:$AL$22, MATCH(E309, $AL$3:$AL$22, 1)+1) - INDEX($AL$3:$AL$22, MATCH(E309, $AL$3:$AL$22, 1)))
    ) - H309,
    ""
  )
)</f>
        <v/>
      </c>
      <c r="AL309" s="341"/>
      <c r="AM309" s="342"/>
      <c r="AN309" s="343"/>
    </row>
    <row r="310" spans="1:40" s="315" customFormat="1" ht="15" customHeight="1" x14ac:dyDescent="0.35">
      <c r="A310" s="297">
        <f t="shared" si="164"/>
        <v>3</v>
      </c>
      <c r="B310" s="298">
        <f t="shared" si="164"/>
        <v>19</v>
      </c>
      <c r="C310" s="299" t="str">
        <f t="shared" si="165"/>
        <v/>
      </c>
      <c r="D310" s="300"/>
      <c r="E310" s="301" t="str">
        <f t="shared" si="151"/>
        <v/>
      </c>
      <c r="F310" s="302"/>
      <c r="G310" s="302"/>
      <c r="H310" s="303" t="str">
        <f t="shared" si="166"/>
        <v/>
      </c>
      <c r="I310" s="304" t="str">
        <f t="shared" si="167"/>
        <v/>
      </c>
      <c r="J310" s="302" t="str">
        <f t="shared" ref="J310:J373" si="176">IF(L310="","",D310)</f>
        <v/>
      </c>
      <c r="K310" s="304" t="str">
        <f t="shared" si="149"/>
        <v/>
      </c>
      <c r="L310" s="302"/>
      <c r="M310" s="305"/>
      <c r="N310" s="304" t="str">
        <f t="shared" si="175"/>
        <v/>
      </c>
      <c r="O310" s="304">
        <f t="shared" si="173"/>
        <v>0</v>
      </c>
      <c r="P310" s="306" t="str">
        <f t="shared" si="168"/>
        <v/>
      </c>
      <c r="Q310" s="307" t="str">
        <f t="shared" si="156"/>
        <v/>
      </c>
      <c r="R310" s="304" t="str">
        <f t="shared" si="135"/>
        <v/>
      </c>
      <c r="S310" s="304" t="str">
        <f t="shared" si="174"/>
        <v/>
      </c>
      <c r="T310" s="304" t="str">
        <f t="shared" si="136"/>
        <v/>
      </c>
      <c r="U310" s="304" t="str">
        <f t="shared" si="137"/>
        <v/>
      </c>
      <c r="V310" s="303" t="str">
        <f t="shared" si="158"/>
        <v/>
      </c>
      <c r="W310" s="304" t="str">
        <f t="shared" si="169"/>
        <v/>
      </c>
      <c r="X310" s="304" t="str">
        <f t="shared" si="170"/>
        <v/>
      </c>
      <c r="Y310" s="304" t="str">
        <f t="shared" si="139"/>
        <v/>
      </c>
      <c r="Z310" s="304" t="str">
        <f t="shared" si="160"/>
        <v/>
      </c>
      <c r="AA310" s="308" t="str">
        <f t="shared" si="140"/>
        <v/>
      </c>
      <c r="AB310" s="304" t="str">
        <f t="shared" si="150"/>
        <v/>
      </c>
      <c r="AC310" s="309"/>
      <c r="AD310" s="310" t="str">
        <f t="shared" si="141"/>
        <v/>
      </c>
      <c r="AE310" s="310" t="str">
        <f t="shared" si="141"/>
        <v/>
      </c>
      <c r="AF310" s="310" t="str">
        <f t="shared" si="142"/>
        <v/>
      </c>
      <c r="AG310" s="310" t="str">
        <f t="shared" si="143"/>
        <v/>
      </c>
      <c r="AH310" s="310" t="str">
        <f t="shared" si="171"/>
        <v/>
      </c>
      <c r="AI310" s="310" t="str">
        <f t="shared" si="172"/>
        <v/>
      </c>
      <c r="AJ310" s="311" t="str">
        <f t="shared" si="148"/>
        <v/>
      </c>
      <c r="AK310" s="311" t="str" cm="1">
        <f t="array" ref="AK310">IF(OR(E310="", H310=""), "",
  IFERROR(
     (
      INDEX($AM$3:$AM$22, MATCH(E310, $AL$3:$AL$22, 1)) +
      (E310 - INDEX($AL$3:$AL$22, MATCH(E310, $AL$3:$AL$22, 1))) *
      (INDEX($AM$3:$AM$22, MATCH(E310, $AL$3:$AL$22, 1)+1) - INDEX($AM$3:$AM$22, MATCH(E310, $AL$3:$AL$22, 1))) /
      (INDEX($AL$3:$AL$22, MATCH(E310, $AL$3:$AL$22, 1)+1) - INDEX($AL$3:$AL$22, MATCH(E310, $AL$3:$AL$22, 1)))
    ) - H310,
    ""
  )
)</f>
        <v/>
      </c>
      <c r="AL310" s="338"/>
      <c r="AM310" s="339"/>
      <c r="AN310" s="340"/>
    </row>
    <row r="311" spans="1:40" s="315" customFormat="1" ht="15" customHeight="1" x14ac:dyDescent="0.35">
      <c r="A311" s="316">
        <f t="shared" si="164"/>
        <v>3</v>
      </c>
      <c r="B311" s="317">
        <f t="shared" si="164"/>
        <v>19</v>
      </c>
      <c r="C311" s="318" t="str">
        <f t="shared" si="165"/>
        <v/>
      </c>
      <c r="D311" s="319"/>
      <c r="E311" s="320" t="str">
        <f t="shared" si="151"/>
        <v/>
      </c>
      <c r="F311" s="321"/>
      <c r="G311" s="321"/>
      <c r="H311" s="322" t="str">
        <f t="shared" si="166"/>
        <v/>
      </c>
      <c r="I311" s="323" t="str">
        <f t="shared" si="167"/>
        <v/>
      </c>
      <c r="J311" s="321" t="str">
        <f t="shared" si="176"/>
        <v/>
      </c>
      <c r="K311" s="323" t="str">
        <f t="shared" si="149"/>
        <v/>
      </c>
      <c r="L311" s="321"/>
      <c r="M311" s="333"/>
      <c r="N311" s="323" t="str">
        <f t="shared" si="175"/>
        <v/>
      </c>
      <c r="O311" s="323">
        <f t="shared" si="173"/>
        <v>0</v>
      </c>
      <c r="P311" s="324" t="str">
        <f t="shared" si="168"/>
        <v/>
      </c>
      <c r="Q311" s="325" t="str">
        <f t="shared" si="156"/>
        <v/>
      </c>
      <c r="R311" s="323" t="str">
        <f t="shared" si="135"/>
        <v/>
      </c>
      <c r="S311" s="323" t="str">
        <f t="shared" si="174"/>
        <v/>
      </c>
      <c r="T311" s="323" t="str">
        <f t="shared" si="136"/>
        <v/>
      </c>
      <c r="U311" s="323" t="str">
        <f t="shared" si="137"/>
        <v/>
      </c>
      <c r="V311" s="322" t="str">
        <f t="shared" si="158"/>
        <v/>
      </c>
      <c r="W311" s="323" t="str">
        <f t="shared" si="169"/>
        <v/>
      </c>
      <c r="X311" s="323" t="str">
        <f t="shared" si="170"/>
        <v/>
      </c>
      <c r="Y311" s="323" t="str">
        <f t="shared" si="139"/>
        <v/>
      </c>
      <c r="Z311" s="323" t="str">
        <f t="shared" si="160"/>
        <v/>
      </c>
      <c r="AA311" s="326" t="str">
        <f t="shared" si="140"/>
        <v/>
      </c>
      <c r="AB311" s="323" t="str">
        <f t="shared" si="150"/>
        <v/>
      </c>
      <c r="AC311" s="327"/>
      <c r="AD311" s="328" t="str">
        <f t="shared" si="141"/>
        <v/>
      </c>
      <c r="AE311" s="328" t="str">
        <f t="shared" si="141"/>
        <v/>
      </c>
      <c r="AF311" s="328" t="str">
        <f t="shared" si="142"/>
        <v/>
      </c>
      <c r="AG311" s="328" t="str">
        <f t="shared" si="143"/>
        <v/>
      </c>
      <c r="AH311" s="328" t="str">
        <f t="shared" si="171"/>
        <v/>
      </c>
      <c r="AI311" s="328" t="str">
        <f t="shared" si="172"/>
        <v/>
      </c>
      <c r="AJ311" s="329" t="str">
        <f t="shared" si="148"/>
        <v/>
      </c>
      <c r="AK311" s="329" t="str" cm="1">
        <f t="array" ref="AK311">IF(OR(E311="", H311=""), "",
  IFERROR(
     (
      INDEX($AM$3:$AM$22, MATCH(E311, $AL$3:$AL$22, 1)) +
      (E311 - INDEX($AL$3:$AL$22, MATCH(E311, $AL$3:$AL$22, 1))) *
      (INDEX($AM$3:$AM$22, MATCH(E311, $AL$3:$AL$22, 1)+1) - INDEX($AM$3:$AM$22, MATCH(E311, $AL$3:$AL$22, 1))) /
      (INDEX($AL$3:$AL$22, MATCH(E311, $AL$3:$AL$22, 1)+1) - INDEX($AL$3:$AL$22, MATCH(E311, $AL$3:$AL$22, 1)))
    ) - H311,
    ""
  )
)</f>
        <v/>
      </c>
      <c r="AL311" s="341"/>
      <c r="AM311" s="342"/>
      <c r="AN311" s="343"/>
    </row>
    <row r="312" spans="1:40" s="315" customFormat="1" ht="15" customHeight="1" x14ac:dyDescent="0.35">
      <c r="A312" s="297">
        <f t="shared" ref="A312:B327" si="177">+A311</f>
        <v>3</v>
      </c>
      <c r="B312" s="298">
        <f t="shared" si="177"/>
        <v>19</v>
      </c>
      <c r="C312" s="299" t="str">
        <f t="shared" si="165"/>
        <v/>
      </c>
      <c r="D312" s="300"/>
      <c r="E312" s="301" t="str">
        <f t="shared" si="151"/>
        <v/>
      </c>
      <c r="F312" s="302"/>
      <c r="G312" s="302"/>
      <c r="H312" s="303" t="str">
        <f t="shared" si="166"/>
        <v/>
      </c>
      <c r="I312" s="304" t="str">
        <f t="shared" si="167"/>
        <v/>
      </c>
      <c r="J312" s="302" t="str">
        <f t="shared" si="176"/>
        <v/>
      </c>
      <c r="K312" s="304" t="str">
        <f t="shared" si="149"/>
        <v/>
      </c>
      <c r="L312" s="302"/>
      <c r="M312" s="305"/>
      <c r="N312" s="304" t="str">
        <f t="shared" si="175"/>
        <v/>
      </c>
      <c r="O312" s="304">
        <f t="shared" si="173"/>
        <v>0</v>
      </c>
      <c r="P312" s="306" t="str">
        <f t="shared" si="168"/>
        <v/>
      </c>
      <c r="Q312" s="307" t="str">
        <f t="shared" si="156"/>
        <v/>
      </c>
      <c r="R312" s="304" t="str">
        <f t="shared" si="135"/>
        <v/>
      </c>
      <c r="S312" s="304" t="str">
        <f t="shared" si="174"/>
        <v/>
      </c>
      <c r="T312" s="304" t="str">
        <f t="shared" si="136"/>
        <v/>
      </c>
      <c r="U312" s="304" t="str">
        <f t="shared" si="137"/>
        <v/>
      </c>
      <c r="V312" s="303" t="str">
        <f t="shared" si="158"/>
        <v/>
      </c>
      <c r="W312" s="304" t="str">
        <f t="shared" si="169"/>
        <v/>
      </c>
      <c r="X312" s="304" t="str">
        <f t="shared" si="170"/>
        <v/>
      </c>
      <c r="Y312" s="304" t="str">
        <f t="shared" si="139"/>
        <v/>
      </c>
      <c r="Z312" s="304" t="str">
        <f t="shared" si="160"/>
        <v/>
      </c>
      <c r="AA312" s="308" t="str">
        <f t="shared" si="140"/>
        <v/>
      </c>
      <c r="AB312" s="304" t="str">
        <f t="shared" si="150"/>
        <v/>
      </c>
      <c r="AC312" s="309"/>
      <c r="AD312" s="310" t="str">
        <f t="shared" si="141"/>
        <v/>
      </c>
      <c r="AE312" s="310" t="str">
        <f t="shared" si="141"/>
        <v/>
      </c>
      <c r="AF312" s="310" t="str">
        <f t="shared" si="142"/>
        <v/>
      </c>
      <c r="AG312" s="310" t="str">
        <f t="shared" si="143"/>
        <v/>
      </c>
      <c r="AH312" s="310" t="str">
        <f t="shared" si="171"/>
        <v/>
      </c>
      <c r="AI312" s="310" t="str">
        <f t="shared" si="172"/>
        <v/>
      </c>
      <c r="AJ312" s="311" t="str">
        <f t="shared" si="148"/>
        <v/>
      </c>
      <c r="AK312" s="311" t="str" cm="1">
        <f t="array" ref="AK312">IF(OR(E312="", H312=""), "",
  IFERROR(
     (
      INDEX($AM$3:$AM$22, MATCH(E312, $AL$3:$AL$22, 1)) +
      (E312 - INDEX($AL$3:$AL$22, MATCH(E312, $AL$3:$AL$22, 1))) *
      (INDEX($AM$3:$AM$22, MATCH(E312, $AL$3:$AL$22, 1)+1) - INDEX($AM$3:$AM$22, MATCH(E312, $AL$3:$AL$22, 1))) /
      (INDEX($AL$3:$AL$22, MATCH(E312, $AL$3:$AL$22, 1)+1) - INDEX($AL$3:$AL$22, MATCH(E312, $AL$3:$AL$22, 1)))
    ) - H312,
    ""
  )
)</f>
        <v/>
      </c>
      <c r="AL312" s="338"/>
      <c r="AM312" s="339"/>
      <c r="AN312" s="340"/>
    </row>
    <row r="313" spans="1:40" s="315" customFormat="1" ht="15" customHeight="1" x14ac:dyDescent="0.35">
      <c r="A313" s="316">
        <f t="shared" si="177"/>
        <v>3</v>
      </c>
      <c r="B313" s="317">
        <f t="shared" si="177"/>
        <v>19</v>
      </c>
      <c r="C313" s="318" t="str">
        <f t="shared" si="165"/>
        <v/>
      </c>
      <c r="D313" s="319"/>
      <c r="E313" s="320" t="str">
        <f t="shared" si="151"/>
        <v/>
      </c>
      <c r="F313" s="321"/>
      <c r="G313" s="321"/>
      <c r="H313" s="322" t="str">
        <f t="shared" si="166"/>
        <v/>
      </c>
      <c r="I313" s="323" t="str">
        <f t="shared" si="167"/>
        <v/>
      </c>
      <c r="J313" s="321" t="str">
        <f t="shared" si="176"/>
        <v/>
      </c>
      <c r="K313" s="323" t="str">
        <f t="shared" si="149"/>
        <v/>
      </c>
      <c r="L313" s="321"/>
      <c r="M313" s="333"/>
      <c r="N313" s="323" t="str">
        <f t="shared" si="175"/>
        <v/>
      </c>
      <c r="O313" s="323">
        <f t="shared" si="173"/>
        <v>0</v>
      </c>
      <c r="P313" s="324" t="str">
        <f t="shared" si="168"/>
        <v/>
      </c>
      <c r="Q313" s="325" t="str">
        <f t="shared" si="156"/>
        <v/>
      </c>
      <c r="R313" s="323" t="str">
        <f t="shared" si="135"/>
        <v/>
      </c>
      <c r="S313" s="323" t="str">
        <f t="shared" si="174"/>
        <v/>
      </c>
      <c r="T313" s="323" t="str">
        <f t="shared" si="136"/>
        <v/>
      </c>
      <c r="U313" s="323" t="str">
        <f t="shared" si="137"/>
        <v/>
      </c>
      <c r="V313" s="322" t="str">
        <f t="shared" si="158"/>
        <v/>
      </c>
      <c r="W313" s="323" t="str">
        <f t="shared" si="169"/>
        <v/>
      </c>
      <c r="X313" s="323" t="str">
        <f t="shared" si="170"/>
        <v/>
      </c>
      <c r="Y313" s="323" t="str">
        <f t="shared" si="139"/>
        <v/>
      </c>
      <c r="Z313" s="323" t="str">
        <f t="shared" si="160"/>
        <v/>
      </c>
      <c r="AA313" s="326" t="str">
        <f t="shared" si="140"/>
        <v/>
      </c>
      <c r="AB313" s="323" t="str">
        <f t="shared" si="150"/>
        <v/>
      </c>
      <c r="AC313" s="327"/>
      <c r="AD313" s="328" t="str">
        <f t="shared" si="141"/>
        <v/>
      </c>
      <c r="AE313" s="328" t="str">
        <f t="shared" si="141"/>
        <v/>
      </c>
      <c r="AF313" s="328" t="str">
        <f t="shared" si="142"/>
        <v/>
      </c>
      <c r="AG313" s="328" t="str">
        <f t="shared" si="143"/>
        <v/>
      </c>
      <c r="AH313" s="328" t="str">
        <f t="shared" si="171"/>
        <v/>
      </c>
      <c r="AI313" s="328" t="str">
        <f t="shared" si="172"/>
        <v/>
      </c>
      <c r="AJ313" s="329" t="str">
        <f t="shared" si="148"/>
        <v/>
      </c>
      <c r="AK313" s="329" t="str" cm="1">
        <f t="array" ref="AK313">IF(OR(E313="", H313=""), "",
  IFERROR(
     (
      INDEX($AM$3:$AM$22, MATCH(E313, $AL$3:$AL$22, 1)) +
      (E313 - INDEX($AL$3:$AL$22, MATCH(E313, $AL$3:$AL$22, 1))) *
      (INDEX($AM$3:$AM$22, MATCH(E313, $AL$3:$AL$22, 1)+1) - INDEX($AM$3:$AM$22, MATCH(E313, $AL$3:$AL$22, 1))) /
      (INDEX($AL$3:$AL$22, MATCH(E313, $AL$3:$AL$22, 1)+1) - INDEX($AL$3:$AL$22, MATCH(E313, $AL$3:$AL$22, 1)))
    ) - H313,
    ""
  )
)</f>
        <v/>
      </c>
      <c r="AL313" s="341"/>
      <c r="AM313" s="342"/>
      <c r="AN313" s="343"/>
    </row>
    <row r="314" spans="1:40" s="315" customFormat="1" ht="15" customHeight="1" x14ac:dyDescent="0.35">
      <c r="A314" s="297">
        <f t="shared" si="177"/>
        <v>3</v>
      </c>
      <c r="B314" s="298">
        <f t="shared" si="177"/>
        <v>19</v>
      </c>
      <c r="C314" s="299" t="str">
        <f t="shared" si="165"/>
        <v/>
      </c>
      <c r="D314" s="300"/>
      <c r="E314" s="301" t="str">
        <f t="shared" si="151"/>
        <v/>
      </c>
      <c r="F314" s="302"/>
      <c r="G314" s="302"/>
      <c r="H314" s="303" t="str">
        <f t="shared" si="166"/>
        <v/>
      </c>
      <c r="I314" s="304" t="str">
        <f t="shared" si="167"/>
        <v/>
      </c>
      <c r="J314" s="302" t="str">
        <f t="shared" si="176"/>
        <v/>
      </c>
      <c r="K314" s="304" t="str">
        <f t="shared" si="149"/>
        <v/>
      </c>
      <c r="L314" s="302"/>
      <c r="M314" s="305"/>
      <c r="N314" s="304" t="str">
        <f t="shared" si="175"/>
        <v/>
      </c>
      <c r="O314" s="304">
        <f t="shared" si="173"/>
        <v>0</v>
      </c>
      <c r="P314" s="306" t="str">
        <f t="shared" si="168"/>
        <v/>
      </c>
      <c r="Q314" s="307" t="str">
        <f t="shared" si="156"/>
        <v/>
      </c>
      <c r="R314" s="304" t="str">
        <f t="shared" si="135"/>
        <v/>
      </c>
      <c r="S314" s="304" t="str">
        <f t="shared" si="174"/>
        <v/>
      </c>
      <c r="T314" s="304" t="str">
        <f t="shared" si="136"/>
        <v/>
      </c>
      <c r="U314" s="304" t="str">
        <f t="shared" si="137"/>
        <v/>
      </c>
      <c r="V314" s="303" t="str">
        <f t="shared" si="158"/>
        <v/>
      </c>
      <c r="W314" s="304" t="str">
        <f t="shared" si="169"/>
        <v/>
      </c>
      <c r="X314" s="304" t="str">
        <f t="shared" si="170"/>
        <v/>
      </c>
      <c r="Y314" s="304" t="str">
        <f t="shared" si="139"/>
        <v/>
      </c>
      <c r="Z314" s="304" t="str">
        <f t="shared" si="160"/>
        <v/>
      </c>
      <c r="AA314" s="308" t="str">
        <f t="shared" si="140"/>
        <v/>
      </c>
      <c r="AB314" s="304" t="str">
        <f t="shared" si="150"/>
        <v/>
      </c>
      <c r="AC314" s="309"/>
      <c r="AD314" s="310" t="str">
        <f t="shared" si="141"/>
        <v/>
      </c>
      <c r="AE314" s="310" t="str">
        <f t="shared" si="141"/>
        <v/>
      </c>
      <c r="AF314" s="310" t="str">
        <f t="shared" si="142"/>
        <v/>
      </c>
      <c r="AG314" s="310" t="str">
        <f t="shared" si="143"/>
        <v/>
      </c>
      <c r="AH314" s="310" t="str">
        <f t="shared" si="171"/>
        <v/>
      </c>
      <c r="AI314" s="310" t="str">
        <f t="shared" si="172"/>
        <v/>
      </c>
      <c r="AJ314" s="311" t="str">
        <f t="shared" si="148"/>
        <v/>
      </c>
      <c r="AK314" s="311" t="str" cm="1">
        <f t="array" ref="AK314">IF(OR(E314="", H314=""), "",
  IFERROR(
     (
      INDEX($AM$3:$AM$22, MATCH(E314, $AL$3:$AL$22, 1)) +
      (E314 - INDEX($AL$3:$AL$22, MATCH(E314, $AL$3:$AL$22, 1))) *
      (INDEX($AM$3:$AM$22, MATCH(E314, $AL$3:$AL$22, 1)+1) - INDEX($AM$3:$AM$22, MATCH(E314, $AL$3:$AL$22, 1))) /
      (INDEX($AL$3:$AL$22, MATCH(E314, $AL$3:$AL$22, 1)+1) - INDEX($AL$3:$AL$22, MATCH(E314, $AL$3:$AL$22, 1)))
    ) - H314,
    ""
  )
)</f>
        <v/>
      </c>
      <c r="AL314" s="338"/>
      <c r="AM314" s="339"/>
      <c r="AN314" s="340"/>
    </row>
    <row r="315" spans="1:40" s="315" customFormat="1" ht="15" customHeight="1" x14ac:dyDescent="0.35">
      <c r="A315" s="316">
        <f t="shared" si="177"/>
        <v>3</v>
      </c>
      <c r="B315" s="317">
        <f t="shared" si="177"/>
        <v>19</v>
      </c>
      <c r="C315" s="318" t="str">
        <f t="shared" si="165"/>
        <v/>
      </c>
      <c r="D315" s="319"/>
      <c r="E315" s="320" t="str">
        <f t="shared" si="151"/>
        <v/>
      </c>
      <c r="F315" s="321"/>
      <c r="G315" s="321"/>
      <c r="H315" s="322" t="str">
        <f t="shared" si="166"/>
        <v/>
      </c>
      <c r="I315" s="323" t="str">
        <f t="shared" si="167"/>
        <v/>
      </c>
      <c r="J315" s="321" t="str">
        <f t="shared" si="176"/>
        <v/>
      </c>
      <c r="K315" s="323" t="str">
        <f t="shared" si="149"/>
        <v/>
      </c>
      <c r="L315" s="321"/>
      <c r="M315" s="333"/>
      <c r="N315" s="323" t="str">
        <f t="shared" si="175"/>
        <v/>
      </c>
      <c r="O315" s="323">
        <f t="shared" si="173"/>
        <v>0</v>
      </c>
      <c r="P315" s="324" t="str">
        <f t="shared" si="168"/>
        <v/>
      </c>
      <c r="Q315" s="325" t="str">
        <f t="shared" si="156"/>
        <v/>
      </c>
      <c r="R315" s="323" t="str">
        <f t="shared" si="135"/>
        <v/>
      </c>
      <c r="S315" s="323" t="str">
        <f t="shared" si="174"/>
        <v/>
      </c>
      <c r="T315" s="323" t="str">
        <f t="shared" si="136"/>
        <v/>
      </c>
      <c r="U315" s="323" t="str">
        <f t="shared" si="137"/>
        <v/>
      </c>
      <c r="V315" s="322" t="str">
        <f t="shared" si="158"/>
        <v/>
      </c>
      <c r="W315" s="323" t="str">
        <f t="shared" si="169"/>
        <v/>
      </c>
      <c r="X315" s="323" t="str">
        <f t="shared" si="170"/>
        <v/>
      </c>
      <c r="Y315" s="323" t="str">
        <f t="shared" si="139"/>
        <v/>
      </c>
      <c r="Z315" s="323" t="str">
        <f t="shared" si="160"/>
        <v/>
      </c>
      <c r="AA315" s="326" t="str">
        <f t="shared" si="140"/>
        <v/>
      </c>
      <c r="AB315" s="323" t="str">
        <f t="shared" si="150"/>
        <v/>
      </c>
      <c r="AC315" s="327"/>
      <c r="AD315" s="328" t="str">
        <f t="shared" si="141"/>
        <v/>
      </c>
      <c r="AE315" s="328" t="str">
        <f t="shared" si="141"/>
        <v/>
      </c>
      <c r="AF315" s="328" t="str">
        <f t="shared" si="142"/>
        <v/>
      </c>
      <c r="AG315" s="328" t="str">
        <f t="shared" si="143"/>
        <v/>
      </c>
      <c r="AH315" s="328" t="str">
        <f t="shared" si="171"/>
        <v/>
      </c>
      <c r="AI315" s="328" t="str">
        <f t="shared" si="172"/>
        <v/>
      </c>
      <c r="AJ315" s="329" t="str">
        <f t="shared" si="148"/>
        <v/>
      </c>
      <c r="AK315" s="329" t="str" cm="1">
        <f t="array" ref="AK315">IF(OR(E315="", H315=""), "",
  IFERROR(
     (
      INDEX($AM$3:$AM$22, MATCH(E315, $AL$3:$AL$22, 1)) +
      (E315 - INDEX($AL$3:$AL$22, MATCH(E315, $AL$3:$AL$22, 1))) *
      (INDEX($AM$3:$AM$22, MATCH(E315, $AL$3:$AL$22, 1)+1) - INDEX($AM$3:$AM$22, MATCH(E315, $AL$3:$AL$22, 1))) /
      (INDEX($AL$3:$AL$22, MATCH(E315, $AL$3:$AL$22, 1)+1) - INDEX($AL$3:$AL$22, MATCH(E315, $AL$3:$AL$22, 1)))
    ) - H315,
    ""
  )
)</f>
        <v/>
      </c>
      <c r="AL315" s="341"/>
      <c r="AM315" s="342"/>
      <c r="AN315" s="343"/>
    </row>
    <row r="316" spans="1:40" s="315" customFormat="1" ht="15" customHeight="1" x14ac:dyDescent="0.35">
      <c r="A316" s="297">
        <f t="shared" si="177"/>
        <v>3</v>
      </c>
      <c r="B316" s="298">
        <f t="shared" si="177"/>
        <v>19</v>
      </c>
      <c r="C316" s="299" t="str">
        <f t="shared" si="165"/>
        <v/>
      </c>
      <c r="D316" s="300"/>
      <c r="E316" s="301" t="str">
        <f t="shared" si="151"/>
        <v/>
      </c>
      <c r="F316" s="302"/>
      <c r="G316" s="302"/>
      <c r="H316" s="303" t="str">
        <f t="shared" si="166"/>
        <v/>
      </c>
      <c r="I316" s="304" t="str">
        <f t="shared" si="167"/>
        <v/>
      </c>
      <c r="J316" s="302" t="str">
        <f t="shared" si="176"/>
        <v/>
      </c>
      <c r="K316" s="304" t="str">
        <f t="shared" si="149"/>
        <v/>
      </c>
      <c r="L316" s="302"/>
      <c r="M316" s="305"/>
      <c r="N316" s="304" t="str">
        <f t="shared" si="175"/>
        <v/>
      </c>
      <c r="O316" s="304">
        <f t="shared" si="173"/>
        <v>0</v>
      </c>
      <c r="P316" s="306" t="str">
        <f t="shared" si="168"/>
        <v/>
      </c>
      <c r="Q316" s="307" t="str">
        <f t="shared" si="156"/>
        <v/>
      </c>
      <c r="R316" s="304" t="str">
        <f t="shared" si="135"/>
        <v/>
      </c>
      <c r="S316" s="304" t="str">
        <f t="shared" si="174"/>
        <v/>
      </c>
      <c r="T316" s="304" t="str">
        <f t="shared" si="136"/>
        <v/>
      </c>
      <c r="U316" s="304" t="str">
        <f t="shared" si="137"/>
        <v/>
      </c>
      <c r="V316" s="303" t="str">
        <f t="shared" si="158"/>
        <v/>
      </c>
      <c r="W316" s="304" t="str">
        <f t="shared" si="169"/>
        <v/>
      </c>
      <c r="X316" s="304" t="str">
        <f t="shared" si="170"/>
        <v/>
      </c>
      <c r="Y316" s="304" t="str">
        <f t="shared" si="139"/>
        <v/>
      </c>
      <c r="Z316" s="304" t="str">
        <f t="shared" si="160"/>
        <v/>
      </c>
      <c r="AA316" s="308" t="str">
        <f t="shared" si="140"/>
        <v/>
      </c>
      <c r="AB316" s="304" t="str">
        <f t="shared" si="150"/>
        <v/>
      </c>
      <c r="AC316" s="309"/>
      <c r="AD316" s="310" t="str">
        <f t="shared" si="141"/>
        <v/>
      </c>
      <c r="AE316" s="310" t="str">
        <f t="shared" si="141"/>
        <v/>
      </c>
      <c r="AF316" s="310" t="str">
        <f t="shared" si="142"/>
        <v/>
      </c>
      <c r="AG316" s="310" t="str">
        <f t="shared" si="143"/>
        <v/>
      </c>
      <c r="AH316" s="310" t="str">
        <f t="shared" si="171"/>
        <v/>
      </c>
      <c r="AI316" s="310" t="str">
        <f t="shared" si="172"/>
        <v/>
      </c>
      <c r="AJ316" s="311" t="str">
        <f t="shared" si="148"/>
        <v/>
      </c>
      <c r="AK316" s="311" t="str" cm="1">
        <f t="array" ref="AK316">IF(OR(E316="", H316=""), "",
  IFERROR(
     (
      INDEX($AM$3:$AM$22, MATCH(E316, $AL$3:$AL$22, 1)) +
      (E316 - INDEX($AL$3:$AL$22, MATCH(E316, $AL$3:$AL$22, 1))) *
      (INDEX($AM$3:$AM$22, MATCH(E316, $AL$3:$AL$22, 1)+1) - INDEX($AM$3:$AM$22, MATCH(E316, $AL$3:$AL$22, 1))) /
      (INDEX($AL$3:$AL$22, MATCH(E316, $AL$3:$AL$22, 1)+1) - INDEX($AL$3:$AL$22, MATCH(E316, $AL$3:$AL$22, 1)))
    ) - H316,
    ""
  )
)</f>
        <v/>
      </c>
      <c r="AL316" s="338"/>
      <c r="AM316" s="339"/>
      <c r="AN316" s="340"/>
    </row>
    <row r="317" spans="1:40" s="315" customFormat="1" ht="15" customHeight="1" x14ac:dyDescent="0.35">
      <c r="A317" s="316">
        <f t="shared" si="177"/>
        <v>3</v>
      </c>
      <c r="B317" s="317">
        <f t="shared" si="177"/>
        <v>19</v>
      </c>
      <c r="C317" s="318" t="str">
        <f t="shared" si="165"/>
        <v/>
      </c>
      <c r="D317" s="319"/>
      <c r="E317" s="320" t="str">
        <f t="shared" si="151"/>
        <v/>
      </c>
      <c r="F317" s="321"/>
      <c r="G317" s="321"/>
      <c r="H317" s="322" t="str">
        <f t="shared" si="166"/>
        <v/>
      </c>
      <c r="I317" s="323" t="str">
        <f t="shared" si="167"/>
        <v/>
      </c>
      <c r="J317" s="321" t="str">
        <f t="shared" si="176"/>
        <v/>
      </c>
      <c r="K317" s="323" t="str">
        <f t="shared" si="149"/>
        <v/>
      </c>
      <c r="L317" s="321"/>
      <c r="M317" s="333"/>
      <c r="N317" s="323" t="str">
        <f t="shared" si="175"/>
        <v/>
      </c>
      <c r="O317" s="323">
        <f t="shared" si="173"/>
        <v>0</v>
      </c>
      <c r="P317" s="324" t="str">
        <f t="shared" si="168"/>
        <v/>
      </c>
      <c r="Q317" s="325" t="str">
        <f t="shared" si="156"/>
        <v/>
      </c>
      <c r="R317" s="323" t="str">
        <f t="shared" si="135"/>
        <v/>
      </c>
      <c r="S317" s="323" t="str">
        <f t="shared" si="174"/>
        <v/>
      </c>
      <c r="T317" s="323" t="str">
        <f t="shared" si="136"/>
        <v/>
      </c>
      <c r="U317" s="323" t="str">
        <f t="shared" si="137"/>
        <v/>
      </c>
      <c r="V317" s="322" t="str">
        <f t="shared" si="158"/>
        <v/>
      </c>
      <c r="W317" s="323" t="str">
        <f t="shared" si="169"/>
        <v/>
      </c>
      <c r="X317" s="323" t="str">
        <f t="shared" si="170"/>
        <v/>
      </c>
      <c r="Y317" s="323" t="str">
        <f t="shared" si="139"/>
        <v/>
      </c>
      <c r="Z317" s="323" t="str">
        <f t="shared" si="160"/>
        <v/>
      </c>
      <c r="AA317" s="326" t="str">
        <f t="shared" si="140"/>
        <v/>
      </c>
      <c r="AB317" s="323" t="str">
        <f t="shared" si="150"/>
        <v/>
      </c>
      <c r="AC317" s="327"/>
      <c r="AD317" s="328" t="str">
        <f t="shared" si="141"/>
        <v/>
      </c>
      <c r="AE317" s="328" t="str">
        <f t="shared" si="141"/>
        <v/>
      </c>
      <c r="AF317" s="328" t="str">
        <f t="shared" si="142"/>
        <v/>
      </c>
      <c r="AG317" s="328" t="str">
        <f t="shared" si="143"/>
        <v/>
      </c>
      <c r="AH317" s="328" t="str">
        <f t="shared" si="171"/>
        <v/>
      </c>
      <c r="AI317" s="328" t="str">
        <f t="shared" si="172"/>
        <v/>
      </c>
      <c r="AJ317" s="329" t="str">
        <f t="shared" si="148"/>
        <v/>
      </c>
      <c r="AK317" s="329" t="str" cm="1">
        <f t="array" ref="AK317">IF(OR(E317="", H317=""), "",
  IFERROR(
     (
      INDEX($AM$3:$AM$22, MATCH(E317, $AL$3:$AL$22, 1)) +
      (E317 - INDEX($AL$3:$AL$22, MATCH(E317, $AL$3:$AL$22, 1))) *
      (INDEX($AM$3:$AM$22, MATCH(E317, $AL$3:$AL$22, 1)+1) - INDEX($AM$3:$AM$22, MATCH(E317, $AL$3:$AL$22, 1))) /
      (INDEX($AL$3:$AL$22, MATCH(E317, $AL$3:$AL$22, 1)+1) - INDEX($AL$3:$AL$22, MATCH(E317, $AL$3:$AL$22, 1)))
    ) - H317,
    ""
  )
)</f>
        <v/>
      </c>
      <c r="AL317" s="341"/>
      <c r="AM317" s="342"/>
      <c r="AN317" s="343"/>
    </row>
    <row r="318" spans="1:40" s="315" customFormat="1" ht="15" customHeight="1" x14ac:dyDescent="0.35">
      <c r="A318" s="297">
        <f t="shared" si="177"/>
        <v>3</v>
      </c>
      <c r="B318" s="298">
        <f t="shared" si="177"/>
        <v>19</v>
      </c>
      <c r="C318" s="299" t="str">
        <f t="shared" si="165"/>
        <v/>
      </c>
      <c r="D318" s="300"/>
      <c r="E318" s="301" t="str">
        <f t="shared" si="151"/>
        <v/>
      </c>
      <c r="F318" s="302"/>
      <c r="G318" s="302"/>
      <c r="H318" s="303" t="str">
        <f t="shared" si="166"/>
        <v/>
      </c>
      <c r="I318" s="304" t="str">
        <f t="shared" si="167"/>
        <v/>
      </c>
      <c r="J318" s="302" t="str">
        <f t="shared" si="176"/>
        <v/>
      </c>
      <c r="K318" s="304" t="str">
        <f t="shared" si="149"/>
        <v/>
      </c>
      <c r="L318" s="302"/>
      <c r="M318" s="305"/>
      <c r="N318" s="304" t="str">
        <f t="shared" si="175"/>
        <v/>
      </c>
      <c r="O318" s="304">
        <f t="shared" si="173"/>
        <v>0</v>
      </c>
      <c r="P318" s="306" t="str">
        <f t="shared" si="168"/>
        <v/>
      </c>
      <c r="Q318" s="307" t="str">
        <f t="shared" si="156"/>
        <v/>
      </c>
      <c r="R318" s="304" t="str">
        <f t="shared" si="135"/>
        <v/>
      </c>
      <c r="S318" s="304" t="str">
        <f t="shared" si="174"/>
        <v/>
      </c>
      <c r="T318" s="304" t="str">
        <f t="shared" si="136"/>
        <v/>
      </c>
      <c r="U318" s="304" t="str">
        <f t="shared" si="137"/>
        <v/>
      </c>
      <c r="V318" s="303" t="str">
        <f t="shared" si="158"/>
        <v/>
      </c>
      <c r="W318" s="304" t="str">
        <f t="shared" si="169"/>
        <v/>
      </c>
      <c r="X318" s="304" t="str">
        <f t="shared" si="170"/>
        <v/>
      </c>
      <c r="Y318" s="304" t="str">
        <f t="shared" si="139"/>
        <v/>
      </c>
      <c r="Z318" s="304" t="str">
        <f t="shared" si="160"/>
        <v/>
      </c>
      <c r="AA318" s="308" t="str">
        <f t="shared" si="140"/>
        <v/>
      </c>
      <c r="AB318" s="304" t="str">
        <f t="shared" si="150"/>
        <v/>
      </c>
      <c r="AC318" s="309"/>
      <c r="AD318" s="310" t="str">
        <f t="shared" si="141"/>
        <v/>
      </c>
      <c r="AE318" s="310" t="str">
        <f t="shared" si="141"/>
        <v/>
      </c>
      <c r="AF318" s="310" t="str">
        <f t="shared" si="142"/>
        <v/>
      </c>
      <c r="AG318" s="310" t="str">
        <f t="shared" si="143"/>
        <v/>
      </c>
      <c r="AH318" s="310" t="str">
        <f t="shared" si="171"/>
        <v/>
      </c>
      <c r="AI318" s="310" t="str">
        <f t="shared" si="172"/>
        <v/>
      </c>
      <c r="AJ318" s="311" t="str">
        <f t="shared" si="148"/>
        <v/>
      </c>
      <c r="AK318" s="311" t="str" cm="1">
        <f t="array" ref="AK318">IF(OR(E318="", H318=""), "",
  IFERROR(
     (
      INDEX($AM$3:$AM$22, MATCH(E318, $AL$3:$AL$22, 1)) +
      (E318 - INDEX($AL$3:$AL$22, MATCH(E318, $AL$3:$AL$22, 1))) *
      (INDEX($AM$3:$AM$22, MATCH(E318, $AL$3:$AL$22, 1)+1) - INDEX($AM$3:$AM$22, MATCH(E318, $AL$3:$AL$22, 1))) /
      (INDEX($AL$3:$AL$22, MATCH(E318, $AL$3:$AL$22, 1)+1) - INDEX($AL$3:$AL$22, MATCH(E318, $AL$3:$AL$22, 1)))
    ) - H318,
    ""
  )
)</f>
        <v/>
      </c>
      <c r="AL318" s="338"/>
      <c r="AM318" s="339"/>
      <c r="AN318" s="340"/>
    </row>
    <row r="319" spans="1:40" s="315" customFormat="1" ht="15" customHeight="1" x14ac:dyDescent="0.35">
      <c r="A319" s="316">
        <f t="shared" si="177"/>
        <v>3</v>
      </c>
      <c r="B319" s="317">
        <f t="shared" si="177"/>
        <v>19</v>
      </c>
      <c r="C319" s="318" t="str">
        <f t="shared" si="165"/>
        <v/>
      </c>
      <c r="D319" s="319"/>
      <c r="E319" s="320" t="str">
        <f t="shared" si="151"/>
        <v/>
      </c>
      <c r="F319" s="321"/>
      <c r="G319" s="321"/>
      <c r="H319" s="322" t="str">
        <f t="shared" si="166"/>
        <v/>
      </c>
      <c r="I319" s="323" t="str">
        <f t="shared" si="167"/>
        <v/>
      </c>
      <c r="J319" s="321" t="str">
        <f t="shared" si="176"/>
        <v/>
      </c>
      <c r="K319" s="323" t="str">
        <f t="shared" si="149"/>
        <v/>
      </c>
      <c r="L319" s="321"/>
      <c r="M319" s="333"/>
      <c r="N319" s="323" t="str">
        <f t="shared" si="175"/>
        <v/>
      </c>
      <c r="O319" s="323">
        <f t="shared" si="173"/>
        <v>0</v>
      </c>
      <c r="P319" s="324" t="str">
        <f t="shared" si="168"/>
        <v/>
      </c>
      <c r="Q319" s="325" t="str">
        <f t="shared" si="156"/>
        <v/>
      </c>
      <c r="R319" s="323" t="str">
        <f t="shared" si="135"/>
        <v/>
      </c>
      <c r="S319" s="323" t="str">
        <f t="shared" si="174"/>
        <v/>
      </c>
      <c r="T319" s="323" t="str">
        <f t="shared" si="136"/>
        <v/>
      </c>
      <c r="U319" s="323" t="str">
        <f t="shared" si="137"/>
        <v/>
      </c>
      <c r="V319" s="322" t="str">
        <f t="shared" si="158"/>
        <v/>
      </c>
      <c r="W319" s="323" t="str">
        <f t="shared" si="169"/>
        <v/>
      </c>
      <c r="X319" s="323" t="str">
        <f t="shared" si="170"/>
        <v/>
      </c>
      <c r="Y319" s="323" t="str">
        <f t="shared" si="139"/>
        <v/>
      </c>
      <c r="Z319" s="323" t="str">
        <f t="shared" si="160"/>
        <v/>
      </c>
      <c r="AA319" s="326" t="str">
        <f t="shared" si="140"/>
        <v/>
      </c>
      <c r="AB319" s="323" t="str">
        <f t="shared" si="150"/>
        <v/>
      </c>
      <c r="AC319" s="327"/>
      <c r="AD319" s="328" t="str">
        <f t="shared" si="141"/>
        <v/>
      </c>
      <c r="AE319" s="328" t="str">
        <f t="shared" si="141"/>
        <v/>
      </c>
      <c r="AF319" s="328" t="str">
        <f t="shared" si="142"/>
        <v/>
      </c>
      <c r="AG319" s="328" t="str">
        <f t="shared" si="143"/>
        <v/>
      </c>
      <c r="AH319" s="328" t="str">
        <f t="shared" si="171"/>
        <v/>
      </c>
      <c r="AI319" s="328" t="str">
        <f t="shared" si="172"/>
        <v/>
      </c>
      <c r="AJ319" s="329" t="str">
        <f t="shared" si="148"/>
        <v/>
      </c>
      <c r="AK319" s="329" t="str" cm="1">
        <f t="array" ref="AK319">IF(OR(E319="", H319=""), "",
  IFERROR(
     (
      INDEX($AM$3:$AM$22, MATCH(E319, $AL$3:$AL$22, 1)) +
      (E319 - INDEX($AL$3:$AL$22, MATCH(E319, $AL$3:$AL$22, 1))) *
      (INDEX($AM$3:$AM$22, MATCH(E319, $AL$3:$AL$22, 1)+1) - INDEX($AM$3:$AM$22, MATCH(E319, $AL$3:$AL$22, 1))) /
      (INDEX($AL$3:$AL$22, MATCH(E319, $AL$3:$AL$22, 1)+1) - INDEX($AL$3:$AL$22, MATCH(E319, $AL$3:$AL$22, 1)))
    ) - H319,
    ""
  )
)</f>
        <v/>
      </c>
      <c r="AL319" s="341"/>
      <c r="AM319" s="342"/>
      <c r="AN319" s="343"/>
    </row>
    <row r="320" spans="1:40" s="315" customFormat="1" ht="15" customHeight="1" x14ac:dyDescent="0.35">
      <c r="A320" s="297">
        <f t="shared" si="177"/>
        <v>3</v>
      </c>
      <c r="B320" s="298">
        <f t="shared" si="177"/>
        <v>19</v>
      </c>
      <c r="C320" s="299" t="str">
        <f t="shared" si="165"/>
        <v/>
      </c>
      <c r="D320" s="300"/>
      <c r="E320" s="301" t="str">
        <f t="shared" si="151"/>
        <v/>
      </c>
      <c r="F320" s="302"/>
      <c r="G320" s="302"/>
      <c r="H320" s="303" t="str">
        <f t="shared" si="166"/>
        <v/>
      </c>
      <c r="I320" s="304" t="str">
        <f t="shared" si="167"/>
        <v/>
      </c>
      <c r="J320" s="302" t="str">
        <f t="shared" si="176"/>
        <v/>
      </c>
      <c r="K320" s="304" t="str">
        <f t="shared" si="149"/>
        <v/>
      </c>
      <c r="L320" s="302"/>
      <c r="M320" s="305"/>
      <c r="N320" s="304" t="str">
        <f t="shared" si="175"/>
        <v/>
      </c>
      <c r="O320" s="304">
        <f t="shared" si="173"/>
        <v>0</v>
      </c>
      <c r="P320" s="306" t="str">
        <f t="shared" si="168"/>
        <v/>
      </c>
      <c r="Q320" s="307" t="str">
        <f t="shared" si="156"/>
        <v/>
      </c>
      <c r="R320" s="304" t="str">
        <f t="shared" si="135"/>
        <v/>
      </c>
      <c r="S320" s="304" t="str">
        <f t="shared" si="174"/>
        <v/>
      </c>
      <c r="T320" s="304" t="str">
        <f t="shared" si="136"/>
        <v/>
      </c>
      <c r="U320" s="304" t="str">
        <f t="shared" si="137"/>
        <v/>
      </c>
      <c r="V320" s="303" t="str">
        <f t="shared" si="158"/>
        <v/>
      </c>
      <c r="W320" s="304" t="str">
        <f t="shared" si="169"/>
        <v/>
      </c>
      <c r="X320" s="304" t="str">
        <f t="shared" si="170"/>
        <v/>
      </c>
      <c r="Y320" s="304" t="str">
        <f t="shared" si="139"/>
        <v/>
      </c>
      <c r="Z320" s="304" t="str">
        <f t="shared" si="160"/>
        <v/>
      </c>
      <c r="AA320" s="308" t="str">
        <f t="shared" si="140"/>
        <v/>
      </c>
      <c r="AB320" s="304" t="str">
        <f t="shared" si="150"/>
        <v/>
      </c>
      <c r="AC320" s="309"/>
      <c r="AD320" s="310" t="str">
        <f t="shared" si="141"/>
        <v/>
      </c>
      <c r="AE320" s="310" t="str">
        <f t="shared" si="141"/>
        <v/>
      </c>
      <c r="AF320" s="310" t="str">
        <f t="shared" si="142"/>
        <v/>
      </c>
      <c r="AG320" s="310" t="str">
        <f t="shared" si="143"/>
        <v/>
      </c>
      <c r="AH320" s="310" t="str">
        <f t="shared" si="171"/>
        <v/>
      </c>
      <c r="AI320" s="310" t="str">
        <f t="shared" si="172"/>
        <v/>
      </c>
      <c r="AJ320" s="311" t="str">
        <f t="shared" si="148"/>
        <v/>
      </c>
      <c r="AK320" s="311" t="str" cm="1">
        <f t="array" ref="AK320">IF(OR(E320="", H320=""), "",
  IFERROR(
     (
      INDEX($AM$3:$AM$22, MATCH(E320, $AL$3:$AL$22, 1)) +
      (E320 - INDEX($AL$3:$AL$22, MATCH(E320, $AL$3:$AL$22, 1))) *
      (INDEX($AM$3:$AM$22, MATCH(E320, $AL$3:$AL$22, 1)+1) - INDEX($AM$3:$AM$22, MATCH(E320, $AL$3:$AL$22, 1))) /
      (INDEX($AL$3:$AL$22, MATCH(E320, $AL$3:$AL$22, 1)+1) - INDEX($AL$3:$AL$22, MATCH(E320, $AL$3:$AL$22, 1)))
    ) - H320,
    ""
  )
)</f>
        <v/>
      </c>
      <c r="AL320" s="338"/>
      <c r="AM320" s="339"/>
      <c r="AN320" s="340"/>
    </row>
    <row r="321" spans="1:40" s="315" customFormat="1" ht="15" customHeight="1" x14ac:dyDescent="0.35">
      <c r="A321" s="316">
        <f t="shared" si="177"/>
        <v>3</v>
      </c>
      <c r="B321" s="317">
        <f t="shared" si="177"/>
        <v>19</v>
      </c>
      <c r="C321" s="318" t="str">
        <f t="shared" si="165"/>
        <v/>
      </c>
      <c r="D321" s="319"/>
      <c r="E321" s="320" t="str">
        <f t="shared" si="151"/>
        <v/>
      </c>
      <c r="F321" s="321"/>
      <c r="G321" s="321"/>
      <c r="H321" s="322" t="str">
        <f t="shared" si="166"/>
        <v/>
      </c>
      <c r="I321" s="323" t="str">
        <f t="shared" si="167"/>
        <v/>
      </c>
      <c r="J321" s="321" t="str">
        <f t="shared" si="176"/>
        <v/>
      </c>
      <c r="K321" s="323" t="str">
        <f t="shared" si="149"/>
        <v/>
      </c>
      <c r="L321" s="321"/>
      <c r="M321" s="333"/>
      <c r="N321" s="323" t="str">
        <f t="shared" si="175"/>
        <v/>
      </c>
      <c r="O321" s="323">
        <f t="shared" si="173"/>
        <v>0</v>
      </c>
      <c r="P321" s="324" t="str">
        <f t="shared" si="168"/>
        <v/>
      </c>
      <c r="Q321" s="325" t="str">
        <f t="shared" si="156"/>
        <v/>
      </c>
      <c r="R321" s="323" t="str">
        <f t="shared" si="135"/>
        <v/>
      </c>
      <c r="S321" s="323" t="str">
        <f t="shared" si="174"/>
        <v/>
      </c>
      <c r="T321" s="323" t="str">
        <f t="shared" si="136"/>
        <v/>
      </c>
      <c r="U321" s="323" t="str">
        <f t="shared" si="137"/>
        <v/>
      </c>
      <c r="V321" s="322" t="str">
        <f t="shared" si="158"/>
        <v/>
      </c>
      <c r="W321" s="323" t="str">
        <f t="shared" si="169"/>
        <v/>
      </c>
      <c r="X321" s="323" t="str">
        <f t="shared" si="170"/>
        <v/>
      </c>
      <c r="Y321" s="323" t="str">
        <f t="shared" si="139"/>
        <v/>
      </c>
      <c r="Z321" s="323" t="str">
        <f t="shared" si="160"/>
        <v/>
      </c>
      <c r="AA321" s="326" t="str">
        <f t="shared" si="140"/>
        <v/>
      </c>
      <c r="AB321" s="323" t="str">
        <f t="shared" si="150"/>
        <v/>
      </c>
      <c r="AC321" s="327"/>
      <c r="AD321" s="328" t="str">
        <f t="shared" si="141"/>
        <v/>
      </c>
      <c r="AE321" s="328" t="str">
        <f t="shared" si="141"/>
        <v/>
      </c>
      <c r="AF321" s="328" t="str">
        <f t="shared" si="142"/>
        <v/>
      </c>
      <c r="AG321" s="328" t="str">
        <f t="shared" si="143"/>
        <v/>
      </c>
      <c r="AH321" s="328" t="str">
        <f t="shared" si="171"/>
        <v/>
      </c>
      <c r="AI321" s="328" t="str">
        <f t="shared" si="172"/>
        <v/>
      </c>
      <c r="AJ321" s="329" t="str">
        <f t="shared" si="148"/>
        <v/>
      </c>
      <c r="AK321" s="329" t="str" cm="1">
        <f t="array" ref="AK321">IF(OR(E321="", H321=""), "",
  IFERROR(
     (
      INDEX($AM$3:$AM$22, MATCH(E321, $AL$3:$AL$22, 1)) +
      (E321 - INDEX($AL$3:$AL$22, MATCH(E321, $AL$3:$AL$22, 1))) *
      (INDEX($AM$3:$AM$22, MATCH(E321, $AL$3:$AL$22, 1)+1) - INDEX($AM$3:$AM$22, MATCH(E321, $AL$3:$AL$22, 1))) /
      (INDEX($AL$3:$AL$22, MATCH(E321, $AL$3:$AL$22, 1)+1) - INDEX($AL$3:$AL$22, MATCH(E321, $AL$3:$AL$22, 1)))
    ) - H321,
    ""
  )
)</f>
        <v/>
      </c>
      <c r="AL321" s="341"/>
      <c r="AM321" s="342"/>
      <c r="AN321" s="343"/>
    </row>
    <row r="322" spans="1:40" s="315" customFormat="1" ht="15" customHeight="1" x14ac:dyDescent="0.35">
      <c r="A322" s="297">
        <f t="shared" si="177"/>
        <v>3</v>
      </c>
      <c r="B322" s="298">
        <f t="shared" si="177"/>
        <v>19</v>
      </c>
      <c r="C322" s="299" t="str">
        <f t="shared" si="165"/>
        <v/>
      </c>
      <c r="D322" s="300"/>
      <c r="E322" s="301" t="str">
        <f t="shared" si="151"/>
        <v/>
      </c>
      <c r="F322" s="302"/>
      <c r="G322" s="302"/>
      <c r="H322" s="303" t="str">
        <f t="shared" si="166"/>
        <v/>
      </c>
      <c r="I322" s="304" t="str">
        <f t="shared" si="167"/>
        <v/>
      </c>
      <c r="J322" s="302" t="str">
        <f t="shared" si="176"/>
        <v/>
      </c>
      <c r="K322" s="304" t="str">
        <f t="shared" si="149"/>
        <v/>
      </c>
      <c r="L322" s="302"/>
      <c r="M322" s="305"/>
      <c r="N322" s="304" t="str">
        <f t="shared" si="175"/>
        <v/>
      </c>
      <c r="O322" s="304">
        <f t="shared" si="173"/>
        <v>0</v>
      </c>
      <c r="P322" s="306" t="str">
        <f t="shared" si="168"/>
        <v/>
      </c>
      <c r="Q322" s="307" t="str">
        <f t="shared" si="156"/>
        <v/>
      </c>
      <c r="R322" s="304" t="str">
        <f t="shared" si="135"/>
        <v/>
      </c>
      <c r="S322" s="304" t="str">
        <f t="shared" si="174"/>
        <v/>
      </c>
      <c r="T322" s="304" t="str">
        <f t="shared" si="136"/>
        <v/>
      </c>
      <c r="U322" s="304" t="str">
        <f t="shared" si="137"/>
        <v/>
      </c>
      <c r="V322" s="303" t="str">
        <f t="shared" si="158"/>
        <v/>
      </c>
      <c r="W322" s="304" t="str">
        <f t="shared" si="169"/>
        <v/>
      </c>
      <c r="X322" s="304" t="str">
        <f t="shared" si="170"/>
        <v/>
      </c>
      <c r="Y322" s="304" t="str">
        <f t="shared" si="139"/>
        <v/>
      </c>
      <c r="Z322" s="304" t="str">
        <f t="shared" si="160"/>
        <v/>
      </c>
      <c r="AA322" s="308" t="str">
        <f t="shared" si="140"/>
        <v/>
      </c>
      <c r="AB322" s="304" t="str">
        <f t="shared" si="150"/>
        <v/>
      </c>
      <c r="AC322" s="309"/>
      <c r="AD322" s="310" t="str">
        <f t="shared" si="141"/>
        <v/>
      </c>
      <c r="AE322" s="310" t="str">
        <f t="shared" si="141"/>
        <v/>
      </c>
      <c r="AF322" s="310" t="str">
        <f t="shared" si="142"/>
        <v/>
      </c>
      <c r="AG322" s="310" t="str">
        <f t="shared" si="143"/>
        <v/>
      </c>
      <c r="AH322" s="310" t="str">
        <f t="shared" si="171"/>
        <v/>
      </c>
      <c r="AI322" s="310" t="str">
        <f t="shared" si="172"/>
        <v/>
      </c>
      <c r="AJ322" s="311" t="str">
        <f t="shared" si="148"/>
        <v/>
      </c>
      <c r="AK322" s="311" t="str" cm="1">
        <f t="array" ref="AK322">IF(OR(E322="", H322=""), "",
  IFERROR(
     (
      INDEX($AM$3:$AM$22, MATCH(E322, $AL$3:$AL$22, 1)) +
      (E322 - INDEX($AL$3:$AL$22, MATCH(E322, $AL$3:$AL$22, 1))) *
      (INDEX($AM$3:$AM$22, MATCH(E322, $AL$3:$AL$22, 1)+1) - INDEX($AM$3:$AM$22, MATCH(E322, $AL$3:$AL$22, 1))) /
      (INDEX($AL$3:$AL$22, MATCH(E322, $AL$3:$AL$22, 1)+1) - INDEX($AL$3:$AL$22, MATCH(E322, $AL$3:$AL$22, 1)))
    ) - H322,
    ""
  )
)</f>
        <v/>
      </c>
      <c r="AL322" s="338"/>
      <c r="AM322" s="339"/>
      <c r="AN322" s="340"/>
    </row>
    <row r="323" spans="1:40" s="315" customFormat="1" ht="15" customHeight="1" x14ac:dyDescent="0.35">
      <c r="A323" s="316">
        <f t="shared" si="177"/>
        <v>3</v>
      </c>
      <c r="B323" s="317">
        <f t="shared" si="177"/>
        <v>19</v>
      </c>
      <c r="C323" s="318" t="str">
        <f t="shared" si="165"/>
        <v/>
      </c>
      <c r="D323" s="319"/>
      <c r="E323" s="320" t="str">
        <f t="shared" si="151"/>
        <v/>
      </c>
      <c r="F323" s="321"/>
      <c r="G323" s="321"/>
      <c r="H323" s="322" t="str">
        <f t="shared" si="166"/>
        <v/>
      </c>
      <c r="I323" s="323" t="str">
        <f t="shared" si="167"/>
        <v/>
      </c>
      <c r="J323" s="321" t="str">
        <f t="shared" si="176"/>
        <v/>
      </c>
      <c r="K323" s="323" t="str">
        <f t="shared" si="149"/>
        <v/>
      </c>
      <c r="L323" s="321"/>
      <c r="M323" s="333"/>
      <c r="N323" s="323" t="str">
        <f t="shared" si="175"/>
        <v/>
      </c>
      <c r="O323" s="323">
        <f t="shared" si="173"/>
        <v>0</v>
      </c>
      <c r="P323" s="324" t="str">
        <f t="shared" si="168"/>
        <v/>
      </c>
      <c r="Q323" s="325" t="str">
        <f t="shared" si="156"/>
        <v/>
      </c>
      <c r="R323" s="323" t="str">
        <f t="shared" si="135"/>
        <v/>
      </c>
      <c r="S323" s="323" t="str">
        <f t="shared" si="174"/>
        <v/>
      </c>
      <c r="T323" s="323" t="str">
        <f t="shared" si="136"/>
        <v/>
      </c>
      <c r="U323" s="323" t="str">
        <f t="shared" si="137"/>
        <v/>
      </c>
      <c r="V323" s="322" t="str">
        <f t="shared" si="158"/>
        <v/>
      </c>
      <c r="W323" s="323" t="str">
        <f t="shared" si="169"/>
        <v/>
      </c>
      <c r="X323" s="323" t="str">
        <f t="shared" si="170"/>
        <v/>
      </c>
      <c r="Y323" s="323" t="str">
        <f t="shared" si="139"/>
        <v/>
      </c>
      <c r="Z323" s="323" t="str">
        <f t="shared" si="160"/>
        <v/>
      </c>
      <c r="AA323" s="326" t="str">
        <f t="shared" si="140"/>
        <v/>
      </c>
      <c r="AB323" s="323" t="str">
        <f t="shared" si="150"/>
        <v/>
      </c>
      <c r="AC323" s="327"/>
      <c r="AD323" s="328" t="str">
        <f t="shared" si="141"/>
        <v/>
      </c>
      <c r="AE323" s="328" t="str">
        <f t="shared" si="141"/>
        <v/>
      </c>
      <c r="AF323" s="328" t="str">
        <f t="shared" si="142"/>
        <v/>
      </c>
      <c r="AG323" s="328" t="str">
        <f t="shared" si="143"/>
        <v/>
      </c>
      <c r="AH323" s="328" t="str">
        <f t="shared" si="171"/>
        <v/>
      </c>
      <c r="AI323" s="328" t="str">
        <f t="shared" si="172"/>
        <v/>
      </c>
      <c r="AJ323" s="329" t="str">
        <f t="shared" si="148"/>
        <v/>
      </c>
      <c r="AK323" s="329" t="str" cm="1">
        <f t="array" ref="AK323">IF(OR(E323="", H323=""), "",
  IFERROR(
     (
      INDEX($AM$3:$AM$22, MATCH(E323, $AL$3:$AL$22, 1)) +
      (E323 - INDEX($AL$3:$AL$22, MATCH(E323, $AL$3:$AL$22, 1))) *
      (INDEX($AM$3:$AM$22, MATCH(E323, $AL$3:$AL$22, 1)+1) - INDEX($AM$3:$AM$22, MATCH(E323, $AL$3:$AL$22, 1))) /
      (INDEX($AL$3:$AL$22, MATCH(E323, $AL$3:$AL$22, 1)+1) - INDEX($AL$3:$AL$22, MATCH(E323, $AL$3:$AL$22, 1)))
    ) - H323,
    ""
  )
)</f>
        <v/>
      </c>
      <c r="AL323" s="341"/>
      <c r="AM323" s="342"/>
      <c r="AN323" s="343"/>
    </row>
    <row r="324" spans="1:40" s="315" customFormat="1" ht="15" customHeight="1" x14ac:dyDescent="0.35">
      <c r="A324" s="297">
        <f t="shared" si="177"/>
        <v>3</v>
      </c>
      <c r="B324" s="298">
        <f t="shared" si="177"/>
        <v>19</v>
      </c>
      <c r="C324" s="299" t="str">
        <f t="shared" si="165"/>
        <v/>
      </c>
      <c r="D324" s="300"/>
      <c r="E324" s="301" t="str">
        <f t="shared" si="151"/>
        <v/>
      </c>
      <c r="F324" s="302"/>
      <c r="G324" s="302"/>
      <c r="H324" s="303" t="str">
        <f t="shared" si="166"/>
        <v/>
      </c>
      <c r="I324" s="304" t="str">
        <f t="shared" si="167"/>
        <v/>
      </c>
      <c r="J324" s="302" t="str">
        <f t="shared" si="176"/>
        <v/>
      </c>
      <c r="K324" s="304" t="str">
        <f t="shared" si="149"/>
        <v/>
      </c>
      <c r="L324" s="302"/>
      <c r="M324" s="305"/>
      <c r="N324" s="304" t="str">
        <f t="shared" si="175"/>
        <v/>
      </c>
      <c r="O324" s="304">
        <f t="shared" si="173"/>
        <v>0</v>
      </c>
      <c r="P324" s="306" t="str">
        <f t="shared" si="168"/>
        <v/>
      </c>
      <c r="Q324" s="307" t="str">
        <f t="shared" si="156"/>
        <v/>
      </c>
      <c r="R324" s="304" t="str">
        <f t="shared" si="135"/>
        <v/>
      </c>
      <c r="S324" s="304" t="str">
        <f t="shared" si="174"/>
        <v/>
      </c>
      <c r="T324" s="304" t="str">
        <f t="shared" si="136"/>
        <v/>
      </c>
      <c r="U324" s="304" t="str">
        <f t="shared" si="137"/>
        <v/>
      </c>
      <c r="V324" s="303" t="str">
        <f t="shared" si="158"/>
        <v/>
      </c>
      <c r="W324" s="304" t="str">
        <f t="shared" si="169"/>
        <v/>
      </c>
      <c r="X324" s="304" t="str">
        <f t="shared" si="170"/>
        <v/>
      </c>
      <c r="Y324" s="304" t="str">
        <f t="shared" si="139"/>
        <v/>
      </c>
      <c r="Z324" s="304" t="str">
        <f t="shared" si="160"/>
        <v/>
      </c>
      <c r="AA324" s="308" t="str">
        <f t="shared" si="140"/>
        <v/>
      </c>
      <c r="AB324" s="304" t="str">
        <f t="shared" si="150"/>
        <v/>
      </c>
      <c r="AC324" s="309"/>
      <c r="AD324" s="310" t="str">
        <f t="shared" si="141"/>
        <v/>
      </c>
      <c r="AE324" s="310" t="str">
        <f t="shared" si="141"/>
        <v/>
      </c>
      <c r="AF324" s="310" t="str">
        <f t="shared" si="142"/>
        <v/>
      </c>
      <c r="AG324" s="310" t="str">
        <f t="shared" si="143"/>
        <v/>
      </c>
      <c r="AH324" s="310" t="str">
        <f t="shared" si="171"/>
        <v/>
      </c>
      <c r="AI324" s="310" t="str">
        <f t="shared" si="172"/>
        <v/>
      </c>
      <c r="AJ324" s="311" t="str">
        <f t="shared" si="148"/>
        <v/>
      </c>
      <c r="AK324" s="311" t="str" cm="1">
        <f t="array" ref="AK324">IF(OR(E324="", H324=""), "",
  IFERROR(
     (
      INDEX($AM$3:$AM$22, MATCH(E324, $AL$3:$AL$22, 1)) +
      (E324 - INDEX($AL$3:$AL$22, MATCH(E324, $AL$3:$AL$22, 1))) *
      (INDEX($AM$3:$AM$22, MATCH(E324, $AL$3:$AL$22, 1)+1) - INDEX($AM$3:$AM$22, MATCH(E324, $AL$3:$AL$22, 1))) /
      (INDEX($AL$3:$AL$22, MATCH(E324, $AL$3:$AL$22, 1)+1) - INDEX($AL$3:$AL$22, MATCH(E324, $AL$3:$AL$22, 1)))
    ) - H324,
    ""
  )
)</f>
        <v/>
      </c>
      <c r="AL324" s="338"/>
      <c r="AM324" s="339"/>
      <c r="AN324" s="340"/>
    </row>
    <row r="325" spans="1:40" s="315" customFormat="1" ht="15" customHeight="1" x14ac:dyDescent="0.35">
      <c r="A325" s="316">
        <f t="shared" si="177"/>
        <v>3</v>
      </c>
      <c r="B325" s="317">
        <f t="shared" si="177"/>
        <v>19</v>
      </c>
      <c r="C325" s="318" t="str">
        <f t="shared" si="165"/>
        <v/>
      </c>
      <c r="D325" s="319"/>
      <c r="E325" s="320" t="str">
        <f t="shared" si="151"/>
        <v/>
      </c>
      <c r="F325" s="321"/>
      <c r="G325" s="321"/>
      <c r="H325" s="322" t="str">
        <f t="shared" si="166"/>
        <v/>
      </c>
      <c r="I325" s="323" t="str">
        <f t="shared" si="167"/>
        <v/>
      </c>
      <c r="J325" s="321" t="str">
        <f t="shared" si="176"/>
        <v/>
      </c>
      <c r="K325" s="323" t="str">
        <f t="shared" si="149"/>
        <v/>
      </c>
      <c r="L325" s="321"/>
      <c r="M325" s="333"/>
      <c r="N325" s="323" t="str">
        <f t="shared" si="175"/>
        <v/>
      </c>
      <c r="O325" s="323">
        <f t="shared" si="173"/>
        <v>0</v>
      </c>
      <c r="P325" s="324" t="str">
        <f t="shared" si="168"/>
        <v/>
      </c>
      <c r="Q325" s="325" t="str">
        <f t="shared" si="156"/>
        <v/>
      </c>
      <c r="R325" s="323" t="str">
        <f t="shared" si="135"/>
        <v/>
      </c>
      <c r="S325" s="323" t="str">
        <f t="shared" si="174"/>
        <v/>
      </c>
      <c r="T325" s="323" t="str">
        <f t="shared" si="136"/>
        <v/>
      </c>
      <c r="U325" s="323" t="str">
        <f t="shared" si="137"/>
        <v/>
      </c>
      <c r="V325" s="322" t="str">
        <f t="shared" si="158"/>
        <v/>
      </c>
      <c r="W325" s="323" t="str">
        <f t="shared" si="169"/>
        <v/>
      </c>
      <c r="X325" s="323" t="str">
        <f t="shared" si="170"/>
        <v/>
      </c>
      <c r="Y325" s="323" t="str">
        <f t="shared" si="139"/>
        <v/>
      </c>
      <c r="Z325" s="323" t="str">
        <f t="shared" si="160"/>
        <v/>
      </c>
      <c r="AA325" s="326" t="str">
        <f t="shared" si="140"/>
        <v/>
      </c>
      <c r="AB325" s="323" t="str">
        <f t="shared" si="150"/>
        <v/>
      </c>
      <c r="AC325" s="327"/>
      <c r="AD325" s="328" t="str">
        <f t="shared" si="141"/>
        <v/>
      </c>
      <c r="AE325" s="328" t="str">
        <f t="shared" si="141"/>
        <v/>
      </c>
      <c r="AF325" s="328" t="str">
        <f t="shared" si="142"/>
        <v/>
      </c>
      <c r="AG325" s="328" t="str">
        <f t="shared" si="143"/>
        <v/>
      </c>
      <c r="AH325" s="328" t="str">
        <f t="shared" si="171"/>
        <v/>
      </c>
      <c r="AI325" s="328" t="str">
        <f t="shared" si="172"/>
        <v/>
      </c>
      <c r="AJ325" s="329" t="str">
        <f t="shared" si="148"/>
        <v/>
      </c>
      <c r="AK325" s="329" t="str" cm="1">
        <f t="array" ref="AK325">IF(OR(E325="", H325=""), "",
  IFERROR(
     (
      INDEX($AM$3:$AM$22, MATCH(E325, $AL$3:$AL$22, 1)) +
      (E325 - INDEX($AL$3:$AL$22, MATCH(E325, $AL$3:$AL$22, 1))) *
      (INDEX($AM$3:$AM$22, MATCH(E325, $AL$3:$AL$22, 1)+1) - INDEX($AM$3:$AM$22, MATCH(E325, $AL$3:$AL$22, 1))) /
      (INDEX($AL$3:$AL$22, MATCH(E325, $AL$3:$AL$22, 1)+1) - INDEX($AL$3:$AL$22, MATCH(E325, $AL$3:$AL$22, 1)))
    ) - H325,
    ""
  )
)</f>
        <v/>
      </c>
      <c r="AL325" s="341"/>
      <c r="AM325" s="342"/>
      <c r="AN325" s="343"/>
    </row>
    <row r="326" spans="1:40" s="315" customFormat="1" ht="15" customHeight="1" x14ac:dyDescent="0.35">
      <c r="A326" s="297">
        <f t="shared" si="177"/>
        <v>3</v>
      </c>
      <c r="B326" s="298">
        <f t="shared" si="177"/>
        <v>19</v>
      </c>
      <c r="C326" s="299" t="str">
        <f t="shared" si="165"/>
        <v/>
      </c>
      <c r="D326" s="300"/>
      <c r="E326" s="301" t="str">
        <f t="shared" si="151"/>
        <v/>
      </c>
      <c r="F326" s="302"/>
      <c r="G326" s="302"/>
      <c r="H326" s="303" t="str">
        <f t="shared" si="166"/>
        <v/>
      </c>
      <c r="I326" s="304" t="str">
        <f t="shared" si="167"/>
        <v/>
      </c>
      <c r="J326" s="302" t="str">
        <f t="shared" si="176"/>
        <v/>
      </c>
      <c r="K326" s="304" t="str">
        <f t="shared" si="149"/>
        <v/>
      </c>
      <c r="L326" s="302"/>
      <c r="M326" s="305"/>
      <c r="N326" s="304" t="str">
        <f t="shared" si="175"/>
        <v/>
      </c>
      <c r="O326" s="304">
        <f t="shared" si="173"/>
        <v>0</v>
      </c>
      <c r="P326" s="306" t="str">
        <f t="shared" si="168"/>
        <v/>
      </c>
      <c r="Q326" s="307" t="str">
        <f t="shared" si="156"/>
        <v/>
      </c>
      <c r="R326" s="304" t="str">
        <f t="shared" ref="R326:R389" si="178">IF(V326="","",(SIN($AD$2)-SIN(AD326))*1719/($X$2-H326))</f>
        <v/>
      </c>
      <c r="S326" s="304" t="str">
        <f t="shared" si="174"/>
        <v/>
      </c>
      <c r="T326" s="304" t="str">
        <f t="shared" ref="T326:T389" si="179">IF(V326="","",H326+(COS((AG326+AD326)/2))*B326)</f>
        <v/>
      </c>
      <c r="U326" s="304" t="str">
        <f t="shared" ref="U326:U389" si="180">IF(V326="","",(SIN($AD$2)-SIN(AG326))*1719/($X$2-T326))</f>
        <v/>
      </c>
      <c r="V326" s="303" t="str">
        <f t="shared" si="158"/>
        <v/>
      </c>
      <c r="W326" s="304" t="str">
        <f t="shared" si="169"/>
        <v/>
      </c>
      <c r="X326" s="304" t="str">
        <f t="shared" si="170"/>
        <v/>
      </c>
      <c r="Y326" s="304" t="str">
        <f t="shared" ref="Y326:Y389" si="181">IF(W326="","",IF(F326="","",AH326*30/AI326))</f>
        <v/>
      </c>
      <c r="Z326" s="304" t="str">
        <f t="shared" si="160"/>
        <v/>
      </c>
      <c r="AA326" s="308" t="str">
        <f t="shared" ref="AA326:AA389" si="182">+IF(Z326="","",IF(N326="",0,N326/AI326))</f>
        <v/>
      </c>
      <c r="AB326" s="304" t="str">
        <f t="shared" si="150"/>
        <v/>
      </c>
      <c r="AC326" s="309"/>
      <c r="AD326" s="310" t="str">
        <f t="shared" ref="AD326:AE389" si="183">IF(F326&gt;0,RADIANS(F326),"")</f>
        <v/>
      </c>
      <c r="AE326" s="310" t="str">
        <f t="shared" si="183"/>
        <v/>
      </c>
      <c r="AF326" s="310" t="str">
        <f t="shared" ref="AF326:AF389" si="184">IF(F326="","",2/RADIANS(I326)*TAN(RADIANS(I326)/2))</f>
        <v/>
      </c>
      <c r="AG326" s="310" t="str">
        <f t="shared" ref="AG326:AG389" si="185">IF(S326="","",RADIANS(S326))</f>
        <v/>
      </c>
      <c r="AH326" s="310" t="str">
        <f t="shared" si="171"/>
        <v/>
      </c>
      <c r="AI326" s="310" t="str">
        <f t="shared" si="172"/>
        <v/>
      </c>
      <c r="AJ326" s="311" t="str">
        <f t="shared" si="148"/>
        <v/>
      </c>
      <c r="AK326" s="311" t="str" cm="1">
        <f t="array" ref="AK326">IF(OR(E326="", H326=""), "",
  IFERROR(
     (
      INDEX($AM$3:$AM$22, MATCH(E326, $AL$3:$AL$22, 1)) +
      (E326 - INDEX($AL$3:$AL$22, MATCH(E326, $AL$3:$AL$22, 1))) *
      (INDEX($AM$3:$AM$22, MATCH(E326, $AL$3:$AL$22, 1)+1) - INDEX($AM$3:$AM$22, MATCH(E326, $AL$3:$AL$22, 1))) /
      (INDEX($AL$3:$AL$22, MATCH(E326, $AL$3:$AL$22, 1)+1) - INDEX($AL$3:$AL$22, MATCH(E326, $AL$3:$AL$22, 1)))
    ) - H326,
    ""
  )
)</f>
        <v/>
      </c>
      <c r="AL326" s="338"/>
      <c r="AM326" s="339"/>
      <c r="AN326" s="340"/>
    </row>
    <row r="327" spans="1:40" s="315" customFormat="1" ht="15" customHeight="1" x14ac:dyDescent="0.35">
      <c r="A327" s="316">
        <f t="shared" si="177"/>
        <v>3</v>
      </c>
      <c r="B327" s="317">
        <f t="shared" si="177"/>
        <v>19</v>
      </c>
      <c r="C327" s="318" t="str">
        <f t="shared" si="165"/>
        <v/>
      </c>
      <c r="D327" s="319"/>
      <c r="E327" s="320" t="str">
        <f t="shared" si="151"/>
        <v/>
      </c>
      <c r="F327" s="321"/>
      <c r="G327" s="321"/>
      <c r="H327" s="322" t="str">
        <f t="shared" si="166"/>
        <v/>
      </c>
      <c r="I327" s="323" t="str">
        <f t="shared" si="167"/>
        <v/>
      </c>
      <c r="J327" s="321" t="str">
        <f t="shared" si="176"/>
        <v/>
      </c>
      <c r="K327" s="323" t="str">
        <f t="shared" si="149"/>
        <v/>
      </c>
      <c r="L327" s="321"/>
      <c r="M327" s="333"/>
      <c r="N327" s="323" t="str">
        <f t="shared" si="175"/>
        <v/>
      </c>
      <c r="O327" s="323">
        <f t="shared" si="173"/>
        <v>0</v>
      </c>
      <c r="P327" s="324" t="str">
        <f t="shared" si="168"/>
        <v/>
      </c>
      <c r="Q327" s="325" t="str">
        <f t="shared" si="156"/>
        <v/>
      </c>
      <c r="R327" s="323" t="str">
        <f t="shared" si="178"/>
        <v/>
      </c>
      <c r="S327" s="323" t="str">
        <f t="shared" si="174"/>
        <v/>
      </c>
      <c r="T327" s="323" t="str">
        <f t="shared" si="179"/>
        <v/>
      </c>
      <c r="U327" s="323" t="str">
        <f t="shared" si="180"/>
        <v/>
      </c>
      <c r="V327" s="322" t="str">
        <f t="shared" si="158"/>
        <v/>
      </c>
      <c r="W327" s="323" t="str">
        <f t="shared" si="169"/>
        <v/>
      </c>
      <c r="X327" s="323" t="str">
        <f t="shared" si="170"/>
        <v/>
      </c>
      <c r="Y327" s="323" t="str">
        <f t="shared" si="181"/>
        <v/>
      </c>
      <c r="Z327" s="323" t="str">
        <f t="shared" si="160"/>
        <v/>
      </c>
      <c r="AA327" s="326" t="str">
        <f t="shared" si="182"/>
        <v/>
      </c>
      <c r="AB327" s="323" t="str">
        <f t="shared" si="150"/>
        <v/>
      </c>
      <c r="AC327" s="327"/>
      <c r="AD327" s="328" t="str">
        <f t="shared" si="183"/>
        <v/>
      </c>
      <c r="AE327" s="328" t="str">
        <f t="shared" si="183"/>
        <v/>
      </c>
      <c r="AF327" s="328" t="str">
        <f t="shared" si="184"/>
        <v/>
      </c>
      <c r="AG327" s="328" t="str">
        <f t="shared" si="185"/>
        <v/>
      </c>
      <c r="AH327" s="328" t="str">
        <f t="shared" si="171"/>
        <v/>
      </c>
      <c r="AI327" s="328" t="str">
        <f t="shared" si="172"/>
        <v/>
      </c>
      <c r="AJ327" s="329" t="str">
        <f t="shared" ref="AJ327:AJ390" si="186">IFERROR(IF(E327="","",IF(E327&lt;$AL$3,AN$4,INDEX(AN$4:AN$22,MATCH(E327,AL$3:AL$22,1)))),"")</f>
        <v/>
      </c>
      <c r="AK327" s="329" t="str" cm="1">
        <f t="array" ref="AK327">IF(OR(E327="", H327=""), "",
  IFERROR(
     (
      INDEX($AM$3:$AM$22, MATCH(E327, $AL$3:$AL$22, 1)) +
      (E327 - INDEX($AL$3:$AL$22, MATCH(E327, $AL$3:$AL$22, 1))) *
      (INDEX($AM$3:$AM$22, MATCH(E327, $AL$3:$AL$22, 1)+1) - INDEX($AM$3:$AM$22, MATCH(E327, $AL$3:$AL$22, 1))) /
      (INDEX($AL$3:$AL$22, MATCH(E327, $AL$3:$AL$22, 1)+1) - INDEX($AL$3:$AL$22, MATCH(E327, $AL$3:$AL$22, 1)))
    ) - H327,
    ""
  )
)</f>
        <v/>
      </c>
      <c r="AL327" s="341"/>
      <c r="AM327" s="342"/>
      <c r="AN327" s="343"/>
    </row>
    <row r="328" spans="1:40" s="315" customFormat="1" ht="15" customHeight="1" x14ac:dyDescent="0.35">
      <c r="A328" s="297">
        <f t="shared" ref="A328:B339" si="187">+A327</f>
        <v>3</v>
      </c>
      <c r="B328" s="298">
        <f t="shared" si="187"/>
        <v>19</v>
      </c>
      <c r="C328" s="299" t="str">
        <f t="shared" si="165"/>
        <v/>
      </c>
      <c r="D328" s="300"/>
      <c r="E328" s="301" t="str">
        <f t="shared" si="151"/>
        <v/>
      </c>
      <c r="F328" s="302"/>
      <c r="G328" s="302"/>
      <c r="H328" s="303" t="str">
        <f t="shared" si="166"/>
        <v/>
      </c>
      <c r="I328" s="304" t="str">
        <f t="shared" si="167"/>
        <v/>
      </c>
      <c r="J328" s="302" t="str">
        <f t="shared" si="176"/>
        <v/>
      </c>
      <c r="K328" s="304" t="str">
        <f t="shared" si="149"/>
        <v/>
      </c>
      <c r="L328" s="302"/>
      <c r="M328" s="305"/>
      <c r="N328" s="304" t="str">
        <f t="shared" si="175"/>
        <v/>
      </c>
      <c r="O328" s="304">
        <f t="shared" si="173"/>
        <v>0</v>
      </c>
      <c r="P328" s="306" t="str">
        <f t="shared" si="168"/>
        <v/>
      </c>
      <c r="Q328" s="307" t="str">
        <f t="shared" si="156"/>
        <v/>
      </c>
      <c r="R328" s="304" t="str">
        <f t="shared" si="178"/>
        <v/>
      </c>
      <c r="S328" s="304" t="str">
        <f t="shared" si="174"/>
        <v/>
      </c>
      <c r="T328" s="304" t="str">
        <f t="shared" si="179"/>
        <v/>
      </c>
      <c r="U328" s="304" t="str">
        <f t="shared" si="180"/>
        <v/>
      </c>
      <c r="V328" s="303" t="str">
        <f t="shared" si="158"/>
        <v/>
      </c>
      <c r="W328" s="304" t="str">
        <f t="shared" si="169"/>
        <v/>
      </c>
      <c r="X328" s="304" t="str">
        <f t="shared" si="170"/>
        <v/>
      </c>
      <c r="Y328" s="304" t="str">
        <f t="shared" si="181"/>
        <v/>
      </c>
      <c r="Z328" s="304" t="str">
        <f t="shared" si="160"/>
        <v/>
      </c>
      <c r="AA328" s="308" t="str">
        <f t="shared" si="182"/>
        <v/>
      </c>
      <c r="AB328" s="304" t="str">
        <f t="shared" si="150"/>
        <v/>
      </c>
      <c r="AC328" s="309"/>
      <c r="AD328" s="310" t="str">
        <f t="shared" si="183"/>
        <v/>
      </c>
      <c r="AE328" s="310" t="str">
        <f t="shared" si="183"/>
        <v/>
      </c>
      <c r="AF328" s="310" t="str">
        <f t="shared" si="184"/>
        <v/>
      </c>
      <c r="AG328" s="310" t="str">
        <f t="shared" si="185"/>
        <v/>
      </c>
      <c r="AH328" s="310" t="str">
        <f t="shared" si="171"/>
        <v/>
      </c>
      <c r="AI328" s="310" t="str">
        <f t="shared" si="172"/>
        <v/>
      </c>
      <c r="AJ328" s="311" t="str">
        <f t="shared" si="186"/>
        <v/>
      </c>
      <c r="AK328" s="311" t="str" cm="1">
        <f t="array" ref="AK328">IF(OR(E328="", H328=""), "",
  IFERROR(
     (
      INDEX($AM$3:$AM$22, MATCH(E328, $AL$3:$AL$22, 1)) +
      (E328 - INDEX($AL$3:$AL$22, MATCH(E328, $AL$3:$AL$22, 1))) *
      (INDEX($AM$3:$AM$22, MATCH(E328, $AL$3:$AL$22, 1)+1) - INDEX($AM$3:$AM$22, MATCH(E328, $AL$3:$AL$22, 1))) /
      (INDEX($AL$3:$AL$22, MATCH(E328, $AL$3:$AL$22, 1)+1) - INDEX($AL$3:$AL$22, MATCH(E328, $AL$3:$AL$22, 1)))
    ) - H328,
    ""
  )
)</f>
        <v/>
      </c>
      <c r="AL328" s="338"/>
      <c r="AM328" s="339"/>
      <c r="AN328" s="340"/>
    </row>
    <row r="329" spans="1:40" s="315" customFormat="1" ht="15" customHeight="1" x14ac:dyDescent="0.35">
      <c r="A329" s="316">
        <f t="shared" si="187"/>
        <v>3</v>
      </c>
      <c r="B329" s="317">
        <f t="shared" si="187"/>
        <v>19</v>
      </c>
      <c r="C329" s="318" t="str">
        <f t="shared" si="165"/>
        <v/>
      </c>
      <c r="D329" s="319"/>
      <c r="E329" s="320" t="str">
        <f t="shared" si="151"/>
        <v/>
      </c>
      <c r="F329" s="321"/>
      <c r="G329" s="321"/>
      <c r="H329" s="322" t="str">
        <f t="shared" si="166"/>
        <v/>
      </c>
      <c r="I329" s="323" t="str">
        <f t="shared" si="167"/>
        <v/>
      </c>
      <c r="J329" s="321" t="str">
        <f t="shared" si="176"/>
        <v/>
      </c>
      <c r="K329" s="323" t="str">
        <f t="shared" si="149"/>
        <v/>
      </c>
      <c r="L329" s="321"/>
      <c r="M329" s="333"/>
      <c r="N329" s="323" t="str">
        <f t="shared" si="175"/>
        <v/>
      </c>
      <c r="O329" s="323">
        <f t="shared" si="173"/>
        <v>0</v>
      </c>
      <c r="P329" s="324" t="str">
        <f t="shared" si="168"/>
        <v/>
      </c>
      <c r="Q329" s="325" t="str">
        <f t="shared" si="156"/>
        <v/>
      </c>
      <c r="R329" s="323" t="str">
        <f t="shared" si="178"/>
        <v/>
      </c>
      <c r="S329" s="323" t="str">
        <f t="shared" si="174"/>
        <v/>
      </c>
      <c r="T329" s="323" t="str">
        <f t="shared" si="179"/>
        <v/>
      </c>
      <c r="U329" s="323" t="str">
        <f t="shared" si="180"/>
        <v/>
      </c>
      <c r="V329" s="322" t="str">
        <f t="shared" si="158"/>
        <v/>
      </c>
      <c r="W329" s="323" t="str">
        <f t="shared" si="169"/>
        <v/>
      </c>
      <c r="X329" s="323" t="str">
        <f t="shared" si="170"/>
        <v/>
      </c>
      <c r="Y329" s="323" t="str">
        <f t="shared" si="181"/>
        <v/>
      </c>
      <c r="Z329" s="323" t="str">
        <f t="shared" si="160"/>
        <v/>
      </c>
      <c r="AA329" s="326" t="str">
        <f t="shared" si="182"/>
        <v/>
      </c>
      <c r="AB329" s="323" t="str">
        <f t="shared" si="150"/>
        <v/>
      </c>
      <c r="AC329" s="327"/>
      <c r="AD329" s="328" t="str">
        <f t="shared" si="183"/>
        <v/>
      </c>
      <c r="AE329" s="328" t="str">
        <f t="shared" si="183"/>
        <v/>
      </c>
      <c r="AF329" s="328" t="str">
        <f t="shared" si="184"/>
        <v/>
      </c>
      <c r="AG329" s="328" t="str">
        <f t="shared" si="185"/>
        <v/>
      </c>
      <c r="AH329" s="328" t="str">
        <f t="shared" si="171"/>
        <v/>
      </c>
      <c r="AI329" s="328" t="str">
        <f t="shared" si="172"/>
        <v/>
      </c>
      <c r="AJ329" s="329" t="str">
        <f t="shared" si="186"/>
        <v/>
      </c>
      <c r="AK329" s="329" t="str" cm="1">
        <f t="array" ref="AK329">IF(OR(E329="", H329=""), "",
  IFERROR(
     (
      INDEX($AM$3:$AM$22, MATCH(E329, $AL$3:$AL$22, 1)) +
      (E329 - INDEX($AL$3:$AL$22, MATCH(E329, $AL$3:$AL$22, 1))) *
      (INDEX($AM$3:$AM$22, MATCH(E329, $AL$3:$AL$22, 1)+1) - INDEX($AM$3:$AM$22, MATCH(E329, $AL$3:$AL$22, 1))) /
      (INDEX($AL$3:$AL$22, MATCH(E329, $AL$3:$AL$22, 1)+1) - INDEX($AL$3:$AL$22, MATCH(E329, $AL$3:$AL$22, 1)))
    ) - H329,
    ""
  )
)</f>
        <v/>
      </c>
      <c r="AL329" s="341"/>
      <c r="AM329" s="342"/>
      <c r="AN329" s="343"/>
    </row>
    <row r="330" spans="1:40" s="315" customFormat="1" ht="15" customHeight="1" x14ac:dyDescent="0.35">
      <c r="A330" s="297">
        <f t="shared" si="187"/>
        <v>3</v>
      </c>
      <c r="B330" s="298">
        <f t="shared" si="187"/>
        <v>19</v>
      </c>
      <c r="C330" s="299" t="str">
        <f t="shared" si="165"/>
        <v/>
      </c>
      <c r="D330" s="300"/>
      <c r="E330" s="301" t="str">
        <f t="shared" si="151"/>
        <v/>
      </c>
      <c r="F330" s="302"/>
      <c r="G330" s="302"/>
      <c r="H330" s="303" t="str">
        <f t="shared" si="166"/>
        <v/>
      </c>
      <c r="I330" s="304" t="str">
        <f t="shared" si="167"/>
        <v/>
      </c>
      <c r="J330" s="302" t="str">
        <f t="shared" si="176"/>
        <v/>
      </c>
      <c r="K330" s="304" t="str">
        <f t="shared" ref="K330:K339" si="188">IF(L330="","",J330+L330)</f>
        <v/>
      </c>
      <c r="L330" s="302"/>
      <c r="M330" s="305"/>
      <c r="N330" s="304" t="str">
        <f t="shared" si="175"/>
        <v/>
      </c>
      <c r="O330" s="304">
        <f t="shared" si="173"/>
        <v>0</v>
      </c>
      <c r="P330" s="306" t="str">
        <f t="shared" si="168"/>
        <v/>
      </c>
      <c r="Q330" s="307" t="str">
        <f t="shared" si="156"/>
        <v/>
      </c>
      <c r="R330" s="304" t="str">
        <f t="shared" si="178"/>
        <v/>
      </c>
      <c r="S330" s="304" t="str">
        <f t="shared" si="174"/>
        <v/>
      </c>
      <c r="T330" s="304" t="str">
        <f t="shared" si="179"/>
        <v/>
      </c>
      <c r="U330" s="304" t="str">
        <f t="shared" si="180"/>
        <v/>
      </c>
      <c r="V330" s="303" t="str">
        <f t="shared" si="158"/>
        <v/>
      </c>
      <c r="W330" s="304" t="str">
        <f t="shared" si="169"/>
        <v/>
      </c>
      <c r="X330" s="304" t="str">
        <f t="shared" si="170"/>
        <v/>
      </c>
      <c r="Y330" s="304" t="str">
        <f t="shared" si="181"/>
        <v/>
      </c>
      <c r="Z330" s="304" t="str">
        <f t="shared" si="160"/>
        <v/>
      </c>
      <c r="AA330" s="308" t="str">
        <f t="shared" si="182"/>
        <v/>
      </c>
      <c r="AB330" s="304" t="str">
        <f t="shared" ref="AB330:AB393" si="189">IF(L330="","",C331-L330)</f>
        <v/>
      </c>
      <c r="AC330" s="309"/>
      <c r="AD330" s="310" t="str">
        <f t="shared" si="183"/>
        <v/>
      </c>
      <c r="AE330" s="310" t="str">
        <f t="shared" si="183"/>
        <v/>
      </c>
      <c r="AF330" s="310" t="str">
        <f t="shared" si="184"/>
        <v/>
      </c>
      <c r="AG330" s="310" t="str">
        <f t="shared" si="185"/>
        <v/>
      </c>
      <c r="AH330" s="310" t="str">
        <f t="shared" si="171"/>
        <v/>
      </c>
      <c r="AI330" s="310" t="str">
        <f t="shared" si="172"/>
        <v/>
      </c>
      <c r="AJ330" s="311" t="str">
        <f t="shared" si="186"/>
        <v/>
      </c>
      <c r="AK330" s="311" t="str" cm="1">
        <f t="array" ref="AK330">IF(OR(E330="", H330=""), "",
  IFERROR(
     (
      INDEX($AM$3:$AM$22, MATCH(E330, $AL$3:$AL$22, 1)) +
      (E330 - INDEX($AL$3:$AL$22, MATCH(E330, $AL$3:$AL$22, 1))) *
      (INDEX($AM$3:$AM$22, MATCH(E330, $AL$3:$AL$22, 1)+1) - INDEX($AM$3:$AM$22, MATCH(E330, $AL$3:$AL$22, 1))) /
      (INDEX($AL$3:$AL$22, MATCH(E330, $AL$3:$AL$22, 1)+1) - INDEX($AL$3:$AL$22, MATCH(E330, $AL$3:$AL$22, 1)))
    ) - H330,
    ""
  )
)</f>
        <v/>
      </c>
      <c r="AL330" s="338"/>
      <c r="AM330" s="339"/>
      <c r="AN330" s="340"/>
    </row>
    <row r="331" spans="1:40" s="315" customFormat="1" ht="15" customHeight="1" x14ac:dyDescent="0.35">
      <c r="A331" s="316">
        <f t="shared" si="187"/>
        <v>3</v>
      </c>
      <c r="B331" s="317">
        <f t="shared" si="187"/>
        <v>19</v>
      </c>
      <c r="C331" s="318" t="str">
        <f t="shared" si="165"/>
        <v/>
      </c>
      <c r="D331" s="319"/>
      <c r="E331" s="320" t="str">
        <f t="shared" ref="E331:E339" si="190">IF(D331&gt;0,D331-B331,"")</f>
        <v/>
      </c>
      <c r="F331" s="321"/>
      <c r="G331" s="321"/>
      <c r="H331" s="322" t="str">
        <f t="shared" si="166"/>
        <v/>
      </c>
      <c r="I331" s="323" t="str">
        <f t="shared" si="167"/>
        <v/>
      </c>
      <c r="J331" s="321" t="str">
        <f t="shared" si="176"/>
        <v/>
      </c>
      <c r="K331" s="323" t="str">
        <f t="shared" si="188"/>
        <v/>
      </c>
      <c r="L331" s="321"/>
      <c r="M331" s="333"/>
      <c r="N331" s="323" t="str">
        <f t="shared" si="175"/>
        <v/>
      </c>
      <c r="O331" s="323">
        <f t="shared" si="173"/>
        <v>0</v>
      </c>
      <c r="P331" s="324" t="str">
        <f t="shared" si="168"/>
        <v/>
      </c>
      <c r="Q331" s="325" t="str">
        <f t="shared" si="156"/>
        <v/>
      </c>
      <c r="R331" s="323" t="str">
        <f t="shared" si="178"/>
        <v/>
      </c>
      <c r="S331" s="323" t="str">
        <f t="shared" si="174"/>
        <v/>
      </c>
      <c r="T331" s="323" t="str">
        <f t="shared" si="179"/>
        <v/>
      </c>
      <c r="U331" s="323" t="str">
        <f t="shared" si="180"/>
        <v/>
      </c>
      <c r="V331" s="322" t="str">
        <f t="shared" si="158"/>
        <v/>
      </c>
      <c r="W331" s="323" t="str">
        <f t="shared" si="169"/>
        <v/>
      </c>
      <c r="X331" s="323" t="str">
        <f t="shared" si="170"/>
        <v/>
      </c>
      <c r="Y331" s="323" t="str">
        <f t="shared" si="181"/>
        <v/>
      </c>
      <c r="Z331" s="323" t="str">
        <f t="shared" si="160"/>
        <v/>
      </c>
      <c r="AA331" s="326" t="str">
        <f t="shared" si="182"/>
        <v/>
      </c>
      <c r="AB331" s="323" t="str">
        <f t="shared" si="189"/>
        <v/>
      </c>
      <c r="AC331" s="327"/>
      <c r="AD331" s="328" t="str">
        <f t="shared" si="183"/>
        <v/>
      </c>
      <c r="AE331" s="328" t="str">
        <f t="shared" si="183"/>
        <v/>
      </c>
      <c r="AF331" s="328" t="str">
        <f t="shared" si="184"/>
        <v/>
      </c>
      <c r="AG331" s="328" t="str">
        <f t="shared" si="185"/>
        <v/>
      </c>
      <c r="AH331" s="328" t="str">
        <f t="shared" si="171"/>
        <v/>
      </c>
      <c r="AI331" s="328" t="str">
        <f t="shared" si="172"/>
        <v/>
      </c>
      <c r="AJ331" s="329" t="str">
        <f t="shared" si="186"/>
        <v/>
      </c>
      <c r="AK331" s="329" t="str" cm="1">
        <f t="array" ref="AK331">IF(OR(E331="", H331=""), "",
  IFERROR(
     (
      INDEX($AM$3:$AM$22, MATCH(E331, $AL$3:$AL$22, 1)) +
      (E331 - INDEX($AL$3:$AL$22, MATCH(E331, $AL$3:$AL$22, 1))) *
      (INDEX($AM$3:$AM$22, MATCH(E331, $AL$3:$AL$22, 1)+1) - INDEX($AM$3:$AM$22, MATCH(E331, $AL$3:$AL$22, 1))) /
      (INDEX($AL$3:$AL$22, MATCH(E331, $AL$3:$AL$22, 1)+1) - INDEX($AL$3:$AL$22, MATCH(E331, $AL$3:$AL$22, 1)))
    ) - H331,
    ""
  )
)</f>
        <v/>
      </c>
      <c r="AL331" s="341"/>
      <c r="AM331" s="342"/>
      <c r="AN331" s="343"/>
    </row>
    <row r="332" spans="1:40" s="315" customFormat="1" ht="15" customHeight="1" x14ac:dyDescent="0.35">
      <c r="A332" s="297">
        <f t="shared" si="187"/>
        <v>3</v>
      </c>
      <c r="B332" s="298">
        <f t="shared" si="187"/>
        <v>19</v>
      </c>
      <c r="C332" s="299" t="str">
        <f t="shared" si="165"/>
        <v/>
      </c>
      <c r="D332" s="300"/>
      <c r="E332" s="301" t="str">
        <f t="shared" si="190"/>
        <v/>
      </c>
      <c r="F332" s="302"/>
      <c r="G332" s="302"/>
      <c r="H332" s="303" t="str">
        <f t="shared" si="166"/>
        <v/>
      </c>
      <c r="I332" s="304" t="str">
        <f t="shared" si="167"/>
        <v/>
      </c>
      <c r="J332" s="302" t="str">
        <f t="shared" si="176"/>
        <v/>
      </c>
      <c r="K332" s="304" t="str">
        <f t="shared" si="188"/>
        <v/>
      </c>
      <c r="L332" s="302"/>
      <c r="M332" s="305"/>
      <c r="N332" s="304" t="str">
        <f t="shared" si="175"/>
        <v/>
      </c>
      <c r="O332" s="304">
        <f t="shared" si="173"/>
        <v>0</v>
      </c>
      <c r="P332" s="306" t="str">
        <f t="shared" si="168"/>
        <v/>
      </c>
      <c r="Q332" s="307" t="str">
        <f t="shared" ref="Q332:Q339" si="191">IF(ISNUMBER(P332),(IF(Y332&gt;0,"R","L")),"")</f>
        <v/>
      </c>
      <c r="R332" s="304" t="str">
        <f t="shared" si="178"/>
        <v/>
      </c>
      <c r="S332" s="304" t="str">
        <f t="shared" si="174"/>
        <v/>
      </c>
      <c r="T332" s="304" t="str">
        <f t="shared" si="179"/>
        <v/>
      </c>
      <c r="U332" s="304" t="str">
        <f t="shared" si="180"/>
        <v/>
      </c>
      <c r="V332" s="303" t="str">
        <f t="shared" si="158"/>
        <v/>
      </c>
      <c r="W332" s="304" t="str">
        <f t="shared" si="169"/>
        <v/>
      </c>
      <c r="X332" s="304" t="str">
        <f t="shared" si="170"/>
        <v/>
      </c>
      <c r="Y332" s="304" t="str">
        <f t="shared" si="181"/>
        <v/>
      </c>
      <c r="Z332" s="304" t="str">
        <f t="shared" si="160"/>
        <v/>
      </c>
      <c r="AA332" s="308" t="str">
        <f t="shared" si="182"/>
        <v/>
      </c>
      <c r="AB332" s="304" t="str">
        <f t="shared" si="189"/>
        <v/>
      </c>
      <c r="AC332" s="309"/>
      <c r="AD332" s="310" t="str">
        <f t="shared" si="183"/>
        <v/>
      </c>
      <c r="AE332" s="310" t="str">
        <f t="shared" si="183"/>
        <v/>
      </c>
      <c r="AF332" s="310" t="str">
        <f t="shared" si="184"/>
        <v/>
      </c>
      <c r="AG332" s="310" t="str">
        <f t="shared" si="185"/>
        <v/>
      </c>
      <c r="AH332" s="310" t="str">
        <f t="shared" si="171"/>
        <v/>
      </c>
      <c r="AI332" s="310" t="str">
        <f t="shared" si="172"/>
        <v/>
      </c>
      <c r="AJ332" s="311" t="str">
        <f t="shared" si="186"/>
        <v/>
      </c>
      <c r="AK332" s="311" t="str" cm="1">
        <f t="array" ref="AK332">IF(OR(E332="", H332=""), "",
  IFERROR(
     (
      INDEX($AM$3:$AM$22, MATCH(E332, $AL$3:$AL$22, 1)) +
      (E332 - INDEX($AL$3:$AL$22, MATCH(E332, $AL$3:$AL$22, 1))) *
      (INDEX($AM$3:$AM$22, MATCH(E332, $AL$3:$AL$22, 1)+1) - INDEX($AM$3:$AM$22, MATCH(E332, $AL$3:$AL$22, 1))) /
      (INDEX($AL$3:$AL$22, MATCH(E332, $AL$3:$AL$22, 1)+1) - INDEX($AL$3:$AL$22, MATCH(E332, $AL$3:$AL$22, 1)))
    ) - H332,
    ""
  )
)</f>
        <v/>
      </c>
      <c r="AL332" s="338"/>
      <c r="AM332" s="339"/>
      <c r="AN332" s="340"/>
    </row>
    <row r="333" spans="1:40" s="315" customFormat="1" ht="15" customHeight="1" x14ac:dyDescent="0.35">
      <c r="A333" s="316">
        <f t="shared" si="187"/>
        <v>3</v>
      </c>
      <c r="B333" s="317">
        <f t="shared" si="187"/>
        <v>19</v>
      </c>
      <c r="C333" s="318" t="str">
        <f t="shared" si="165"/>
        <v/>
      </c>
      <c r="D333" s="319"/>
      <c r="E333" s="320" t="str">
        <f t="shared" si="190"/>
        <v/>
      </c>
      <c r="F333" s="321"/>
      <c r="G333" s="321"/>
      <c r="H333" s="322" t="str">
        <f t="shared" si="166"/>
        <v/>
      </c>
      <c r="I333" s="323" t="str">
        <f t="shared" si="167"/>
        <v/>
      </c>
      <c r="J333" s="321" t="str">
        <f t="shared" si="176"/>
        <v/>
      </c>
      <c r="K333" s="323" t="str">
        <f t="shared" si="188"/>
        <v/>
      </c>
      <c r="L333" s="321"/>
      <c r="M333" s="333"/>
      <c r="N333" s="323" t="str">
        <f t="shared" si="175"/>
        <v/>
      </c>
      <c r="O333" s="323">
        <f t="shared" si="173"/>
        <v>0</v>
      </c>
      <c r="P333" s="324" t="str">
        <f t="shared" si="168"/>
        <v/>
      </c>
      <c r="Q333" s="325" t="str">
        <f t="shared" si="191"/>
        <v/>
      </c>
      <c r="R333" s="323" t="str">
        <f t="shared" si="178"/>
        <v/>
      </c>
      <c r="S333" s="323" t="str">
        <f t="shared" si="174"/>
        <v/>
      </c>
      <c r="T333" s="323" t="str">
        <f t="shared" si="179"/>
        <v/>
      </c>
      <c r="U333" s="323" t="str">
        <f t="shared" si="180"/>
        <v/>
      </c>
      <c r="V333" s="322" t="str">
        <f t="shared" ref="V333:V396" si="192">IF(F333="","",IF(N333="",IF(O333="",(F333-F332)/30,AVERAGE(V332,V331,V330)),(F333-F332)/N333))</f>
        <v/>
      </c>
      <c r="W333" s="323" t="str">
        <f t="shared" si="169"/>
        <v/>
      </c>
      <c r="X333" s="323" t="str">
        <f t="shared" si="170"/>
        <v/>
      </c>
      <c r="Y333" s="323" t="str">
        <f t="shared" si="181"/>
        <v/>
      </c>
      <c r="Z333" s="323" t="str">
        <f t="shared" si="160"/>
        <v/>
      </c>
      <c r="AA333" s="326" t="str">
        <f t="shared" si="182"/>
        <v/>
      </c>
      <c r="AB333" s="323" t="str">
        <f t="shared" si="189"/>
        <v/>
      </c>
      <c r="AC333" s="327"/>
      <c r="AD333" s="328" t="str">
        <f t="shared" si="183"/>
        <v/>
      </c>
      <c r="AE333" s="328" t="str">
        <f t="shared" si="183"/>
        <v/>
      </c>
      <c r="AF333" s="328" t="str">
        <f t="shared" si="184"/>
        <v/>
      </c>
      <c r="AG333" s="328" t="str">
        <f t="shared" si="185"/>
        <v/>
      </c>
      <c r="AH333" s="328" t="str">
        <f t="shared" si="171"/>
        <v/>
      </c>
      <c r="AI333" s="328" t="str">
        <f t="shared" si="172"/>
        <v/>
      </c>
      <c r="AJ333" s="329" t="str">
        <f t="shared" si="186"/>
        <v/>
      </c>
      <c r="AK333" s="329" t="str" cm="1">
        <f t="array" ref="AK333">IF(OR(E333="", H333=""), "",
  IFERROR(
     (
      INDEX($AM$3:$AM$22, MATCH(E333, $AL$3:$AL$22, 1)) +
      (E333 - INDEX($AL$3:$AL$22, MATCH(E333, $AL$3:$AL$22, 1))) *
      (INDEX($AM$3:$AM$22, MATCH(E333, $AL$3:$AL$22, 1)+1) - INDEX($AM$3:$AM$22, MATCH(E333, $AL$3:$AL$22, 1))) /
      (INDEX($AL$3:$AL$22, MATCH(E333, $AL$3:$AL$22, 1)+1) - INDEX($AL$3:$AL$22, MATCH(E333, $AL$3:$AL$22, 1)))
    ) - H333,
    ""
  )
)</f>
        <v/>
      </c>
      <c r="AL333" s="341"/>
      <c r="AM333" s="342"/>
      <c r="AN333" s="343"/>
    </row>
    <row r="334" spans="1:40" s="315" customFormat="1" ht="15" customHeight="1" x14ac:dyDescent="0.35">
      <c r="A334" s="297">
        <f t="shared" si="187"/>
        <v>3</v>
      </c>
      <c r="B334" s="298">
        <f t="shared" si="187"/>
        <v>19</v>
      </c>
      <c r="C334" s="299" t="str">
        <f t="shared" si="165"/>
        <v/>
      </c>
      <c r="D334" s="300"/>
      <c r="E334" s="301" t="str">
        <f t="shared" si="190"/>
        <v/>
      </c>
      <c r="F334" s="302"/>
      <c r="G334" s="302"/>
      <c r="H334" s="303" t="str">
        <f t="shared" si="166"/>
        <v/>
      </c>
      <c r="I334" s="304" t="str">
        <f t="shared" si="167"/>
        <v/>
      </c>
      <c r="J334" s="302" t="str">
        <f t="shared" si="176"/>
        <v/>
      </c>
      <c r="K334" s="304" t="str">
        <f t="shared" si="188"/>
        <v/>
      </c>
      <c r="L334" s="302"/>
      <c r="M334" s="305"/>
      <c r="N334" s="304" t="str">
        <f t="shared" si="175"/>
        <v/>
      </c>
      <c r="O334" s="304">
        <f t="shared" si="173"/>
        <v>0</v>
      </c>
      <c r="P334" s="306" t="str">
        <f t="shared" si="168"/>
        <v/>
      </c>
      <c r="Q334" s="307" t="str">
        <f t="shared" si="191"/>
        <v/>
      </c>
      <c r="R334" s="304" t="str">
        <f t="shared" si="178"/>
        <v/>
      </c>
      <c r="S334" s="304" t="str">
        <f t="shared" si="174"/>
        <v/>
      </c>
      <c r="T334" s="304" t="str">
        <f t="shared" si="179"/>
        <v/>
      </c>
      <c r="U334" s="304" t="str">
        <f t="shared" si="180"/>
        <v/>
      </c>
      <c r="V334" s="303" t="str">
        <f t="shared" si="192"/>
        <v/>
      </c>
      <c r="W334" s="304" t="str">
        <f t="shared" si="169"/>
        <v/>
      </c>
      <c r="X334" s="304" t="str">
        <f t="shared" si="170"/>
        <v/>
      </c>
      <c r="Y334" s="304" t="str">
        <f t="shared" si="181"/>
        <v/>
      </c>
      <c r="Z334" s="304" t="str">
        <f t="shared" si="160"/>
        <v/>
      </c>
      <c r="AA334" s="308" t="str">
        <f t="shared" si="182"/>
        <v/>
      </c>
      <c r="AB334" s="304" t="str">
        <f t="shared" si="189"/>
        <v/>
      </c>
      <c r="AC334" s="309"/>
      <c r="AD334" s="310" t="str">
        <f t="shared" si="183"/>
        <v/>
      </c>
      <c r="AE334" s="310" t="str">
        <f t="shared" si="183"/>
        <v/>
      </c>
      <c r="AF334" s="310" t="str">
        <f t="shared" si="184"/>
        <v/>
      </c>
      <c r="AG334" s="310" t="str">
        <f t="shared" si="185"/>
        <v/>
      </c>
      <c r="AH334" s="310" t="str">
        <f t="shared" si="171"/>
        <v/>
      </c>
      <c r="AI334" s="310" t="str">
        <f t="shared" si="172"/>
        <v/>
      </c>
      <c r="AJ334" s="311" t="str">
        <f t="shared" si="186"/>
        <v/>
      </c>
      <c r="AK334" s="311" t="str" cm="1">
        <f t="array" ref="AK334">IF(OR(E334="", H334=""), "",
  IFERROR(
     (
      INDEX($AM$3:$AM$22, MATCH(E334, $AL$3:$AL$22, 1)) +
      (E334 - INDEX($AL$3:$AL$22, MATCH(E334, $AL$3:$AL$22, 1))) *
      (INDEX($AM$3:$AM$22, MATCH(E334, $AL$3:$AL$22, 1)+1) - INDEX($AM$3:$AM$22, MATCH(E334, $AL$3:$AL$22, 1))) /
      (INDEX($AL$3:$AL$22, MATCH(E334, $AL$3:$AL$22, 1)+1) - INDEX($AL$3:$AL$22, MATCH(E334, $AL$3:$AL$22, 1)))
    ) - H334,
    ""
  )
)</f>
        <v/>
      </c>
      <c r="AL334" s="338"/>
      <c r="AM334" s="339"/>
      <c r="AN334" s="340"/>
    </row>
    <row r="335" spans="1:40" s="315" customFormat="1" ht="15" customHeight="1" x14ac:dyDescent="0.35">
      <c r="A335" s="316">
        <f t="shared" si="187"/>
        <v>3</v>
      </c>
      <c r="B335" s="317">
        <f t="shared" si="187"/>
        <v>19</v>
      </c>
      <c r="C335" s="318" t="str">
        <f t="shared" si="165"/>
        <v/>
      </c>
      <c r="D335" s="319"/>
      <c r="E335" s="320" t="str">
        <f t="shared" si="190"/>
        <v/>
      </c>
      <c r="F335" s="321"/>
      <c r="G335" s="321"/>
      <c r="H335" s="322" t="str">
        <f t="shared" si="166"/>
        <v/>
      </c>
      <c r="I335" s="323" t="str">
        <f t="shared" si="167"/>
        <v/>
      </c>
      <c r="J335" s="321" t="str">
        <f t="shared" si="176"/>
        <v/>
      </c>
      <c r="K335" s="323" t="str">
        <f t="shared" si="188"/>
        <v/>
      </c>
      <c r="L335" s="321"/>
      <c r="M335" s="333"/>
      <c r="N335" s="323" t="str">
        <f t="shared" si="175"/>
        <v/>
      </c>
      <c r="O335" s="323">
        <f t="shared" si="173"/>
        <v>0</v>
      </c>
      <c r="P335" s="324" t="str">
        <f t="shared" si="168"/>
        <v/>
      </c>
      <c r="Q335" s="325" t="str">
        <f t="shared" si="191"/>
        <v/>
      </c>
      <c r="R335" s="323" t="str">
        <f t="shared" si="178"/>
        <v/>
      </c>
      <c r="S335" s="323" t="str">
        <f t="shared" si="174"/>
        <v/>
      </c>
      <c r="T335" s="323" t="str">
        <f t="shared" si="179"/>
        <v/>
      </c>
      <c r="U335" s="323" t="str">
        <f t="shared" si="180"/>
        <v/>
      </c>
      <c r="V335" s="322" t="str">
        <f t="shared" si="192"/>
        <v/>
      </c>
      <c r="W335" s="323" t="str">
        <f t="shared" si="169"/>
        <v/>
      </c>
      <c r="X335" s="323" t="str">
        <f t="shared" si="170"/>
        <v/>
      </c>
      <c r="Y335" s="323" t="str">
        <f t="shared" si="181"/>
        <v/>
      </c>
      <c r="Z335" s="323" t="str">
        <f t="shared" si="160"/>
        <v/>
      </c>
      <c r="AA335" s="326" t="str">
        <f t="shared" si="182"/>
        <v/>
      </c>
      <c r="AB335" s="323" t="str">
        <f t="shared" si="189"/>
        <v/>
      </c>
      <c r="AC335" s="327"/>
      <c r="AD335" s="328" t="str">
        <f t="shared" si="183"/>
        <v/>
      </c>
      <c r="AE335" s="328" t="str">
        <f t="shared" si="183"/>
        <v/>
      </c>
      <c r="AF335" s="328" t="str">
        <f t="shared" si="184"/>
        <v/>
      </c>
      <c r="AG335" s="328" t="str">
        <f t="shared" si="185"/>
        <v/>
      </c>
      <c r="AH335" s="328" t="str">
        <f t="shared" si="171"/>
        <v/>
      </c>
      <c r="AI335" s="328" t="str">
        <f t="shared" si="172"/>
        <v/>
      </c>
      <c r="AJ335" s="329" t="str">
        <f t="shared" si="186"/>
        <v/>
      </c>
      <c r="AK335" s="329" t="str" cm="1">
        <f t="array" ref="AK335">IF(OR(E335="", H335=""), "",
  IFERROR(
     (
      INDEX($AM$3:$AM$22, MATCH(E335, $AL$3:$AL$22, 1)) +
      (E335 - INDEX($AL$3:$AL$22, MATCH(E335, $AL$3:$AL$22, 1))) *
      (INDEX($AM$3:$AM$22, MATCH(E335, $AL$3:$AL$22, 1)+1) - INDEX($AM$3:$AM$22, MATCH(E335, $AL$3:$AL$22, 1))) /
      (INDEX($AL$3:$AL$22, MATCH(E335, $AL$3:$AL$22, 1)+1) - INDEX($AL$3:$AL$22, MATCH(E335, $AL$3:$AL$22, 1)))
    ) - H335,
    ""
  )
)</f>
        <v/>
      </c>
      <c r="AL335" s="341"/>
      <c r="AM335" s="342"/>
      <c r="AN335" s="343"/>
    </row>
    <row r="336" spans="1:40" s="315" customFormat="1" ht="15" customHeight="1" x14ac:dyDescent="0.35">
      <c r="A336" s="297">
        <f t="shared" si="187"/>
        <v>3</v>
      </c>
      <c r="B336" s="298">
        <f t="shared" si="187"/>
        <v>19</v>
      </c>
      <c r="C336" s="299" t="str">
        <f t="shared" si="165"/>
        <v/>
      </c>
      <c r="D336" s="300"/>
      <c r="E336" s="301" t="str">
        <f t="shared" si="190"/>
        <v/>
      </c>
      <c r="F336" s="302"/>
      <c r="G336" s="302"/>
      <c r="H336" s="303" t="str">
        <f t="shared" si="166"/>
        <v/>
      </c>
      <c r="I336" s="304" t="str">
        <f t="shared" si="167"/>
        <v/>
      </c>
      <c r="J336" s="302" t="str">
        <f t="shared" si="176"/>
        <v/>
      </c>
      <c r="K336" s="304" t="str">
        <f t="shared" si="188"/>
        <v/>
      </c>
      <c r="L336" s="302"/>
      <c r="M336" s="305"/>
      <c r="N336" s="304" t="str">
        <f t="shared" si="175"/>
        <v/>
      </c>
      <c r="O336" s="304">
        <f t="shared" si="173"/>
        <v>0</v>
      </c>
      <c r="P336" s="306" t="str">
        <f t="shared" si="168"/>
        <v/>
      </c>
      <c r="Q336" s="307" t="str">
        <f t="shared" si="191"/>
        <v/>
      </c>
      <c r="R336" s="304" t="str">
        <f t="shared" si="178"/>
        <v/>
      </c>
      <c r="S336" s="304" t="str">
        <f t="shared" si="174"/>
        <v/>
      </c>
      <c r="T336" s="304" t="str">
        <f t="shared" si="179"/>
        <v/>
      </c>
      <c r="U336" s="304" t="str">
        <f t="shared" si="180"/>
        <v/>
      </c>
      <c r="V336" s="303" t="str">
        <f t="shared" si="192"/>
        <v/>
      </c>
      <c r="W336" s="304" t="str">
        <f t="shared" si="169"/>
        <v/>
      </c>
      <c r="X336" s="304" t="str">
        <f t="shared" si="170"/>
        <v/>
      </c>
      <c r="Y336" s="304" t="str">
        <f t="shared" si="181"/>
        <v/>
      </c>
      <c r="Z336" s="304" t="str">
        <f t="shared" si="160"/>
        <v/>
      </c>
      <c r="AA336" s="308" t="str">
        <f t="shared" si="182"/>
        <v/>
      </c>
      <c r="AB336" s="304" t="str">
        <f t="shared" si="189"/>
        <v/>
      </c>
      <c r="AC336" s="309"/>
      <c r="AD336" s="310" t="str">
        <f t="shared" si="183"/>
        <v/>
      </c>
      <c r="AE336" s="310" t="str">
        <f t="shared" si="183"/>
        <v/>
      </c>
      <c r="AF336" s="310" t="str">
        <f t="shared" si="184"/>
        <v/>
      </c>
      <c r="AG336" s="310" t="str">
        <f t="shared" si="185"/>
        <v/>
      </c>
      <c r="AH336" s="310" t="str">
        <f t="shared" si="171"/>
        <v/>
      </c>
      <c r="AI336" s="310" t="str">
        <f t="shared" si="172"/>
        <v/>
      </c>
      <c r="AJ336" s="311" t="str">
        <f t="shared" si="186"/>
        <v/>
      </c>
      <c r="AK336" s="311" t="str" cm="1">
        <f t="array" ref="AK336">IF(OR(E336="", H336=""), "",
  IFERROR(
     (
      INDEX($AM$3:$AM$22, MATCH(E336, $AL$3:$AL$22, 1)) +
      (E336 - INDEX($AL$3:$AL$22, MATCH(E336, $AL$3:$AL$22, 1))) *
      (INDEX($AM$3:$AM$22, MATCH(E336, $AL$3:$AL$22, 1)+1) - INDEX($AM$3:$AM$22, MATCH(E336, $AL$3:$AL$22, 1))) /
      (INDEX($AL$3:$AL$22, MATCH(E336, $AL$3:$AL$22, 1)+1) - INDEX($AL$3:$AL$22, MATCH(E336, $AL$3:$AL$22, 1)))
    ) - H336,
    ""
  )
)</f>
        <v/>
      </c>
      <c r="AL336" s="338"/>
      <c r="AM336" s="339"/>
      <c r="AN336" s="340"/>
    </row>
    <row r="337" spans="1:40" s="315" customFormat="1" ht="15" customHeight="1" x14ac:dyDescent="0.35">
      <c r="A337" s="316">
        <f t="shared" si="187"/>
        <v>3</v>
      </c>
      <c r="B337" s="317">
        <f t="shared" si="187"/>
        <v>19</v>
      </c>
      <c r="C337" s="318" t="str">
        <f t="shared" si="165"/>
        <v/>
      </c>
      <c r="D337" s="319"/>
      <c r="E337" s="320" t="str">
        <f t="shared" si="190"/>
        <v/>
      </c>
      <c r="F337" s="321"/>
      <c r="G337" s="321"/>
      <c r="H337" s="322" t="str">
        <f t="shared" si="166"/>
        <v/>
      </c>
      <c r="I337" s="323" t="str">
        <f t="shared" si="167"/>
        <v/>
      </c>
      <c r="J337" s="321" t="str">
        <f t="shared" si="176"/>
        <v/>
      </c>
      <c r="K337" s="323" t="str">
        <f t="shared" si="188"/>
        <v/>
      </c>
      <c r="L337" s="321"/>
      <c r="M337" s="333"/>
      <c r="N337" s="323" t="str">
        <f t="shared" si="175"/>
        <v/>
      </c>
      <c r="O337" s="323">
        <f t="shared" si="173"/>
        <v>0</v>
      </c>
      <c r="P337" s="324" t="str">
        <f t="shared" si="168"/>
        <v/>
      </c>
      <c r="Q337" s="325" t="str">
        <f t="shared" si="191"/>
        <v/>
      </c>
      <c r="R337" s="323" t="str">
        <f t="shared" si="178"/>
        <v/>
      </c>
      <c r="S337" s="323" t="str">
        <f t="shared" si="174"/>
        <v/>
      </c>
      <c r="T337" s="323" t="str">
        <f t="shared" si="179"/>
        <v/>
      </c>
      <c r="U337" s="323" t="str">
        <f t="shared" si="180"/>
        <v/>
      </c>
      <c r="V337" s="322" t="str">
        <f t="shared" si="192"/>
        <v/>
      </c>
      <c r="W337" s="323" t="str">
        <f t="shared" si="169"/>
        <v/>
      </c>
      <c r="X337" s="323" t="str">
        <f t="shared" si="170"/>
        <v/>
      </c>
      <c r="Y337" s="323" t="str">
        <f t="shared" si="181"/>
        <v/>
      </c>
      <c r="Z337" s="323" t="str">
        <f t="shared" si="160"/>
        <v/>
      </c>
      <c r="AA337" s="326" t="str">
        <f t="shared" si="182"/>
        <v/>
      </c>
      <c r="AB337" s="323" t="str">
        <f t="shared" si="189"/>
        <v/>
      </c>
      <c r="AC337" s="327"/>
      <c r="AD337" s="328" t="str">
        <f t="shared" si="183"/>
        <v/>
      </c>
      <c r="AE337" s="328" t="str">
        <f t="shared" si="183"/>
        <v/>
      </c>
      <c r="AF337" s="328" t="str">
        <f t="shared" si="184"/>
        <v/>
      </c>
      <c r="AG337" s="328" t="str">
        <f t="shared" si="185"/>
        <v/>
      </c>
      <c r="AH337" s="328" t="str">
        <f t="shared" si="171"/>
        <v/>
      </c>
      <c r="AI337" s="328" t="str">
        <f t="shared" si="172"/>
        <v/>
      </c>
      <c r="AJ337" s="329" t="str">
        <f t="shared" si="186"/>
        <v/>
      </c>
      <c r="AK337" s="329" t="str" cm="1">
        <f t="array" ref="AK337">IF(OR(E337="", H337=""), "",
  IFERROR(
     (
      INDEX($AM$3:$AM$22, MATCH(E337, $AL$3:$AL$22, 1)) +
      (E337 - INDEX($AL$3:$AL$22, MATCH(E337, $AL$3:$AL$22, 1))) *
      (INDEX($AM$3:$AM$22, MATCH(E337, $AL$3:$AL$22, 1)+1) - INDEX($AM$3:$AM$22, MATCH(E337, $AL$3:$AL$22, 1))) /
      (INDEX($AL$3:$AL$22, MATCH(E337, $AL$3:$AL$22, 1)+1) - INDEX($AL$3:$AL$22, MATCH(E337, $AL$3:$AL$22, 1)))
    ) - H337,
    ""
  )
)</f>
        <v/>
      </c>
      <c r="AL337" s="341"/>
      <c r="AM337" s="342"/>
      <c r="AN337" s="343"/>
    </row>
    <row r="338" spans="1:40" s="315" customFormat="1" ht="15" customHeight="1" x14ac:dyDescent="0.35">
      <c r="A338" s="297">
        <f t="shared" si="187"/>
        <v>3</v>
      </c>
      <c r="B338" s="298">
        <f t="shared" si="187"/>
        <v>19</v>
      </c>
      <c r="C338" s="299" t="str">
        <f t="shared" si="165"/>
        <v/>
      </c>
      <c r="D338" s="300"/>
      <c r="E338" s="301" t="str">
        <f t="shared" si="190"/>
        <v/>
      </c>
      <c r="F338" s="302"/>
      <c r="G338" s="302"/>
      <c r="H338" s="303" t="str">
        <f t="shared" si="166"/>
        <v/>
      </c>
      <c r="I338" s="304" t="str">
        <f t="shared" si="167"/>
        <v/>
      </c>
      <c r="J338" s="302" t="str">
        <f t="shared" si="176"/>
        <v/>
      </c>
      <c r="K338" s="304" t="str">
        <f t="shared" si="188"/>
        <v/>
      </c>
      <c r="L338" s="302"/>
      <c r="M338" s="305"/>
      <c r="N338" s="304" t="str">
        <f t="shared" si="175"/>
        <v/>
      </c>
      <c r="O338" s="304">
        <f t="shared" si="173"/>
        <v>0</v>
      </c>
      <c r="P338" s="306" t="str">
        <f t="shared" si="168"/>
        <v/>
      </c>
      <c r="Q338" s="307" t="str">
        <f t="shared" si="191"/>
        <v/>
      </c>
      <c r="R338" s="304" t="str">
        <f t="shared" si="178"/>
        <v/>
      </c>
      <c r="S338" s="304" t="str">
        <f t="shared" si="174"/>
        <v/>
      </c>
      <c r="T338" s="304" t="str">
        <f t="shared" si="179"/>
        <v/>
      </c>
      <c r="U338" s="304" t="str">
        <f t="shared" si="180"/>
        <v/>
      </c>
      <c r="V338" s="303" t="str">
        <f t="shared" si="192"/>
        <v/>
      </c>
      <c r="W338" s="323" t="str">
        <f t="shared" si="169"/>
        <v/>
      </c>
      <c r="X338" s="323" t="str">
        <f t="shared" si="170"/>
        <v/>
      </c>
      <c r="Y338" s="304" t="str">
        <f t="shared" si="181"/>
        <v/>
      </c>
      <c r="Z338" s="304" t="str">
        <f t="shared" si="160"/>
        <v/>
      </c>
      <c r="AA338" s="308" t="str">
        <f t="shared" si="182"/>
        <v/>
      </c>
      <c r="AB338" s="304" t="str">
        <f t="shared" si="189"/>
        <v/>
      </c>
      <c r="AC338" s="309"/>
      <c r="AD338" s="310" t="str">
        <f t="shared" si="183"/>
        <v/>
      </c>
      <c r="AE338" s="310" t="str">
        <f t="shared" si="183"/>
        <v/>
      </c>
      <c r="AF338" s="310" t="str">
        <f t="shared" si="184"/>
        <v/>
      </c>
      <c r="AG338" s="310" t="str">
        <f t="shared" si="185"/>
        <v/>
      </c>
      <c r="AH338" s="310" t="str">
        <f t="shared" si="171"/>
        <v/>
      </c>
      <c r="AI338" s="310" t="str">
        <f t="shared" si="172"/>
        <v/>
      </c>
      <c r="AJ338" s="311" t="str">
        <f t="shared" si="186"/>
        <v/>
      </c>
      <c r="AK338" s="311" t="str" cm="1">
        <f t="array" ref="AK338">IF(OR(E338="", H338=""), "",
  IFERROR(
     (
      INDEX($AM$3:$AM$22, MATCH(E338, $AL$3:$AL$22, 1)) +
      (E338 - INDEX($AL$3:$AL$22, MATCH(E338, $AL$3:$AL$22, 1))) *
      (INDEX($AM$3:$AM$22, MATCH(E338, $AL$3:$AL$22, 1)+1) - INDEX($AM$3:$AM$22, MATCH(E338, $AL$3:$AL$22, 1))) /
      (INDEX($AL$3:$AL$22, MATCH(E338, $AL$3:$AL$22, 1)+1) - INDEX($AL$3:$AL$22, MATCH(E338, $AL$3:$AL$22, 1)))
    ) - H338,
    ""
  )
)</f>
        <v/>
      </c>
      <c r="AL338" s="338"/>
      <c r="AM338" s="339"/>
      <c r="AN338" s="340"/>
    </row>
    <row r="339" spans="1:40" s="315" customFormat="1" ht="15" customHeight="1" x14ac:dyDescent="0.35">
      <c r="A339" s="316">
        <f t="shared" si="187"/>
        <v>3</v>
      </c>
      <c r="B339" s="317">
        <f t="shared" si="187"/>
        <v>19</v>
      </c>
      <c r="C339" s="318" t="str">
        <f t="shared" si="165"/>
        <v/>
      </c>
      <c r="D339" s="319"/>
      <c r="E339" s="320" t="str">
        <f t="shared" si="190"/>
        <v/>
      </c>
      <c r="F339" s="321"/>
      <c r="G339" s="321"/>
      <c r="H339" s="322" t="str">
        <f t="shared" si="166"/>
        <v/>
      </c>
      <c r="I339" s="323" t="str">
        <f t="shared" si="167"/>
        <v/>
      </c>
      <c r="J339" s="321" t="str">
        <f t="shared" si="176"/>
        <v/>
      </c>
      <c r="K339" s="323" t="str">
        <f t="shared" si="188"/>
        <v/>
      </c>
      <c r="L339" s="321"/>
      <c r="M339" s="333"/>
      <c r="N339" s="323" t="str">
        <f t="shared" si="175"/>
        <v/>
      </c>
      <c r="O339" s="323">
        <f t="shared" si="173"/>
        <v>0</v>
      </c>
      <c r="P339" s="324" t="str">
        <f t="shared" si="168"/>
        <v/>
      </c>
      <c r="Q339" s="325" t="str">
        <f t="shared" si="191"/>
        <v/>
      </c>
      <c r="R339" s="323" t="str">
        <f t="shared" si="178"/>
        <v/>
      </c>
      <c r="S339" s="323" t="str">
        <f t="shared" si="174"/>
        <v/>
      </c>
      <c r="T339" s="323" t="str">
        <f t="shared" si="179"/>
        <v/>
      </c>
      <c r="U339" s="323" t="str">
        <f t="shared" si="180"/>
        <v/>
      </c>
      <c r="V339" s="322" t="str">
        <f t="shared" si="192"/>
        <v/>
      </c>
      <c r="W339" s="323" t="str">
        <f t="shared" si="169"/>
        <v/>
      </c>
      <c r="X339" s="323" t="str">
        <f t="shared" si="170"/>
        <v/>
      </c>
      <c r="Y339" s="323" t="str">
        <f t="shared" si="181"/>
        <v/>
      </c>
      <c r="Z339" s="323" t="str">
        <f t="shared" si="160"/>
        <v/>
      </c>
      <c r="AA339" s="326" t="str">
        <f t="shared" si="182"/>
        <v/>
      </c>
      <c r="AB339" s="323" t="str">
        <f t="shared" si="189"/>
        <v/>
      </c>
      <c r="AC339" s="327"/>
      <c r="AD339" s="328" t="str">
        <f t="shared" si="183"/>
        <v/>
      </c>
      <c r="AE339" s="328" t="str">
        <f t="shared" si="183"/>
        <v/>
      </c>
      <c r="AF339" s="328" t="str">
        <f t="shared" si="184"/>
        <v/>
      </c>
      <c r="AG339" s="328" t="str">
        <f t="shared" si="185"/>
        <v/>
      </c>
      <c r="AH339" s="328" t="str">
        <f t="shared" si="171"/>
        <v/>
      </c>
      <c r="AI339" s="328" t="str">
        <f t="shared" si="172"/>
        <v/>
      </c>
      <c r="AJ339" s="329" t="str">
        <f t="shared" si="186"/>
        <v/>
      </c>
      <c r="AK339" s="329" t="str" cm="1">
        <f t="array" ref="AK339">IF(OR(E339="", H339=""), "",
  IFERROR(
     (
      INDEX($AM$3:$AM$22, MATCH(E339, $AL$3:$AL$22, 1)) +
      (E339 - INDEX($AL$3:$AL$22, MATCH(E339, $AL$3:$AL$22, 1))) *
      (INDEX($AM$3:$AM$22, MATCH(E339, $AL$3:$AL$22, 1)+1) - INDEX($AM$3:$AM$22, MATCH(E339, $AL$3:$AL$22, 1))) /
      (INDEX($AL$3:$AL$22, MATCH(E339, $AL$3:$AL$22, 1)+1) - INDEX($AL$3:$AL$22, MATCH(E339, $AL$3:$AL$22, 1)))
    ) - H339,
    ""
  )
)</f>
        <v/>
      </c>
      <c r="AL339" s="341"/>
      <c r="AM339" s="342"/>
      <c r="AN339" s="343"/>
    </row>
    <row r="340" spans="1:40" s="315" customFormat="1" ht="15" customHeight="1" x14ac:dyDescent="0.35">
      <c r="A340" s="297">
        <f>+A294</f>
        <v>3</v>
      </c>
      <c r="B340" s="298">
        <f>+B294</f>
        <v>19</v>
      </c>
      <c r="C340" s="299" t="str">
        <f>IF(D340&gt;0,D340-D294,"")</f>
        <v/>
      </c>
      <c r="D340" s="300"/>
      <c r="E340" s="301" t="str">
        <f>IF(D340&gt;0,D340-B340,"")</f>
        <v/>
      </c>
      <c r="F340" s="302"/>
      <c r="G340" s="302"/>
      <c r="H340" s="303" t="str">
        <f>IF(F340="","",H294+(COS((AD340+AD294)/2))*AI340)</f>
        <v/>
      </c>
      <c r="I340" s="323" t="str">
        <f t="shared" si="167"/>
        <v/>
      </c>
      <c r="J340" s="302" t="str">
        <f t="shared" si="176"/>
        <v/>
      </c>
      <c r="K340" s="304" t="str">
        <f>IF(L340="","",J340+L340)</f>
        <v/>
      </c>
      <c r="L340" s="302"/>
      <c r="M340" s="305"/>
      <c r="N340" s="304" t="str">
        <f>IF(SUM(IF(AND(E340&gt;K291,E294&lt;=J291),L291,0)+IF(AND(E340&gt;=K291,E294&lt;K291,E294&gt;J291),K291-E294,0)+IF(AND(E340&gt;J291,E294&lt;=J291,E340&lt;K291),E340-J291,0)+IF(AND(E340&lt;K291,E294&gt;J291,E340&gt;E294),E340-E294,0)+IF(AND(E340&gt;K292,E294&lt;=J292),L292,0)+IF(AND(E340&gt;=K292,E294&lt;K292,E294&gt;J292),K292-E294,0)+IF(AND(E340&gt;J292,E294&lt;=J292,E340&lt;K292),E340-J292,0)+IF(AND(E340&lt;K292,E294&gt;J292,E340&gt;E294),E340-E294,0)+IF(AND(E340&gt;K293,E294&lt;=J293),L293,0)+IF(AND(E340&gt;=K293,E294&lt;K293,E294&gt;J293),K293-E294,0)+IF(AND(E340&gt;J293,E294&lt;J293,E340&lt;=K293),E340-J293,0)+IF(AND(E340&lt;K293,E294&gt;J293,E340&gt;E294),E340-E294,0)+IF(AND(E340&gt;K294,E294&lt;=J294),L294,0)+IF(AND(E340&gt;=K294,E294&lt;K294,E294&gt;J294),K294-E294,0)+IF(AND(E340&gt;J294,E294&lt;J294,E340&lt;=K294),E340-J294,0)+IF(AND(E340&lt;K294,E294&gt;J294,E340&gt;E294),E340-E294,0))=0,"",SUM(IF(AND(E340&gt;K291,E294&lt;=J291),L291,0)+IF(AND(E340&gt;=K291,E294&lt;K291,E294&gt;J291),K291-E294,0)+IF(AND(E340&gt;J291,E294&lt;=J291,E340&lt;K291),E340-J291,0)+IF(AND(E340&lt;K291,E294&gt;J291,E340&gt;E294),E340-E294,0)+IF(AND(E340&gt;K292,E294&lt;=J292),L292,0)+IF(AND(E340&gt;=K292,E294&lt;K292,E294&gt;J292),K292-E294,0)+IF(AND(E340&gt;J292,E294&lt;=J292,E340&lt;K292),E340-J292,0)+IF(AND(E340&lt;K292,E294&gt;J292,E340&gt;E294),E340-E294,0)+IF(AND(E340&gt;K293,E294&lt;=J293),L293,0)+IF(AND(E340&gt;=K293,E294&lt;K293,E294&gt;J293),K293-E294,0)+IF(AND(E340&gt;J293,E294&lt;J293,E340&lt;=K293),E340-J293,0)+IF(AND(E340&lt;K293,E294&gt;J293,E340&gt;E294),E340-E294,0)+IF(AND(E340&gt;K294,E294&lt;=J294),L294,0)+IF(AND(E340&gt;=K294,E294&lt;K294,E294&gt;J294),K294-E294,0)+IF(AND(E340&gt;J294,E294&lt;J294,E340&lt;=K294),E340-J294,0)+IF(AND(E340&lt;K294,E294&gt;J294,E340&gt;E294),E340-E294,0)))</f>
        <v/>
      </c>
      <c r="O340" s="304">
        <f>SUM(IF(AND(D340&gt;K292,E340&lt;=J292),L292,0)+IF(AND(D340&gt;=K292,E340&lt;K292,E340&gt;J292),K292-E340,0)+IF(AND(D340&gt;J292,E340&lt;=J292,D340&lt;K292),D340-J292,0)+IF(AND(D340&lt;K292,E340&gt;J292,D340&gt;E340),D340-E340,0)+IF(AND(D340&gt;K293,E340&lt;=J293),L293,0)+IF(AND(D340&gt;=K293,E340&lt;K293,E340&gt;J293),K293-E340,0)+IF(AND(D340&gt;J293,E340&lt;J293,D340&lt;=K293),D340-J293,0)+IF(AND(D340&lt;K293,E340&gt;J293,D340&gt;E340),D340-E340,0)+IF(AND(D340&gt;K294,E340&lt;=J294),L294,0)+IF(AND(D340&gt;=K294,E340&lt;K294,E340&gt;J294),K294-E340,0)+IF(AND(D340&gt;J294,E340&lt;J294,D340&lt;=K294),D340-J294,0)+IF(AND(D340&lt;K294,E340&gt;J294,D340&gt;E340),D340-E340,0))</f>
        <v>0</v>
      </c>
      <c r="P340" s="324" t="str">
        <f t="shared" si="168"/>
        <v/>
      </c>
      <c r="Q340" s="307" t="str">
        <f>IF(ISNUMBER(P340),(IF(Y340&gt;0,"R","L")),"")</f>
        <v/>
      </c>
      <c r="R340" s="304" t="str">
        <f t="shared" si="178"/>
        <v/>
      </c>
      <c r="S340" s="304" t="str">
        <f>IF(V340="","",IF(AND(N340="",O340=""),F340,IF(O340="",O340*AVERAGE(V294,V293,V292)+F340,O340*V340+F340)))</f>
        <v/>
      </c>
      <c r="T340" s="304" t="str">
        <f t="shared" si="179"/>
        <v/>
      </c>
      <c r="U340" s="304" t="str">
        <f t="shared" si="180"/>
        <v/>
      </c>
      <c r="V340" s="303" t="str">
        <f t="shared" si="192"/>
        <v/>
      </c>
      <c r="W340" s="323" t="str">
        <f t="shared" si="169"/>
        <v/>
      </c>
      <c r="X340" s="323" t="str">
        <f t="shared" si="170"/>
        <v/>
      </c>
      <c r="Y340" s="304" t="str">
        <f t="shared" si="181"/>
        <v/>
      </c>
      <c r="Z340" s="304" t="str">
        <f t="shared" si="160"/>
        <v/>
      </c>
      <c r="AA340" s="308" t="str">
        <f t="shared" si="182"/>
        <v/>
      </c>
      <c r="AB340" s="304" t="str">
        <f t="shared" si="189"/>
        <v/>
      </c>
      <c r="AC340" s="309"/>
      <c r="AD340" s="310" t="str">
        <f t="shared" si="183"/>
        <v/>
      </c>
      <c r="AE340" s="310" t="str">
        <f t="shared" si="183"/>
        <v/>
      </c>
      <c r="AF340" s="310" t="str">
        <f t="shared" si="184"/>
        <v/>
      </c>
      <c r="AG340" s="310" t="str">
        <f t="shared" si="185"/>
        <v/>
      </c>
      <c r="AH340" s="310" t="str">
        <f>IF(G340="","",IF(G340&gt;G294,IF((G340-G294)&gt;180,(G340-G294)-360,G340-G294),IF((G340-G294)&lt;-180,(G340-G294)+360,G340-G294)))</f>
        <v/>
      </c>
      <c r="AI340" s="310" t="str">
        <f>+IF(E340="","",E340-E294)</f>
        <v/>
      </c>
      <c r="AJ340" s="311" t="str">
        <f t="shared" si="186"/>
        <v/>
      </c>
      <c r="AK340" s="311" t="str" cm="1">
        <f t="array" ref="AK340">IF(OR(E340="", H340=""), "",
  IFERROR(
     (
      INDEX($AM$3:$AM$22, MATCH(E340, $AL$3:$AL$22, 1)) +
      (E340 - INDEX($AL$3:$AL$22, MATCH(E340, $AL$3:$AL$22, 1))) *
      (INDEX($AM$3:$AM$22, MATCH(E340, $AL$3:$AL$22, 1)+1) - INDEX($AM$3:$AM$22, MATCH(E340, $AL$3:$AL$22, 1))) /
      (INDEX($AL$3:$AL$22, MATCH(E340, $AL$3:$AL$22, 1)+1) - INDEX($AL$3:$AL$22, MATCH(E340, $AL$3:$AL$22, 1)))
    ) - H340,
    ""
  )
)</f>
        <v/>
      </c>
      <c r="AL340" s="338"/>
      <c r="AM340" s="339"/>
      <c r="AN340" s="340"/>
    </row>
    <row r="341" spans="1:40" s="315" customFormat="1" ht="15" customHeight="1" x14ac:dyDescent="0.35">
      <c r="A341" s="316">
        <f t="shared" ref="A341:B343" si="193">+A340</f>
        <v>3</v>
      </c>
      <c r="B341" s="317">
        <f t="shared" si="193"/>
        <v>19</v>
      </c>
      <c r="C341" s="318" t="str">
        <f>IF(D341&gt;0,D341-D340,"")</f>
        <v/>
      </c>
      <c r="D341" s="319"/>
      <c r="E341" s="320" t="str">
        <f>IF(D341&gt;0,D341-B341,"")</f>
        <v/>
      </c>
      <c r="F341" s="321"/>
      <c r="G341" s="321"/>
      <c r="H341" s="322" t="str">
        <f>IF(F341="","",H340+(COS((AD341+AD340)/2))*AI341)</f>
        <v/>
      </c>
      <c r="I341" s="323" t="str">
        <f t="shared" si="167"/>
        <v/>
      </c>
      <c r="J341" s="321" t="str">
        <f t="shared" si="176"/>
        <v/>
      </c>
      <c r="K341" s="323" t="str">
        <f>IF(L341="","",J341+L341)</f>
        <v/>
      </c>
      <c r="L341" s="321"/>
      <c r="M341" s="333"/>
      <c r="N341" s="323" t="str">
        <f>IF(SUM(IF(AND(E341&gt;K292,E340&lt;=J292),L292,0)+IF(AND(E341&gt;=K292,E340&lt;K292,E340&gt;J292),K292-E340,0)+IF(AND(E341&gt;J292,E340&lt;=J292,E341&lt;K292),E341-J292,0)+IF(AND(E341&lt;K292,E340&gt;J292,E341&gt;E340),E341-E340,0)+IF(AND(E341&gt;K293,E340&lt;=J293),L293,0)+IF(AND(E341&gt;=K293,E340&lt;K293,E340&gt;J293),K293-E340,0)+IF(AND(E341&gt;J293,E340&lt;=J293,E341&lt;K293),E341-J293,0)+IF(AND(E341&lt;K293,E340&gt;J293,E341&gt;E340),E341-E340,0)+IF(AND(E341&gt;K294,E340&lt;=J294),L294,0)+IF(AND(E341&gt;=K294,E340&lt;K294,E340&gt;J294),K294-E340,0)+IF(AND(E341&gt;J294,E340&lt;J294,E341&lt;=K294),E341-J294,0)+IF(AND(E341&lt;K294,E340&gt;J294,E341&gt;E340),E341-E340,0)+IF(AND(E341&gt;K340,E340&lt;=J340),L340,0)+IF(AND(E341&gt;=K340,E340&lt;K340,E340&gt;J340),K340-E340,0)+IF(AND(E341&gt;J340,E340&lt;J340,E341&lt;=K340),E341-J340,0)+IF(AND(E341&lt;K340,E340&gt;J340,E341&gt;E340),E341-E340,0))=0,"",SUM(IF(AND(E341&gt;K292,E340&lt;=J292),L292,0)+IF(AND(E341&gt;=K292,E340&lt;K292,E340&gt;J292),K292-E340,0)+IF(AND(E341&gt;J292,E340&lt;=J292,E341&lt;K292),E341-J292,0)+IF(AND(E341&lt;K292,E340&gt;J292,E341&gt;E340),E341-E340,0)+IF(AND(E341&gt;K293,E340&lt;=J293),L293,0)+IF(AND(E341&gt;=K293,E340&lt;K293,E340&gt;J293),K293-E340,0)+IF(AND(E341&gt;J293,E340&lt;=J293,E341&lt;K293),E341-J293,0)+IF(AND(E341&lt;K293,E340&gt;J293,E341&gt;E340),E341-E340,0)+IF(AND(E341&gt;K294,E340&lt;=J294),L294,0)+IF(AND(E341&gt;=K294,E340&lt;K294,E340&gt;J294),K294-E340,0)+IF(AND(E341&gt;J294,E340&lt;J294,E341&lt;=K294),E341-J294,0)+IF(AND(E341&lt;K294,E340&gt;J294,E341&gt;E340),E341-E340,0)+IF(AND(E341&gt;K340,E340&lt;=J340),L340,0)+IF(AND(E341&gt;=K340,E340&lt;K340,E340&gt;J340),K340-E340,0)+IF(AND(E341&gt;J340,E340&lt;J340,E341&lt;=K340),E341-J340,0)+IF(AND(E341&lt;K340,E340&gt;J340,E341&gt;E340),E341-E340,0)))</f>
        <v/>
      </c>
      <c r="O341" s="323">
        <f>SUM(IF(AND(D341&gt;K293,E341&lt;=J293),L293,0)+IF(AND(D341&gt;=K293,E341&lt;K293,E341&gt;J293),K293-E341,0)+IF(AND(D341&gt;J293,E341&lt;=J293,D341&lt;K293),D341-J293,0)+IF(AND(D341&lt;K293,E341&gt;J293,D341&gt;E341),D341-E341,0)+IF(AND(D341&gt;K294,E341&lt;=J294),L294,0)+IF(AND(D341&gt;=K294,E341&lt;K294,E341&gt;J294),K294-E341,0)+IF(AND(D341&gt;J294,E341&lt;J294,D341&lt;=K294),D341-J294,0)+IF(AND(D341&lt;K294,E341&gt;J294,D341&gt;E341),D341-E341,0)+IF(AND(D341&gt;K340,E341&lt;=J340),L340,0)+IF(AND(D341&gt;=K340,E341&lt;K340,E341&gt;J340),K340-E341,0)+IF(AND(D341&gt;J340,E341&lt;J340,D341&lt;=K340),D341-J340,0)+IF(AND(D341&lt;K340,E341&gt;J340,D341&gt;E341),D341-E341,0))</f>
        <v>0</v>
      </c>
      <c r="P341" s="324" t="str">
        <f t="shared" si="168"/>
        <v/>
      </c>
      <c r="Q341" s="325" t="str">
        <f>IF(ISNUMBER(P341),(IF(Y341&gt;0,"R","L")),"")</f>
        <v/>
      </c>
      <c r="R341" s="323" t="str">
        <f t="shared" si="178"/>
        <v/>
      </c>
      <c r="S341" s="323" t="str">
        <f>IF(V341="","",IF(AND(N341="",O341=""),F341,IF(O341="",O341*AVERAGE(V340,V294,V293)+F341,O341*V341+F341)))</f>
        <v/>
      </c>
      <c r="T341" s="323" t="str">
        <f t="shared" si="179"/>
        <v/>
      </c>
      <c r="U341" s="323" t="str">
        <f t="shared" si="180"/>
        <v/>
      </c>
      <c r="V341" s="322" t="str">
        <f t="shared" si="192"/>
        <v/>
      </c>
      <c r="W341" s="323" t="str">
        <f t="shared" si="169"/>
        <v/>
      </c>
      <c r="X341" s="323" t="str">
        <f t="shared" si="170"/>
        <v/>
      </c>
      <c r="Y341" s="323" t="str">
        <f t="shared" si="181"/>
        <v/>
      </c>
      <c r="Z341" s="323" t="str">
        <f t="shared" si="160"/>
        <v/>
      </c>
      <c r="AA341" s="326" t="str">
        <f t="shared" si="182"/>
        <v/>
      </c>
      <c r="AB341" s="323" t="str">
        <f t="shared" si="189"/>
        <v/>
      </c>
      <c r="AC341" s="327"/>
      <c r="AD341" s="328" t="str">
        <f t="shared" si="183"/>
        <v/>
      </c>
      <c r="AE341" s="328" t="str">
        <f t="shared" si="183"/>
        <v/>
      </c>
      <c r="AF341" s="328" t="str">
        <f t="shared" si="184"/>
        <v/>
      </c>
      <c r="AG341" s="328" t="str">
        <f t="shared" si="185"/>
        <v/>
      </c>
      <c r="AH341" s="328" t="str">
        <f>IF(G341="","",IF(G341&gt;G340,IF((G341-G340)&gt;180,(G341-G340)-360,G341-G340),IF((G341-G340)&lt;-180,(G341-G340)+360,G341-G340)))</f>
        <v/>
      </c>
      <c r="AI341" s="328" t="str">
        <f>+IF(E341="","",E341-E340)</f>
        <v/>
      </c>
      <c r="AJ341" s="329" t="str">
        <f t="shared" si="186"/>
        <v/>
      </c>
      <c r="AK341" s="329" t="str" cm="1">
        <f t="array" ref="AK341">IF(OR(E341="", H341=""), "",
  IFERROR(
     (
      INDEX($AM$3:$AM$22, MATCH(E341, $AL$3:$AL$22, 1)) +
      (E341 - INDEX($AL$3:$AL$22, MATCH(E341, $AL$3:$AL$22, 1))) *
      (INDEX($AM$3:$AM$22, MATCH(E341, $AL$3:$AL$22, 1)+1) - INDEX($AM$3:$AM$22, MATCH(E341, $AL$3:$AL$22, 1))) /
      (INDEX($AL$3:$AL$22, MATCH(E341, $AL$3:$AL$22, 1)+1) - INDEX($AL$3:$AL$22, MATCH(E341, $AL$3:$AL$22, 1)))
    ) - H341,
    ""
  )
)</f>
        <v/>
      </c>
      <c r="AL341" s="341"/>
      <c r="AM341" s="342"/>
      <c r="AN341" s="343"/>
    </row>
    <row r="342" spans="1:40" s="315" customFormat="1" ht="15" customHeight="1" x14ac:dyDescent="0.35">
      <c r="A342" s="297">
        <f t="shared" si="193"/>
        <v>3</v>
      </c>
      <c r="B342" s="298">
        <f t="shared" si="193"/>
        <v>19</v>
      </c>
      <c r="C342" s="299" t="str">
        <f>IF(D342&gt;0,D342-D341,"")</f>
        <v/>
      </c>
      <c r="D342" s="300"/>
      <c r="E342" s="301" t="str">
        <f>IF(D342&gt;0,D342-B342,"")</f>
        <v/>
      </c>
      <c r="F342" s="302"/>
      <c r="G342" s="302"/>
      <c r="H342" s="303" t="str">
        <f>IF(F342="","",H341+(COS((AD342+AD341)/2))*AI342)</f>
        <v/>
      </c>
      <c r="I342" s="323" t="str">
        <f t="shared" si="167"/>
        <v/>
      </c>
      <c r="J342" s="302" t="str">
        <f t="shared" si="176"/>
        <v/>
      </c>
      <c r="K342" s="304" t="str">
        <f>IF(L342="","",J342+L342)</f>
        <v/>
      </c>
      <c r="L342" s="302"/>
      <c r="M342" s="305"/>
      <c r="N342" s="304" t="str">
        <f>IF(SUM(IF(AND(E342&gt;K293,E341&lt;=J293),L293,0)+IF(AND(E342&gt;=K293,E341&lt;K293,E341&gt;J293),K293-E341,0)+IF(AND(E342&gt;J293,E341&lt;=J293,E342&lt;K293),E342-J293,0)+IF(AND(E342&lt;K293,E341&gt;J293,E342&gt;E341),E342-E341,0)+IF(AND(E342&gt;K294,E341&lt;=J294),L294,0)+IF(AND(E342&gt;=K294,E341&lt;K294,E341&gt;J294),K294-E341,0)+IF(AND(E342&gt;J294,E341&lt;=J294,E342&lt;K294),E342-J294,0)+IF(AND(E342&lt;K294,E341&gt;J294,E342&gt;E341),E342-E341,0)+IF(AND(E342&gt;K340,E341&lt;=J340),L340,0)+IF(AND(E342&gt;=K340,E341&lt;K340,E341&gt;J340),K340-E341,0)+IF(AND(E342&gt;J340,E341&lt;J340,E342&lt;=K340),E342-J340,0)+IF(AND(E342&lt;K340,E341&gt;J340,E342&gt;E341),E342-E341,0)+IF(AND(E342&gt;K341,E341&lt;=J341),L341,0)+IF(AND(E342&gt;=K341,E341&lt;K341,E341&gt;J341),K341-E341,0)+IF(AND(E342&gt;J341,E341&lt;J341,E342&lt;=K341),E342-J341,0)+IF(AND(E342&lt;K341,E341&gt;J341,E342&gt;E341),E342-E341,0))=0,"",SUM(IF(AND(E342&gt;K293,E341&lt;=J293),L293,0)+IF(AND(E342&gt;=K293,E341&lt;K293,E341&gt;J293),K293-E341,0)+IF(AND(E342&gt;J293,E341&lt;=J293,E342&lt;K293),E342-J293,0)+IF(AND(E342&lt;K293,E341&gt;J293,E342&gt;E341),E342-E341,0)+IF(AND(E342&gt;K294,E341&lt;=J294),L294,0)+IF(AND(E342&gt;=K294,E341&lt;K294,E341&gt;J294),K294-E341,0)+IF(AND(E342&gt;J294,E341&lt;=J294,E342&lt;K294),E342-J294,0)+IF(AND(E342&lt;K294,E341&gt;J294,E342&gt;E341),E342-E341,0)+IF(AND(E342&gt;K340,E341&lt;=J340),L340,0)+IF(AND(E342&gt;=K340,E341&lt;K340,E341&gt;J340),K340-E341,0)+IF(AND(E342&gt;J340,E341&lt;J340,E342&lt;=K340),E342-J340,0)+IF(AND(E342&lt;K340,E341&gt;J340,E342&gt;E341),E342-E341,0)+IF(AND(E342&gt;K341,E341&lt;=J341),L341,0)+IF(AND(E342&gt;=K341,E341&lt;K341,E341&gt;J341),K341-E341,0)+IF(AND(E342&gt;J341,E341&lt;J341,E342&lt;=K341),E342-J341,0)+IF(AND(E342&lt;K341,E341&gt;J341,E342&gt;E341),E342-E341,0)))</f>
        <v/>
      </c>
      <c r="O342" s="304">
        <f>SUM(IF(AND(D342&gt;K294,E342&lt;=J294),L294,0)+IF(AND(D342&gt;=K294,E342&lt;K294,E342&gt;J294),K294-E342,0)+IF(AND(D342&gt;J294,E342&lt;=J294,D342&lt;K294),D342-J294,0)+IF(AND(D342&lt;K294,E342&gt;J294,D342&gt;E342),D342-E342,0)+IF(AND(D342&gt;K340,E342&lt;=J340),L340,0)+IF(AND(D342&gt;=K340,E342&lt;K340,E342&gt;J340),K340-E342,0)+IF(AND(D342&gt;J340,E342&lt;J340,D342&lt;=K340),D342-J340,0)+IF(AND(D342&lt;K340,E342&gt;J340,D342&gt;E342),D342-E342,0)+IF(AND(D342&gt;K341,E342&lt;=J341),L341,0)+IF(AND(D342&gt;=K341,E342&lt;K341,E342&gt;J341),K341-E342,0)+IF(AND(D342&gt;J341,E342&lt;J341,D342&lt;=K341),D342-J341,0)+IF(AND(D342&lt;K341,E342&gt;J341,D342&gt;E342),D342-E342,0))</f>
        <v>0</v>
      </c>
      <c r="P342" s="324" t="str">
        <f t="shared" si="168"/>
        <v/>
      </c>
      <c r="Q342" s="307" t="str">
        <f>IF(ISNUMBER(P342),(IF(Y342&gt;0,"R","L")),"")</f>
        <v/>
      </c>
      <c r="R342" s="304" t="str">
        <f t="shared" si="178"/>
        <v/>
      </c>
      <c r="S342" s="304" t="str">
        <f>IF(V342="","",IF(AND(N342="",O342=""),F342,IF(O342="",O342*AVERAGE(V341,V340,V294)+F342,O342*V342+F342)))</f>
        <v/>
      </c>
      <c r="T342" s="304" t="str">
        <f t="shared" si="179"/>
        <v/>
      </c>
      <c r="U342" s="304" t="str">
        <f t="shared" si="180"/>
        <v/>
      </c>
      <c r="V342" s="303" t="str">
        <f t="shared" si="192"/>
        <v/>
      </c>
      <c r="W342" s="323" t="str">
        <f t="shared" si="169"/>
        <v/>
      </c>
      <c r="X342" s="323" t="str">
        <f t="shared" si="170"/>
        <v/>
      </c>
      <c r="Y342" s="304" t="str">
        <f t="shared" si="181"/>
        <v/>
      </c>
      <c r="Z342" s="304" t="str">
        <f t="shared" si="160"/>
        <v/>
      </c>
      <c r="AA342" s="308" t="str">
        <f t="shared" si="182"/>
        <v/>
      </c>
      <c r="AB342" s="304" t="str">
        <f t="shared" si="189"/>
        <v/>
      </c>
      <c r="AC342" s="309"/>
      <c r="AD342" s="310" t="str">
        <f t="shared" si="183"/>
        <v/>
      </c>
      <c r="AE342" s="310" t="str">
        <f t="shared" si="183"/>
        <v/>
      </c>
      <c r="AF342" s="310" t="str">
        <f t="shared" si="184"/>
        <v/>
      </c>
      <c r="AG342" s="310" t="str">
        <f t="shared" si="185"/>
        <v/>
      </c>
      <c r="AH342" s="310" t="str">
        <f>IF(G342="","",IF(G342&gt;G341,IF((G342-G341)&gt;180,(G342-G341)-360,G342-G341),IF((G342-G341)&lt;-180,(G342-G341)+360,G342-G341)))</f>
        <v/>
      </c>
      <c r="AI342" s="310" t="str">
        <f>+IF(E342="","",E342-E341)</f>
        <v/>
      </c>
      <c r="AJ342" s="311" t="str">
        <f t="shared" si="186"/>
        <v/>
      </c>
      <c r="AK342" s="311" t="str" cm="1">
        <f t="array" ref="AK342">IF(OR(E342="", H342=""), "",
  IFERROR(
     (
      INDEX($AM$3:$AM$22, MATCH(E342, $AL$3:$AL$22, 1)) +
      (E342 - INDEX($AL$3:$AL$22, MATCH(E342, $AL$3:$AL$22, 1))) *
      (INDEX($AM$3:$AM$22, MATCH(E342, $AL$3:$AL$22, 1)+1) - INDEX($AM$3:$AM$22, MATCH(E342, $AL$3:$AL$22, 1))) /
      (INDEX($AL$3:$AL$22, MATCH(E342, $AL$3:$AL$22, 1)+1) - INDEX($AL$3:$AL$22, MATCH(E342, $AL$3:$AL$22, 1)))
    ) - H342,
    ""
  )
)</f>
        <v/>
      </c>
      <c r="AL342" s="338"/>
      <c r="AM342" s="339"/>
      <c r="AN342" s="340"/>
    </row>
    <row r="343" spans="1:40" s="315" customFormat="1" ht="15" customHeight="1" x14ac:dyDescent="0.35">
      <c r="A343" s="316">
        <f t="shared" si="193"/>
        <v>3</v>
      </c>
      <c r="B343" s="317">
        <f t="shared" si="193"/>
        <v>19</v>
      </c>
      <c r="C343" s="318" t="str">
        <f>IF(D343&gt;0,D343-D342,"")</f>
        <v/>
      </c>
      <c r="D343" s="319"/>
      <c r="E343" s="320" t="str">
        <f>IF(D343&gt;0,D343-B343,"")</f>
        <v/>
      </c>
      <c r="F343" s="321"/>
      <c r="G343" s="321"/>
      <c r="H343" s="322" t="str">
        <f>IF(F343="","",H342+(COS((AD343+AD342)/2))*AI343)</f>
        <v/>
      </c>
      <c r="I343" s="323" t="str">
        <f t="shared" si="167"/>
        <v/>
      </c>
      <c r="J343" s="321" t="str">
        <f t="shared" si="176"/>
        <v/>
      </c>
      <c r="K343" s="323" t="str">
        <f>IF(L343="","",J343+L343)</f>
        <v/>
      </c>
      <c r="L343" s="321"/>
      <c r="M343" s="333"/>
      <c r="N343" s="323" t="str">
        <f>IF(SUM(IF(AND(E343&gt;K294,E342&lt;=J294),L294,0)+IF(AND(E343&gt;=K294,E342&lt;K294,E342&gt;J294),K294-E342,0)+IF(AND(E343&gt;J294,E342&lt;=J294,E343&lt;K294),E343-J294,0)+IF(AND(E343&lt;K294,E342&gt;J294,E343&gt;E342),E343-E342,0)+IF(AND(E343&gt;K340,E342&lt;=J340),L340,0)+IF(AND(E343&gt;=K340,E342&lt;K340,E342&gt;J340),K340-E342,0)+IF(AND(E343&gt;J340,E342&lt;=J340,E343&lt;K340),E343-J340,0)+IF(AND(E343&lt;K340,E342&gt;J340,E343&gt;E342),E343-E342,0)+IF(AND(E343&gt;K341,E342&lt;=J341),L341,0)+IF(AND(E343&gt;=K341,E342&lt;K341,E342&gt;J341),K341-E342,0)+IF(AND(E343&gt;J341,E342&lt;J341,E343&lt;=K341),E343-J341,0)+IF(AND(E343&lt;K341,E342&gt;J341,E343&gt;E342),E343-E342,0)+IF(AND(E343&gt;K342,E342&lt;=J342),L342,0)+IF(AND(E343&gt;=K342,E342&lt;K342,E342&gt;J342),K342-E342,0)+IF(AND(E343&gt;J342,E342&lt;J342,E343&lt;=K342),E343-J342,0)+IF(AND(E343&lt;K342,E342&gt;J342,E343&gt;E342),E343-E342,0))=0,"",SUM(IF(AND(E343&gt;K294,E342&lt;=J294),L294,0)+IF(AND(E343&gt;=K294,E342&lt;K294,E342&gt;J294),K294-E342,0)+IF(AND(E343&gt;J294,E342&lt;=J294,E343&lt;K294),E343-J294,0)+IF(AND(E343&lt;K294,E342&gt;J294,E343&gt;E342),E343-E342,0)+IF(AND(E343&gt;K340,E342&lt;=J340),L340,0)+IF(AND(E343&gt;=K340,E342&lt;K340,E342&gt;J340),K340-E342,0)+IF(AND(E343&gt;J340,E342&lt;=J340,E343&lt;K340),E343-J340,0)+IF(AND(E343&lt;K340,E342&gt;J340,E343&gt;E342),E343-E342,0)+IF(AND(E343&gt;K341,E342&lt;=J341),L341,0)+IF(AND(E343&gt;=K341,E342&lt;K341,E342&gt;J341),K341-E342,0)+IF(AND(E343&gt;J341,E342&lt;J341,E343&lt;=K341),E343-J341,0)+IF(AND(E343&lt;K341,E342&gt;J341,E343&gt;E342),E343-E342,0)+IF(AND(E343&gt;K342,E342&lt;=J342),L342,0)+IF(AND(E343&gt;=K342,E342&lt;K342,E342&gt;J342),K342-E342,0)+IF(AND(E343&gt;J342,E342&lt;J342,E343&lt;=K342),E343-J342,0)+IF(AND(E343&lt;K342,E342&gt;J342,E343&gt;E342),E343-E342,0)))</f>
        <v/>
      </c>
      <c r="O343" s="323">
        <f>SUM(IF(AND(D343&gt;K340,E343&lt;=J340),L340,0)+IF(AND(D343&gt;=K340,E343&lt;K340,E343&gt;J340),K340-E343,0)+IF(AND(D343&gt;J340,E343&lt;=J340,D343&lt;K340),D343-J340,0)+IF(AND(D343&lt;K340,E343&gt;J340,D343&gt;E343),D343-E343,0)+IF(AND(D343&gt;K341,E343&lt;=J341),L341,0)+IF(AND(D343&gt;=K341,E343&lt;K341,E343&gt;J341),K341-E343,0)+IF(AND(D343&gt;J341,E343&lt;J341,D343&lt;=K341),D343-J341,0)+IF(AND(D343&lt;K341,E343&gt;J341,D343&gt;E343),D343-E343,0)+IF(AND(D343&gt;K342,E343&lt;=J342),L342,0)+IF(AND(D343&gt;=K342,E343&lt;K342,E343&gt;J342),K342-E343,0)+IF(AND(D343&gt;J342,E343&lt;J342,D343&lt;=K342),D343-J342,0)+IF(AND(D343&lt;K342,E343&gt;J342,D343&gt;E343),D343-E343,0))</f>
        <v>0</v>
      </c>
      <c r="P343" s="324" t="str">
        <f t="shared" si="168"/>
        <v/>
      </c>
      <c r="Q343" s="325" t="str">
        <f>IF(ISNUMBER(P343),(IF(Y343&gt;0,"R","L")),"")</f>
        <v/>
      </c>
      <c r="R343" s="323" t="str">
        <f t="shared" si="178"/>
        <v/>
      </c>
      <c r="S343" s="323" t="str">
        <f>IF(V343="","",IF(AND(N343="",O343=""),F343,IF(O343="",O343*AVERAGE(V342,V341,V340)+F343,O343*V343+F343)))</f>
        <v/>
      </c>
      <c r="T343" s="323" t="str">
        <f t="shared" si="179"/>
        <v/>
      </c>
      <c r="U343" s="323" t="str">
        <f t="shared" si="180"/>
        <v/>
      </c>
      <c r="V343" s="322" t="str">
        <f t="shared" si="192"/>
        <v/>
      </c>
      <c r="W343" s="323" t="str">
        <f t="shared" si="169"/>
        <v/>
      </c>
      <c r="X343" s="323" t="str">
        <f t="shared" si="170"/>
        <v/>
      </c>
      <c r="Y343" s="323" t="str">
        <f t="shared" si="181"/>
        <v/>
      </c>
      <c r="Z343" s="323" t="str">
        <f t="shared" si="160"/>
        <v/>
      </c>
      <c r="AA343" s="326" t="str">
        <f t="shared" si="182"/>
        <v/>
      </c>
      <c r="AB343" s="323" t="str">
        <f t="shared" si="189"/>
        <v/>
      </c>
      <c r="AC343" s="327"/>
      <c r="AD343" s="328" t="str">
        <f t="shared" si="183"/>
        <v/>
      </c>
      <c r="AE343" s="328" t="str">
        <f t="shared" si="183"/>
        <v/>
      </c>
      <c r="AF343" s="328" t="str">
        <f t="shared" si="184"/>
        <v/>
      </c>
      <c r="AG343" s="328" t="str">
        <f t="shared" si="185"/>
        <v/>
      </c>
      <c r="AH343" s="328" t="str">
        <f>IF(G343="","",IF(G343&gt;G342,IF((G343-G342)&gt;180,(G343-G342)-360,G343-G342),IF((G343-G342)&lt;-180,(G343-G342)+360,G343-G342)))</f>
        <v/>
      </c>
      <c r="AI343" s="328" t="str">
        <f>+IF(E343="","",E343-E342)</f>
        <v/>
      </c>
      <c r="AJ343" s="329" t="str">
        <f t="shared" si="186"/>
        <v/>
      </c>
      <c r="AK343" s="329" t="str" cm="1">
        <f t="array" ref="AK343">IF(OR(E343="", H343=""), "",
  IFERROR(
     (
      INDEX($AM$3:$AM$22, MATCH(E343, $AL$3:$AL$22, 1)) +
      (E343 - INDEX($AL$3:$AL$22, MATCH(E343, $AL$3:$AL$22, 1))) *
      (INDEX($AM$3:$AM$22, MATCH(E343, $AL$3:$AL$22, 1)+1) - INDEX($AM$3:$AM$22, MATCH(E343, $AL$3:$AL$22, 1))) /
      (INDEX($AL$3:$AL$22, MATCH(E343, $AL$3:$AL$22, 1)+1) - INDEX($AL$3:$AL$22, MATCH(E343, $AL$3:$AL$22, 1)))
    ) - H343,
    ""
  )
)</f>
        <v/>
      </c>
      <c r="AL343" s="341"/>
      <c r="AM343" s="342"/>
      <c r="AN343" s="343"/>
    </row>
    <row r="344" spans="1:40" s="315" customFormat="1" ht="15" customHeight="1" x14ac:dyDescent="0.35">
      <c r="A344" s="297">
        <f>+A304</f>
        <v>3</v>
      </c>
      <c r="B344" s="298">
        <f>+B304</f>
        <v>19</v>
      </c>
      <c r="C344" s="299" t="str">
        <f>IF(D344&gt;0,D344-D304,"")</f>
        <v/>
      </c>
      <c r="D344" s="300"/>
      <c r="E344" s="301" t="str">
        <f t="shared" ref="E344:E407" si="194">IF(D344&gt;0,D344-B344,"")</f>
        <v/>
      </c>
      <c r="F344" s="302"/>
      <c r="G344" s="302"/>
      <c r="H344" s="303" t="str">
        <f>IF(F344="","",H304+(COS((AD344+AD304)/2))*AI344)</f>
        <v/>
      </c>
      <c r="I344" s="323" t="str">
        <f t="shared" si="167"/>
        <v/>
      </c>
      <c r="J344" s="302" t="str">
        <f t="shared" si="176"/>
        <v/>
      </c>
      <c r="K344" s="304" t="str">
        <f t="shared" ref="K344:K407" si="195">IF(L344="","",J344+L344)</f>
        <v/>
      </c>
      <c r="L344" s="302"/>
      <c r="M344" s="305"/>
      <c r="N344" s="304" t="str">
        <f>IF(SUM(IF(AND(E344&gt;K301,E304&lt;=J301),L301,0)+IF(AND(E344&gt;=K301,E304&lt;K301,E304&gt;J301),K301-E304,0)+IF(AND(E344&gt;J301,E304&lt;=J301,E344&lt;K301),E344-J301,0)+IF(AND(E344&lt;K301,E304&gt;J301,E344&gt;E304),E344-E304,0)+IF(AND(E344&gt;K302,E304&lt;=J302),L302,0)+IF(AND(E344&gt;=K302,E304&lt;K302,E304&gt;J302),K302-E304,0)+IF(AND(E344&gt;J302,E304&lt;=J302,E344&lt;K302),E344-J302,0)+IF(AND(E344&lt;K302,E304&gt;J302,E344&gt;E304),E344-E304,0)+IF(AND(E344&gt;K303,E304&lt;=J303),L303,0)+IF(AND(E344&gt;=K303,E304&lt;K303,E304&gt;J303),K303-E304,0)+IF(AND(E344&gt;J303,E304&lt;J303,E344&lt;=K303),E344-J303,0)+IF(AND(E344&lt;K303,E304&gt;J303,E344&gt;E304),E344-E304,0)+IF(AND(E344&gt;K304,E304&lt;=J304),L304,0)+IF(AND(E344&gt;=K304,E304&lt;K304,E304&gt;J304),K304-E304,0)+IF(AND(E344&gt;J304,E304&lt;J304,E344&lt;=K304),E344-J304,0)+IF(AND(E344&lt;K304,E304&gt;J304,E344&gt;E304),E344-E304,0))=0,"",SUM(IF(AND(E344&gt;K301,E304&lt;=J301),L301,0)+IF(AND(E344&gt;=K301,E304&lt;K301,E304&gt;J301),K301-E304,0)+IF(AND(E344&gt;J301,E304&lt;=J301,E344&lt;K301),E344-J301,0)+IF(AND(E344&lt;K301,E304&gt;J301,E344&gt;E304),E344-E304,0)+IF(AND(E344&gt;K302,E304&lt;=J302),L302,0)+IF(AND(E344&gt;=K302,E304&lt;K302,E304&gt;J302),K302-E304,0)+IF(AND(E344&gt;J302,E304&lt;=J302,E344&lt;K302),E344-J302,0)+IF(AND(E344&lt;K302,E304&gt;J302,E344&gt;E304),E344-E304,0)+IF(AND(E344&gt;K303,E304&lt;=J303),L303,0)+IF(AND(E344&gt;=K303,E304&lt;K303,E304&gt;J303),K303-E304,0)+IF(AND(E344&gt;J303,E304&lt;J303,E344&lt;=K303),E344-J303,0)+IF(AND(E344&lt;K303,E304&gt;J303,E344&gt;E304),E344-E304,0)+IF(AND(E344&gt;K304,E304&lt;=J304),L304,0)+IF(AND(E344&gt;=K304,E304&lt;K304,E304&gt;J304),K304-E304,0)+IF(AND(E344&gt;J304,E304&lt;J304,E344&lt;=K304),E344-J304,0)+IF(AND(E344&lt;K304,E304&gt;J304,E344&gt;E304),E344-E304,0)))</f>
        <v/>
      </c>
      <c r="O344" s="304">
        <f>SUM(IF(AND(D344&gt;K302,E344&lt;=J302),L302,0)+IF(AND(D344&gt;=K302,E344&lt;K302,E344&gt;J302),K302-E344,0)+IF(AND(D344&gt;J302,E344&lt;=J302,D344&lt;K302),D344-J302,0)+IF(AND(D344&lt;K302,E344&gt;J302,D344&gt;E344),D344-E344,0)+IF(AND(D344&gt;K303,E344&lt;=J303),L303,0)+IF(AND(D344&gt;=K303,E344&lt;K303,E344&gt;J303),K303-E344,0)+IF(AND(D344&gt;J303,E344&lt;J303,D344&lt;=K303),D344-J303,0)+IF(AND(D344&lt;K303,E344&gt;J303,D344&gt;E344),D344-E344,0)+IF(AND(D344&gt;K304,E344&lt;=J304),L304,0)+IF(AND(D344&gt;=K304,E344&lt;K304,E344&gt;J304),K304-E344,0)+IF(AND(D344&gt;J304,E344&lt;J304,D344&lt;=K304),D344-J304,0)+IF(AND(D344&lt;K304,E344&gt;J304,D344&gt;E344),D344-E344,0))</f>
        <v>0</v>
      </c>
      <c r="P344" s="324" t="str">
        <f t="shared" si="168"/>
        <v/>
      </c>
      <c r="Q344" s="307" t="str">
        <f t="shared" ref="Q344:Q407" si="196">IF(ISNUMBER(P344),(IF(Y344&gt;0,"R","L")),"")</f>
        <v/>
      </c>
      <c r="R344" s="304" t="str">
        <f t="shared" si="178"/>
        <v/>
      </c>
      <c r="S344" s="304" t="str">
        <f>IF(V344="","",IF(AND(N344="",O344=""),F344,IF(O344="",O344*AVERAGE(V304,V303,V302)+F344,O344*V344+F344)))</f>
        <v/>
      </c>
      <c r="T344" s="304" t="str">
        <f t="shared" si="179"/>
        <v/>
      </c>
      <c r="U344" s="304" t="str">
        <f t="shared" si="180"/>
        <v/>
      </c>
      <c r="V344" s="303" t="str">
        <f t="shared" si="192"/>
        <v/>
      </c>
      <c r="W344" s="323" t="str">
        <f t="shared" si="169"/>
        <v/>
      </c>
      <c r="X344" s="323" t="str">
        <f t="shared" si="170"/>
        <v/>
      </c>
      <c r="Y344" s="304" t="str">
        <f t="shared" si="181"/>
        <v/>
      </c>
      <c r="Z344" s="304" t="str">
        <f t="shared" si="160"/>
        <v/>
      </c>
      <c r="AA344" s="308" t="str">
        <f t="shared" si="182"/>
        <v/>
      </c>
      <c r="AB344" s="304" t="str">
        <f t="shared" si="189"/>
        <v/>
      </c>
      <c r="AC344" s="309"/>
      <c r="AD344" s="310" t="str">
        <f t="shared" si="183"/>
        <v/>
      </c>
      <c r="AE344" s="310" t="str">
        <f t="shared" si="183"/>
        <v/>
      </c>
      <c r="AF344" s="310" t="str">
        <f t="shared" si="184"/>
        <v/>
      </c>
      <c r="AG344" s="310" t="str">
        <f t="shared" si="185"/>
        <v/>
      </c>
      <c r="AH344" s="310" t="str">
        <f>IF(G344="","",IF(G344&gt;G304,IF((G344-G304)&gt;180,(G344-G304)-360,G344-G304),IF((G344-G304)&lt;-180,(G344-G304)+360,G344-G304)))</f>
        <v/>
      </c>
      <c r="AI344" s="310" t="str">
        <f>+IF(E344="","",E344-E304)</f>
        <v/>
      </c>
      <c r="AJ344" s="311" t="str">
        <f t="shared" si="186"/>
        <v/>
      </c>
      <c r="AK344" s="311" t="str" cm="1">
        <f t="array" ref="AK344">IF(OR(E344="", H344=""), "",
  IFERROR(
     (
      INDEX($AM$3:$AM$22, MATCH(E344, $AL$3:$AL$22, 1)) +
      (E344 - INDEX($AL$3:$AL$22, MATCH(E344, $AL$3:$AL$22, 1))) *
      (INDEX($AM$3:$AM$22, MATCH(E344, $AL$3:$AL$22, 1)+1) - INDEX($AM$3:$AM$22, MATCH(E344, $AL$3:$AL$22, 1))) /
      (INDEX($AL$3:$AL$22, MATCH(E344, $AL$3:$AL$22, 1)+1) - INDEX($AL$3:$AL$22, MATCH(E344, $AL$3:$AL$22, 1)))
    ) - H344,
    ""
  )
)</f>
        <v/>
      </c>
      <c r="AL344" s="338"/>
      <c r="AM344" s="339"/>
      <c r="AN344" s="340"/>
    </row>
    <row r="345" spans="1:40" s="315" customFormat="1" ht="15" customHeight="1" x14ac:dyDescent="0.35">
      <c r="A345" s="316">
        <f t="shared" ref="A345:B360" si="197">+A344</f>
        <v>3</v>
      </c>
      <c r="B345" s="317">
        <f t="shared" si="197"/>
        <v>19</v>
      </c>
      <c r="C345" s="318" t="str">
        <f t="shared" ref="C345:C382" si="198">IF(D345&gt;0,D345-D344,"")</f>
        <v/>
      </c>
      <c r="D345" s="319"/>
      <c r="E345" s="320" t="str">
        <f t="shared" si="194"/>
        <v/>
      </c>
      <c r="F345" s="321"/>
      <c r="G345" s="321"/>
      <c r="H345" s="322" t="str">
        <f t="shared" ref="H345:H382" si="199">IF(F345="","",H344+(COS((AD345+AD344)/2))*AI345)</f>
        <v/>
      </c>
      <c r="I345" s="323" t="str">
        <f t="shared" si="167"/>
        <v/>
      </c>
      <c r="J345" s="321" t="str">
        <f t="shared" si="176"/>
        <v/>
      </c>
      <c r="K345" s="323" t="str">
        <f t="shared" si="195"/>
        <v/>
      </c>
      <c r="L345" s="321"/>
      <c r="M345" s="333"/>
      <c r="N345" s="323" t="str">
        <f>IF(SUM(IF(AND(E345&gt;K302,E344&lt;=J302),L302,0)+IF(AND(E345&gt;=K302,E344&lt;K302,E344&gt;J302),K302-E344,0)+IF(AND(E345&gt;J302,E344&lt;=J302,E345&lt;K302),E345-J302,0)+IF(AND(E345&lt;K302,E344&gt;J302,E345&gt;E344),E345-E344,0)+IF(AND(E345&gt;K303,E344&lt;=J303),L303,0)+IF(AND(E345&gt;=K303,E344&lt;K303,E344&gt;J303),K303-E344,0)+IF(AND(E345&gt;J303,E344&lt;=J303,E345&lt;K303),E345-J303,0)+IF(AND(E345&lt;K303,E344&gt;J303,E345&gt;E344),E345-E344,0)+IF(AND(E345&gt;K304,E344&lt;=J304),L304,0)+IF(AND(E345&gt;=K304,E344&lt;K304,E344&gt;J304),K304-E344,0)+IF(AND(E345&gt;J304,E344&lt;J304,E345&lt;=K304),E345-J304,0)+IF(AND(E345&lt;K304,E344&gt;J304,E345&gt;E344),E345-E344,0)+IF(AND(E345&gt;K344,E344&lt;=J344),L344,0)+IF(AND(E345&gt;=K344,E344&lt;K344,E344&gt;J344),K344-E344,0)+IF(AND(E345&gt;J344,E344&lt;J344,E345&lt;=K344),E345-J344,0)+IF(AND(E345&lt;K344,E344&gt;J344,E345&gt;E344),E345-E344,0))=0,"",SUM(IF(AND(E345&gt;K302,E344&lt;=J302),L302,0)+IF(AND(E345&gt;=K302,E344&lt;K302,E344&gt;J302),K302-E344,0)+IF(AND(E345&gt;J302,E344&lt;=J302,E345&lt;K302),E345-J302,0)+IF(AND(E345&lt;K302,E344&gt;J302,E345&gt;E344),E345-E344,0)+IF(AND(E345&gt;K303,E344&lt;=J303),L303,0)+IF(AND(E345&gt;=K303,E344&lt;K303,E344&gt;J303),K303-E344,0)+IF(AND(E345&gt;J303,E344&lt;=J303,E345&lt;K303),E345-J303,0)+IF(AND(E345&lt;K303,E344&gt;J303,E345&gt;E344),E345-E344,0)+IF(AND(E345&gt;K304,E344&lt;=J304),L304,0)+IF(AND(E345&gt;=K304,E344&lt;K304,E344&gt;J304),K304-E344,0)+IF(AND(E345&gt;J304,E344&lt;J304,E345&lt;=K304),E345-J304,0)+IF(AND(E345&lt;K304,E344&gt;J304,E345&gt;E344),E345-E344,0)+IF(AND(E345&gt;K344,E344&lt;=J344),L344,0)+IF(AND(E345&gt;=K344,E344&lt;K344,E344&gt;J344),K344-E344,0)+IF(AND(E345&gt;J344,E344&lt;J344,E345&lt;=K344),E345-J344,0)+IF(AND(E345&lt;K344,E344&gt;J344,E345&gt;E344),E345-E344,0)))</f>
        <v/>
      </c>
      <c r="O345" s="323">
        <f>SUM(IF(AND(D345&gt;K303,E345&lt;=J303),L303,0)+IF(AND(D345&gt;=K303,E345&lt;K303,E345&gt;J303),K303-E345,0)+IF(AND(D345&gt;J303,E345&lt;=J303,D345&lt;K303),D345-J303,0)+IF(AND(D345&lt;K303,E345&gt;J303,D345&gt;E345),D345-E345,0)+IF(AND(D345&gt;K304,E345&lt;=J304),L304,0)+IF(AND(D345&gt;=K304,E345&lt;K304,E345&gt;J304),K304-E345,0)+IF(AND(D345&gt;J304,E345&lt;J304,D345&lt;=K304),D345-J304,0)+IF(AND(D345&lt;K304,E345&gt;J304,D345&gt;E345),D345-E345,0)+IF(AND(D345&gt;K344,E345&lt;=J344),L344,0)+IF(AND(D345&gt;=K344,E345&lt;K344,E345&gt;J344),K344-E345,0)+IF(AND(D345&gt;J344,E345&lt;J344,D345&lt;=K344),D345-J344,0)+IF(AND(D345&lt;K344,E345&gt;J344,D345&gt;E345),D345-E345,0))</f>
        <v>0</v>
      </c>
      <c r="P345" s="324" t="str">
        <f t="shared" si="168"/>
        <v/>
      </c>
      <c r="Q345" s="325" t="str">
        <f t="shared" si="196"/>
        <v/>
      </c>
      <c r="R345" s="323" t="str">
        <f t="shared" si="178"/>
        <v/>
      </c>
      <c r="S345" s="323" t="str">
        <f>IF(V345="","",IF(AND(N345="",O345=""),F345,IF(O345="",O345*AVERAGE(V344,V304,V303)+F345,O345*V345+F345)))</f>
        <v/>
      </c>
      <c r="T345" s="323" t="str">
        <f t="shared" si="179"/>
        <v/>
      </c>
      <c r="U345" s="323" t="str">
        <f t="shared" si="180"/>
        <v/>
      </c>
      <c r="V345" s="322" t="str">
        <f t="shared" si="192"/>
        <v/>
      </c>
      <c r="W345" s="323" t="str">
        <f t="shared" si="169"/>
        <v/>
      </c>
      <c r="X345" s="323" t="str">
        <f t="shared" si="170"/>
        <v/>
      </c>
      <c r="Y345" s="323" t="str">
        <f t="shared" si="181"/>
        <v/>
      </c>
      <c r="Z345" s="323" t="str">
        <f t="shared" si="160"/>
        <v/>
      </c>
      <c r="AA345" s="326" t="str">
        <f t="shared" si="182"/>
        <v/>
      </c>
      <c r="AB345" s="323" t="str">
        <f t="shared" si="189"/>
        <v/>
      </c>
      <c r="AC345" s="327"/>
      <c r="AD345" s="328" t="str">
        <f t="shared" si="183"/>
        <v/>
      </c>
      <c r="AE345" s="328" t="str">
        <f t="shared" si="183"/>
        <v/>
      </c>
      <c r="AF345" s="328" t="str">
        <f t="shared" si="184"/>
        <v/>
      </c>
      <c r="AG345" s="328" t="str">
        <f t="shared" si="185"/>
        <v/>
      </c>
      <c r="AH345" s="328" t="str">
        <f t="shared" ref="AH345:AH382" si="200">IF(G345="","",IF(G345&gt;G344,IF((G345-G344)&gt;180,(G345-G344)-360,G345-G344),IF((G345-G344)&lt;-180,(G345-G344)+360,G345-G344)))</f>
        <v/>
      </c>
      <c r="AI345" s="328" t="str">
        <f t="shared" ref="AI345:AI382" si="201">+IF(E345="","",E345-E344)</f>
        <v/>
      </c>
      <c r="AJ345" s="329" t="str">
        <f t="shared" si="186"/>
        <v/>
      </c>
      <c r="AK345" s="329" t="str" cm="1">
        <f t="array" ref="AK345">IF(OR(E345="", H345=""), "",
  IFERROR(
     (
      INDEX($AM$3:$AM$22, MATCH(E345, $AL$3:$AL$22, 1)) +
      (E345 - INDEX($AL$3:$AL$22, MATCH(E345, $AL$3:$AL$22, 1))) *
      (INDEX($AM$3:$AM$22, MATCH(E345, $AL$3:$AL$22, 1)+1) - INDEX($AM$3:$AM$22, MATCH(E345, $AL$3:$AL$22, 1))) /
      (INDEX($AL$3:$AL$22, MATCH(E345, $AL$3:$AL$22, 1)+1) - INDEX($AL$3:$AL$22, MATCH(E345, $AL$3:$AL$22, 1)))
    ) - H345,
    ""
  )
)</f>
        <v/>
      </c>
      <c r="AL345" s="341"/>
      <c r="AM345" s="342"/>
      <c r="AN345" s="343"/>
    </row>
    <row r="346" spans="1:40" s="315" customFormat="1" ht="15" customHeight="1" x14ac:dyDescent="0.35">
      <c r="A346" s="297">
        <f t="shared" si="197"/>
        <v>3</v>
      </c>
      <c r="B346" s="298">
        <f t="shared" si="197"/>
        <v>19</v>
      </c>
      <c r="C346" s="299" t="str">
        <f t="shared" si="198"/>
        <v/>
      </c>
      <c r="D346" s="300"/>
      <c r="E346" s="301" t="str">
        <f t="shared" si="194"/>
        <v/>
      </c>
      <c r="F346" s="302"/>
      <c r="G346" s="302"/>
      <c r="H346" s="303" t="str">
        <f t="shared" si="199"/>
        <v/>
      </c>
      <c r="I346" s="323" t="str">
        <f t="shared" si="167"/>
        <v/>
      </c>
      <c r="J346" s="302" t="str">
        <f t="shared" si="176"/>
        <v/>
      </c>
      <c r="K346" s="304" t="str">
        <f t="shared" si="195"/>
        <v/>
      </c>
      <c r="L346" s="302"/>
      <c r="M346" s="305"/>
      <c r="N346" s="304" t="str">
        <f>IF(SUM(IF(AND(E346&gt;K303,E345&lt;=J303),L303,0)+IF(AND(E346&gt;=K303,E345&lt;K303,E345&gt;J303),K303-E345,0)+IF(AND(E346&gt;J303,E345&lt;=J303,E346&lt;K303),E346-J303,0)+IF(AND(E346&lt;K303,E345&gt;J303,E346&gt;E345),E346-E345,0)+IF(AND(E346&gt;K304,E345&lt;=J304),L304,0)+IF(AND(E346&gt;=K304,E345&lt;K304,E345&gt;J304),K304-E345,0)+IF(AND(E346&gt;J304,E345&lt;=J304,E346&lt;K304),E346-J304,0)+IF(AND(E346&lt;K304,E345&gt;J304,E346&gt;E345),E346-E345,0)+IF(AND(E346&gt;K344,E345&lt;=J344),L344,0)+IF(AND(E346&gt;=K344,E345&lt;K344,E345&gt;J344),K344-E345,0)+IF(AND(E346&gt;J344,E345&lt;J344,E346&lt;=K344),E346-J344,0)+IF(AND(E346&lt;K344,E345&gt;J344,E346&gt;E345),E346-E345,0)+IF(AND(E346&gt;K345,E345&lt;=J345),L345,0)+IF(AND(E346&gt;=K345,E345&lt;K345,E345&gt;J345),K345-E345,0)+IF(AND(E346&gt;J345,E345&lt;J345,E346&lt;=K345),E346-J345,0)+IF(AND(E346&lt;K345,E345&gt;J345,E346&gt;E345),E346-E345,0))=0,"",SUM(IF(AND(E346&gt;K303,E345&lt;=J303),L303,0)+IF(AND(E346&gt;=K303,E345&lt;K303,E345&gt;J303),K303-E345,0)+IF(AND(E346&gt;J303,E345&lt;=J303,E346&lt;K303),E346-J303,0)+IF(AND(E346&lt;K303,E345&gt;J303,E346&gt;E345),E346-E345,0)+IF(AND(E346&gt;K304,E345&lt;=J304),L304,0)+IF(AND(E346&gt;=K304,E345&lt;K304,E345&gt;J304),K304-E345,0)+IF(AND(E346&gt;J304,E345&lt;=J304,E346&lt;K304),E346-J304,0)+IF(AND(E346&lt;K304,E345&gt;J304,E346&gt;E345),E346-E345,0)+IF(AND(E346&gt;K344,E345&lt;=J344),L344,0)+IF(AND(E346&gt;=K344,E345&lt;K344,E345&gt;J344),K344-E345,0)+IF(AND(E346&gt;J344,E345&lt;J344,E346&lt;=K344),E346-J344,0)+IF(AND(E346&lt;K344,E345&gt;J344,E346&gt;E345),E346-E345,0)+IF(AND(E346&gt;K345,E345&lt;=J345),L345,0)+IF(AND(E346&gt;=K345,E345&lt;K345,E345&gt;J345),K345-E345,0)+IF(AND(E346&gt;J345,E345&lt;J345,E346&lt;=K345),E346-J345,0)+IF(AND(E346&lt;K345,E345&gt;J345,E346&gt;E345),E346-E345,0)))</f>
        <v/>
      </c>
      <c r="O346" s="304">
        <f>SUM(IF(AND(D346&gt;K304,E346&lt;=J304),L304,0)+IF(AND(D346&gt;=K304,E346&lt;K304,E346&gt;J304),K304-E346,0)+IF(AND(D346&gt;J304,E346&lt;=J304,D346&lt;K304),D346-J304,0)+IF(AND(D346&lt;K304,E346&gt;J304,D346&gt;E346),D346-E346,0)+IF(AND(D346&gt;K344,E346&lt;=J344),L344,0)+IF(AND(D346&gt;=K344,E346&lt;K344,E346&gt;J344),K344-E346,0)+IF(AND(D346&gt;J344,E346&lt;J344,D346&lt;=K344),D346-J344,0)+IF(AND(D346&lt;K344,E346&gt;J344,D346&gt;E346),D346-E346,0)+IF(AND(D346&gt;K345,E346&lt;=J345),L345,0)+IF(AND(D346&gt;=K345,E346&lt;K345,E346&gt;J345),K345-E346,0)+IF(AND(D346&gt;J345,E346&lt;J345,D346&lt;=K345),D346-J345,0)+IF(AND(D346&lt;K345,E346&gt;J345,D346&gt;E346),D346-E346,0))</f>
        <v>0</v>
      </c>
      <c r="P346" s="306" t="str">
        <f t="shared" ref="P345:P382" si="202">IF(AND(ISNUMBER(C346),ISNUMBER(I346)),(IF(AND(I346&gt;0,G346&lt;&gt;G345),ACOS((C346*X346/30)/(C346*I346/30))*180/PI(),IF(AND(F346&gt;F345,G346=G345),"H/S",IF(AND(F346&lt;F345,G346=G345),"L/S","")))),"")</f>
        <v/>
      </c>
      <c r="Q346" s="307" t="str">
        <f t="shared" si="196"/>
        <v/>
      </c>
      <c r="R346" s="304" t="str">
        <f t="shared" si="178"/>
        <v/>
      </c>
      <c r="S346" s="304" t="str">
        <f>IF(V346="","",IF(AND(N346="",O346=""),F346,IF(O346="",O346*AVERAGE(V345,V344,V304)+F346,O346*V346+F346)))</f>
        <v/>
      </c>
      <c r="T346" s="304" t="str">
        <f t="shared" si="179"/>
        <v/>
      </c>
      <c r="U346" s="304" t="str">
        <f t="shared" si="180"/>
        <v/>
      </c>
      <c r="V346" s="303" t="str">
        <f t="shared" si="192"/>
        <v/>
      </c>
      <c r="W346" s="323" t="str">
        <f t="shared" si="169"/>
        <v/>
      </c>
      <c r="X346" s="323" t="str">
        <f t="shared" si="170"/>
        <v/>
      </c>
      <c r="Y346" s="304" t="str">
        <f t="shared" si="181"/>
        <v/>
      </c>
      <c r="Z346" s="304" t="str">
        <f t="shared" si="160"/>
        <v/>
      </c>
      <c r="AA346" s="308" t="str">
        <f t="shared" si="182"/>
        <v/>
      </c>
      <c r="AB346" s="304" t="str">
        <f t="shared" si="189"/>
        <v/>
      </c>
      <c r="AC346" s="309"/>
      <c r="AD346" s="310" t="str">
        <f t="shared" si="183"/>
        <v/>
      </c>
      <c r="AE346" s="310" t="str">
        <f t="shared" si="183"/>
        <v/>
      </c>
      <c r="AF346" s="310" t="str">
        <f t="shared" si="184"/>
        <v/>
      </c>
      <c r="AG346" s="310" t="str">
        <f t="shared" si="185"/>
        <v/>
      </c>
      <c r="AH346" s="310" t="str">
        <f t="shared" si="200"/>
        <v/>
      </c>
      <c r="AI346" s="310" t="str">
        <f t="shared" si="201"/>
        <v/>
      </c>
      <c r="AJ346" s="311" t="str">
        <f t="shared" si="186"/>
        <v/>
      </c>
      <c r="AK346" s="311" t="str" cm="1">
        <f t="array" ref="AK346">IF(OR(E346="", H346=""), "",
  IFERROR(
     (
      INDEX($AM$3:$AM$22, MATCH(E346, $AL$3:$AL$22, 1)) +
      (E346 - INDEX($AL$3:$AL$22, MATCH(E346, $AL$3:$AL$22, 1))) *
      (INDEX($AM$3:$AM$22, MATCH(E346, $AL$3:$AL$22, 1)+1) - INDEX($AM$3:$AM$22, MATCH(E346, $AL$3:$AL$22, 1))) /
      (INDEX($AL$3:$AL$22, MATCH(E346, $AL$3:$AL$22, 1)+1) - INDEX($AL$3:$AL$22, MATCH(E346, $AL$3:$AL$22, 1)))
    ) - H346,
    ""
  )
)</f>
        <v/>
      </c>
      <c r="AL346" s="338"/>
      <c r="AM346" s="339"/>
      <c r="AN346" s="340"/>
    </row>
    <row r="347" spans="1:40" s="315" customFormat="1" ht="15" customHeight="1" x14ac:dyDescent="0.35">
      <c r="A347" s="316">
        <f t="shared" si="197"/>
        <v>3</v>
      </c>
      <c r="B347" s="317">
        <f t="shared" si="197"/>
        <v>19</v>
      </c>
      <c r="C347" s="318" t="str">
        <f t="shared" si="198"/>
        <v/>
      </c>
      <c r="D347" s="319"/>
      <c r="E347" s="320" t="str">
        <f t="shared" si="194"/>
        <v/>
      </c>
      <c r="F347" s="321"/>
      <c r="G347" s="321"/>
      <c r="H347" s="322" t="str">
        <f t="shared" si="199"/>
        <v/>
      </c>
      <c r="I347" s="323" t="str">
        <f t="shared" si="167"/>
        <v/>
      </c>
      <c r="J347" s="321" t="str">
        <f t="shared" si="176"/>
        <v/>
      </c>
      <c r="K347" s="323" t="str">
        <f t="shared" si="195"/>
        <v/>
      </c>
      <c r="L347" s="321"/>
      <c r="M347" s="333"/>
      <c r="N347" s="323" t="str">
        <f>IF(SUM(IF(AND(E347&gt;K304,E346&lt;=J304),L304,0)+IF(AND(E347&gt;=K304,E346&lt;K304,E346&gt;J304),K304-E346,0)+IF(AND(E347&gt;J304,E346&lt;=J304,E347&lt;K304),E347-J304,0)+IF(AND(E347&lt;K304,E346&gt;J304,E347&gt;E346),E347-E346,0)+IF(AND(E347&gt;K344,E346&lt;=J344),L344,0)+IF(AND(E347&gt;=K344,E346&lt;K344,E346&gt;J344),K344-E346,0)+IF(AND(E347&gt;J344,E346&lt;=J344,E347&lt;K344),E347-J344,0)+IF(AND(E347&lt;K344,E346&gt;J344,E347&gt;E346),E347-E346,0)+IF(AND(E347&gt;K345,E346&lt;=J345),L345,0)+IF(AND(E347&gt;=K345,E346&lt;K345,E346&gt;J345),K345-E346,0)+IF(AND(E347&gt;J345,E346&lt;J345,E347&lt;=K345),E347-J345,0)+IF(AND(E347&lt;K345,E346&gt;J345,E347&gt;E346),E347-E346,0)+IF(AND(E347&gt;K346,E346&lt;=J346),L346,0)+IF(AND(E347&gt;=K346,E346&lt;K346,E346&gt;J346),K346-E346,0)+IF(AND(E347&gt;J346,E346&lt;J346,E347&lt;=K346),E347-J346,0)+IF(AND(E347&lt;K346,E346&gt;J346,E347&gt;E346),E347-E346,0))=0,"",SUM(IF(AND(E347&gt;K304,E346&lt;=J304),L304,0)+IF(AND(E347&gt;=K304,E346&lt;K304,E346&gt;J304),K304-E346,0)+IF(AND(E347&gt;J304,E346&lt;=J304,E347&lt;K304),E347-J304,0)+IF(AND(E347&lt;K304,E346&gt;J304,E347&gt;E346),E347-E346,0)+IF(AND(E347&gt;K344,E346&lt;=J344),L344,0)+IF(AND(E347&gt;=K344,E346&lt;K344,E346&gt;J344),K344-E346,0)+IF(AND(E347&gt;J344,E346&lt;=J344,E347&lt;K344),E347-J344,0)+IF(AND(E347&lt;K344,E346&gt;J344,E347&gt;E346),E347-E346,0)+IF(AND(E347&gt;K345,E346&lt;=J345),L345,0)+IF(AND(E347&gt;=K345,E346&lt;K345,E346&gt;J345),K345-E346,0)+IF(AND(E347&gt;J345,E346&lt;J345,E347&lt;=K345),E347-J345,0)+IF(AND(E347&lt;K345,E346&gt;J345,E347&gt;E346),E347-E346,0)+IF(AND(E347&gt;K346,E346&lt;=J346),L346,0)+IF(AND(E347&gt;=K346,E346&lt;K346,E346&gt;J346),K346-E346,0)+IF(AND(E347&gt;J346,E346&lt;J346,E347&lt;=K346),E347-J346,0)+IF(AND(E347&lt;K346,E346&gt;J346,E347&gt;E346),E347-E346,0)))</f>
        <v/>
      </c>
      <c r="O347" s="323">
        <f t="shared" ref="O347:O382" si="203">SUM(IF(AND(D347&gt;K344,E347&lt;=J344),L344,0)+IF(AND(D347&gt;=K344,E347&lt;K344,E347&gt;J344),K344-E347,0)+IF(AND(D347&gt;J344,E347&lt;=J344,D347&lt;K344),D347-J344,0)+IF(AND(D347&lt;K344,E347&gt;J344,D347&gt;E347),D347-E347,0)+IF(AND(D347&gt;K345,E347&lt;=J345),L345,0)+IF(AND(D347&gt;=K345,E347&lt;K345,E347&gt;J345),K345-E347,0)+IF(AND(D347&gt;J345,E347&lt;J345,D347&lt;=K345),D347-J345,0)+IF(AND(D347&lt;K345,E347&gt;J345,D347&gt;E347),D347-E347,0)+IF(AND(D347&gt;K346,E347&lt;=J346),L346,0)+IF(AND(D347&gt;=K346,E347&lt;K346,E347&gt;J346),K346-E347,0)+IF(AND(D347&gt;J346,E347&lt;J346,D347&lt;=K346),D347-J346,0)+IF(AND(D347&lt;K346,E347&gt;J346,D347&gt;E347),D347-E347,0))</f>
        <v>0</v>
      </c>
      <c r="P347" s="324" t="str">
        <f t="shared" si="202"/>
        <v/>
      </c>
      <c r="Q347" s="325" t="str">
        <f t="shared" si="196"/>
        <v/>
      </c>
      <c r="R347" s="323" t="str">
        <f t="shared" si="178"/>
        <v/>
      </c>
      <c r="S347" s="323" t="str">
        <f t="shared" ref="S347:S382" si="204">IF(V347="","",IF(AND(N347="",O347=""),F347,IF(O347="",O347*AVERAGE(V346,V345,V344)+F347,O347*V347+F347)))</f>
        <v/>
      </c>
      <c r="T347" s="323" t="str">
        <f t="shared" si="179"/>
        <v/>
      </c>
      <c r="U347" s="323" t="str">
        <f t="shared" si="180"/>
        <v/>
      </c>
      <c r="V347" s="322" t="str">
        <f t="shared" si="192"/>
        <v/>
      </c>
      <c r="W347" s="323" t="str">
        <f t="shared" ref="W345:W382" si="205">IF(G347="","",IF(N347="",(G347-G346)/30,AH347/N347))</f>
        <v/>
      </c>
      <c r="X347" s="323" t="str">
        <f t="shared" si="170"/>
        <v/>
      </c>
      <c r="Y347" s="323" t="str">
        <f t="shared" si="181"/>
        <v/>
      </c>
      <c r="Z347" s="323" t="str">
        <f t="shared" si="160"/>
        <v/>
      </c>
      <c r="AA347" s="326" t="str">
        <f t="shared" si="182"/>
        <v/>
      </c>
      <c r="AB347" s="323" t="str">
        <f t="shared" si="189"/>
        <v/>
      </c>
      <c r="AC347" s="327"/>
      <c r="AD347" s="328" t="str">
        <f t="shared" si="183"/>
        <v/>
      </c>
      <c r="AE347" s="328" t="str">
        <f t="shared" si="183"/>
        <v/>
      </c>
      <c r="AF347" s="328" t="str">
        <f t="shared" si="184"/>
        <v/>
      </c>
      <c r="AG347" s="328" t="str">
        <f t="shared" si="185"/>
        <v/>
      </c>
      <c r="AH347" s="328" t="str">
        <f t="shared" si="200"/>
        <v/>
      </c>
      <c r="AI347" s="328" t="str">
        <f t="shared" si="201"/>
        <v/>
      </c>
      <c r="AJ347" s="329" t="str">
        <f t="shared" si="186"/>
        <v/>
      </c>
      <c r="AK347" s="329" t="str" cm="1">
        <f t="array" ref="AK347">IF(OR(E347="", H347=""), "",
  IFERROR(
     (
      INDEX($AM$3:$AM$22, MATCH(E347, $AL$3:$AL$22, 1)) +
      (E347 - INDEX($AL$3:$AL$22, MATCH(E347, $AL$3:$AL$22, 1))) *
      (INDEX($AM$3:$AM$22, MATCH(E347, $AL$3:$AL$22, 1)+1) - INDEX($AM$3:$AM$22, MATCH(E347, $AL$3:$AL$22, 1))) /
      (INDEX($AL$3:$AL$22, MATCH(E347, $AL$3:$AL$22, 1)+1) - INDEX($AL$3:$AL$22, MATCH(E347, $AL$3:$AL$22, 1)))
    ) - H347,
    ""
  )
)</f>
        <v/>
      </c>
      <c r="AL347" s="341"/>
      <c r="AM347" s="342"/>
      <c r="AN347" s="343"/>
    </row>
    <row r="348" spans="1:40" s="315" customFormat="1" ht="15" customHeight="1" x14ac:dyDescent="0.35">
      <c r="A348" s="297">
        <f t="shared" si="197"/>
        <v>3</v>
      </c>
      <c r="B348" s="298">
        <f t="shared" si="197"/>
        <v>19</v>
      </c>
      <c r="C348" s="299" t="str">
        <f t="shared" si="198"/>
        <v/>
      </c>
      <c r="D348" s="300"/>
      <c r="E348" s="301" t="str">
        <f t="shared" si="194"/>
        <v/>
      </c>
      <c r="F348" s="302"/>
      <c r="G348" s="302"/>
      <c r="H348" s="303" t="str">
        <f t="shared" si="199"/>
        <v/>
      </c>
      <c r="I348" s="304" t="str">
        <f t="shared" ref="I345:I382" si="206">IF(OR(F348="",G348=""),"",DEGREES(ACOS(COS(AD348-AD347)-(SIN(AD348)*SIN(AD347)*(1-COS(AE348-AE347)))))*(30/AI348))</f>
        <v/>
      </c>
      <c r="J348" s="302" t="str">
        <f t="shared" si="176"/>
        <v/>
      </c>
      <c r="K348" s="304" t="str">
        <f t="shared" si="195"/>
        <v/>
      </c>
      <c r="L348" s="302"/>
      <c r="M348" s="305"/>
      <c r="N348" s="304" t="str">
        <f t="shared" ref="N348:N382" si="207">IF(SUM(IF(AND(E348&gt;K344,E347&lt;=J344),L344,0)+IF(AND(E348&gt;=K344,E347&lt;K344,E347&gt;J344),K344-E347,0)+IF(AND(E348&gt;J344,E347&lt;=J344,E348&lt;K344),E348-J344,0)+IF(AND(E348&lt;K344,E347&gt;J344,E348&gt;E347),E348-E347,0)+IF(AND(E348&gt;K345,E347&lt;=J345),L345,0)+IF(AND(E348&gt;=K345,E347&lt;K345,E347&gt;J345),K345-E347,0)+IF(AND(E348&gt;J345,E347&lt;=J345,E348&lt;K345),E348-J345,0)+IF(AND(E348&lt;K345,E347&gt;J345,E348&gt;E347),E348-E347,0)+IF(AND(E348&gt;K346,E347&lt;=J346),L346,0)+IF(AND(E348&gt;=K346,E347&lt;K346,E347&gt;J346),K346-E347,0)+IF(AND(E348&gt;J346,E347&lt;J346,E348&lt;=K346),E348-J346,0)+IF(AND(E348&lt;K346,E347&gt;J346,E348&gt;E347),E348-E347,0)+IF(AND(E348&gt;K347,E347&lt;=J347),L347,0)+IF(AND(E348&gt;=K347,E347&lt;K347,E347&gt;J347),K347-E347,0)+IF(AND(E348&gt;J347,E347&lt;J347,E348&lt;=K347),E348-J347,0)+IF(AND(E348&lt;K347,E347&gt;J347,E348&gt;E347),E348-E347,0))=0,"",SUM(IF(AND(E348&gt;K344,E347&lt;=J344),L344,0)+IF(AND(E348&gt;=K344,E347&lt;K344,E347&gt;J344),K344-E347,0)+IF(AND(E348&gt;J344,E347&lt;=J344,E348&lt;K344),E348-J344,0)+IF(AND(E348&lt;K344,E347&gt;J344,E348&gt;E347),E348-E347,0)+IF(AND(E348&gt;K345,E347&lt;=J345),L345,0)+IF(AND(E348&gt;=K345,E347&lt;K345,E347&gt;J345),K345-E347,0)+IF(AND(E348&gt;J345,E347&lt;=J345,E348&lt;K345),E348-J345,0)+IF(AND(E348&lt;K345,E347&gt;J345,E348&gt;E347),E348-E347,0)+IF(AND(E348&gt;K346,E347&lt;=J346),L346,0)+IF(AND(E348&gt;=K346,E347&lt;K346,E347&gt;J346),K346-E347,0)+IF(AND(E348&gt;J346,E347&lt;J346,E348&lt;=K346),E348-J346,0)+IF(AND(E348&lt;K346,E347&gt;J346,E348&gt;E347),E348-E347,0)+IF(AND(E348&gt;K347,E347&lt;=J347),L347,0)+IF(AND(E348&gt;=K347,E347&lt;K347,E347&gt;J347),K347-E347,0)+IF(AND(E348&gt;J347,E347&lt;J347,E348&lt;=K347),E348-J347,0)+IF(AND(E348&lt;K347,E347&gt;J347,E348&gt;E347),E348-E347,0)))</f>
        <v/>
      </c>
      <c r="O348" s="304">
        <f t="shared" si="203"/>
        <v>0</v>
      </c>
      <c r="P348" s="306" t="str">
        <f t="shared" si="202"/>
        <v/>
      </c>
      <c r="Q348" s="307" t="str">
        <f t="shared" si="196"/>
        <v/>
      </c>
      <c r="R348" s="304" t="str">
        <f t="shared" si="178"/>
        <v/>
      </c>
      <c r="S348" s="304" t="str">
        <f t="shared" si="204"/>
        <v/>
      </c>
      <c r="T348" s="304" t="str">
        <f t="shared" si="179"/>
        <v/>
      </c>
      <c r="U348" s="304" t="str">
        <f t="shared" si="180"/>
        <v/>
      </c>
      <c r="V348" s="303" t="str">
        <f t="shared" si="192"/>
        <v/>
      </c>
      <c r="W348" s="304" t="str">
        <f t="shared" si="205"/>
        <v/>
      </c>
      <c r="X348" s="323" t="str">
        <f t="shared" si="170"/>
        <v/>
      </c>
      <c r="Y348" s="304" t="str">
        <f t="shared" si="181"/>
        <v/>
      </c>
      <c r="Z348" s="304" t="str">
        <f t="shared" si="160"/>
        <v/>
      </c>
      <c r="AA348" s="308" t="str">
        <f t="shared" si="182"/>
        <v/>
      </c>
      <c r="AB348" s="304" t="str">
        <f t="shared" si="189"/>
        <v/>
      </c>
      <c r="AC348" s="309"/>
      <c r="AD348" s="310" t="str">
        <f t="shared" si="183"/>
        <v/>
      </c>
      <c r="AE348" s="310" t="str">
        <f t="shared" si="183"/>
        <v/>
      </c>
      <c r="AF348" s="310" t="str">
        <f t="shared" si="184"/>
        <v/>
      </c>
      <c r="AG348" s="310" t="str">
        <f t="shared" si="185"/>
        <v/>
      </c>
      <c r="AH348" s="310" t="str">
        <f t="shared" si="200"/>
        <v/>
      </c>
      <c r="AI348" s="310" t="str">
        <f t="shared" si="201"/>
        <v/>
      </c>
      <c r="AJ348" s="311" t="str">
        <f t="shared" si="186"/>
        <v/>
      </c>
      <c r="AK348" s="311" t="str" cm="1">
        <f t="array" ref="AK348">IF(OR(E348="", H348=""), "",
  IFERROR(
     (
      INDEX($AM$3:$AM$22, MATCH(E348, $AL$3:$AL$22, 1)) +
      (E348 - INDEX($AL$3:$AL$22, MATCH(E348, $AL$3:$AL$22, 1))) *
      (INDEX($AM$3:$AM$22, MATCH(E348, $AL$3:$AL$22, 1)+1) - INDEX($AM$3:$AM$22, MATCH(E348, $AL$3:$AL$22, 1))) /
      (INDEX($AL$3:$AL$22, MATCH(E348, $AL$3:$AL$22, 1)+1) - INDEX($AL$3:$AL$22, MATCH(E348, $AL$3:$AL$22, 1)))
    ) - H348,
    ""
  )
)</f>
        <v/>
      </c>
      <c r="AL348" s="338"/>
      <c r="AM348" s="339"/>
      <c r="AN348" s="340"/>
    </row>
    <row r="349" spans="1:40" s="315" customFormat="1" ht="15" customHeight="1" x14ac:dyDescent="0.35">
      <c r="A349" s="316">
        <f t="shared" si="197"/>
        <v>3</v>
      </c>
      <c r="B349" s="317">
        <f t="shared" si="197"/>
        <v>19</v>
      </c>
      <c r="C349" s="318" t="str">
        <f t="shared" si="198"/>
        <v/>
      </c>
      <c r="D349" s="319"/>
      <c r="E349" s="320" t="str">
        <f t="shared" si="194"/>
        <v/>
      </c>
      <c r="F349" s="321"/>
      <c r="G349" s="321"/>
      <c r="H349" s="322" t="str">
        <f t="shared" si="199"/>
        <v/>
      </c>
      <c r="I349" s="323" t="str">
        <f t="shared" si="206"/>
        <v/>
      </c>
      <c r="J349" s="321" t="str">
        <f t="shared" si="176"/>
        <v/>
      </c>
      <c r="K349" s="323" t="str">
        <f t="shared" si="195"/>
        <v/>
      </c>
      <c r="L349" s="321"/>
      <c r="M349" s="333"/>
      <c r="N349" s="323" t="str">
        <f t="shared" si="207"/>
        <v/>
      </c>
      <c r="O349" s="323">
        <f t="shared" si="203"/>
        <v>0</v>
      </c>
      <c r="P349" s="324" t="str">
        <f t="shared" si="202"/>
        <v/>
      </c>
      <c r="Q349" s="325" t="str">
        <f t="shared" si="196"/>
        <v/>
      </c>
      <c r="R349" s="323" t="str">
        <f t="shared" si="178"/>
        <v/>
      </c>
      <c r="S349" s="323" t="str">
        <f t="shared" si="204"/>
        <v/>
      </c>
      <c r="T349" s="323" t="str">
        <f t="shared" si="179"/>
        <v/>
      </c>
      <c r="U349" s="323" t="str">
        <f t="shared" si="180"/>
        <v/>
      </c>
      <c r="V349" s="322" t="str">
        <f t="shared" si="192"/>
        <v/>
      </c>
      <c r="W349" s="323" t="str">
        <f t="shared" si="205"/>
        <v/>
      </c>
      <c r="X349" s="323" t="str">
        <f t="shared" ref="X345:X382" si="208">IF(V349="","",(F349-F348)*30/AI349)</f>
        <v/>
      </c>
      <c r="Y349" s="323" t="str">
        <f t="shared" si="181"/>
        <v/>
      </c>
      <c r="Z349" s="323" t="str">
        <f t="shared" ref="Z349:Z412" si="209">IF(V349="","",IF(N349="",I349,AI349/N349*I349))</f>
        <v/>
      </c>
      <c r="AA349" s="326" t="str">
        <f t="shared" si="182"/>
        <v/>
      </c>
      <c r="AB349" s="323" t="str">
        <f t="shared" si="189"/>
        <v/>
      </c>
      <c r="AC349" s="327"/>
      <c r="AD349" s="328" t="str">
        <f t="shared" si="183"/>
        <v/>
      </c>
      <c r="AE349" s="328" t="str">
        <f t="shared" si="183"/>
        <v/>
      </c>
      <c r="AF349" s="328" t="str">
        <f t="shared" si="184"/>
        <v/>
      </c>
      <c r="AG349" s="328" t="str">
        <f t="shared" si="185"/>
        <v/>
      </c>
      <c r="AH349" s="328" t="str">
        <f t="shared" si="200"/>
        <v/>
      </c>
      <c r="AI349" s="328" t="str">
        <f t="shared" si="201"/>
        <v/>
      </c>
      <c r="AJ349" s="329" t="str">
        <f t="shared" si="186"/>
        <v/>
      </c>
      <c r="AK349" s="329" t="str" cm="1">
        <f t="array" ref="AK349">IF(OR(E349="", H349=""), "",
  IFERROR(
     (
      INDEX($AM$3:$AM$22, MATCH(E349, $AL$3:$AL$22, 1)) +
      (E349 - INDEX($AL$3:$AL$22, MATCH(E349, $AL$3:$AL$22, 1))) *
      (INDEX($AM$3:$AM$22, MATCH(E349, $AL$3:$AL$22, 1)+1) - INDEX($AM$3:$AM$22, MATCH(E349, $AL$3:$AL$22, 1))) /
      (INDEX($AL$3:$AL$22, MATCH(E349, $AL$3:$AL$22, 1)+1) - INDEX($AL$3:$AL$22, MATCH(E349, $AL$3:$AL$22, 1)))
    ) - H349,
    ""
  )
)</f>
        <v/>
      </c>
      <c r="AL349" s="341"/>
      <c r="AM349" s="342"/>
      <c r="AN349" s="343"/>
    </row>
    <row r="350" spans="1:40" s="315" customFormat="1" ht="15" customHeight="1" x14ac:dyDescent="0.35">
      <c r="A350" s="297">
        <f t="shared" si="197"/>
        <v>3</v>
      </c>
      <c r="B350" s="298">
        <f t="shared" si="197"/>
        <v>19</v>
      </c>
      <c r="C350" s="299" t="str">
        <f t="shared" si="198"/>
        <v/>
      </c>
      <c r="D350" s="300"/>
      <c r="E350" s="301" t="str">
        <f t="shared" si="194"/>
        <v/>
      </c>
      <c r="F350" s="302"/>
      <c r="G350" s="302"/>
      <c r="H350" s="303" t="str">
        <f t="shared" si="199"/>
        <v/>
      </c>
      <c r="I350" s="304" t="str">
        <f t="shared" si="206"/>
        <v/>
      </c>
      <c r="J350" s="302" t="str">
        <f t="shared" si="176"/>
        <v/>
      </c>
      <c r="K350" s="304" t="str">
        <f t="shared" si="195"/>
        <v/>
      </c>
      <c r="L350" s="302"/>
      <c r="M350" s="305"/>
      <c r="N350" s="304" t="str">
        <f t="shared" si="207"/>
        <v/>
      </c>
      <c r="O350" s="304">
        <f t="shared" si="203"/>
        <v>0</v>
      </c>
      <c r="P350" s="306" t="str">
        <f t="shared" si="202"/>
        <v/>
      </c>
      <c r="Q350" s="307" t="str">
        <f t="shared" si="196"/>
        <v/>
      </c>
      <c r="R350" s="304" t="str">
        <f t="shared" si="178"/>
        <v/>
      </c>
      <c r="S350" s="304" t="str">
        <f t="shared" si="204"/>
        <v/>
      </c>
      <c r="T350" s="304" t="str">
        <f t="shared" si="179"/>
        <v/>
      </c>
      <c r="U350" s="304" t="str">
        <f t="shared" si="180"/>
        <v/>
      </c>
      <c r="V350" s="303" t="str">
        <f t="shared" si="192"/>
        <v/>
      </c>
      <c r="W350" s="304" t="str">
        <f t="shared" si="205"/>
        <v/>
      </c>
      <c r="X350" s="304" t="str">
        <f t="shared" si="208"/>
        <v/>
      </c>
      <c r="Y350" s="304" t="str">
        <f t="shared" si="181"/>
        <v/>
      </c>
      <c r="Z350" s="304" t="str">
        <f t="shared" si="209"/>
        <v/>
      </c>
      <c r="AA350" s="308" t="str">
        <f t="shared" si="182"/>
        <v/>
      </c>
      <c r="AB350" s="304" t="str">
        <f t="shared" si="189"/>
        <v/>
      </c>
      <c r="AC350" s="309"/>
      <c r="AD350" s="310" t="str">
        <f t="shared" si="183"/>
        <v/>
      </c>
      <c r="AE350" s="310" t="str">
        <f t="shared" si="183"/>
        <v/>
      </c>
      <c r="AF350" s="310" t="str">
        <f t="shared" si="184"/>
        <v/>
      </c>
      <c r="AG350" s="310" t="str">
        <f t="shared" si="185"/>
        <v/>
      </c>
      <c r="AH350" s="310" t="str">
        <f t="shared" si="200"/>
        <v/>
      </c>
      <c r="AI350" s="310" t="str">
        <f t="shared" si="201"/>
        <v/>
      </c>
      <c r="AJ350" s="311" t="str">
        <f t="shared" si="186"/>
        <v/>
      </c>
      <c r="AK350" s="311" t="str" cm="1">
        <f t="array" ref="AK350">IF(OR(E350="", H350=""), "",
  IFERROR(
     (
      INDEX($AM$3:$AM$22, MATCH(E350, $AL$3:$AL$22, 1)) +
      (E350 - INDEX($AL$3:$AL$22, MATCH(E350, $AL$3:$AL$22, 1))) *
      (INDEX($AM$3:$AM$22, MATCH(E350, $AL$3:$AL$22, 1)+1) - INDEX($AM$3:$AM$22, MATCH(E350, $AL$3:$AL$22, 1))) /
      (INDEX($AL$3:$AL$22, MATCH(E350, $AL$3:$AL$22, 1)+1) - INDEX($AL$3:$AL$22, MATCH(E350, $AL$3:$AL$22, 1)))
    ) - H350,
    ""
  )
)</f>
        <v/>
      </c>
      <c r="AL350" s="338"/>
      <c r="AM350" s="339"/>
      <c r="AN350" s="340"/>
    </row>
    <row r="351" spans="1:40" s="315" customFormat="1" ht="15" customHeight="1" x14ac:dyDescent="0.35">
      <c r="A351" s="316">
        <f t="shared" si="197"/>
        <v>3</v>
      </c>
      <c r="B351" s="317">
        <f t="shared" si="197"/>
        <v>19</v>
      </c>
      <c r="C351" s="318" t="str">
        <f t="shared" si="198"/>
        <v/>
      </c>
      <c r="D351" s="319"/>
      <c r="E351" s="320" t="str">
        <f t="shared" si="194"/>
        <v/>
      </c>
      <c r="F351" s="321"/>
      <c r="G351" s="321"/>
      <c r="H351" s="322" t="str">
        <f t="shared" si="199"/>
        <v/>
      </c>
      <c r="I351" s="323" t="str">
        <f t="shared" si="206"/>
        <v/>
      </c>
      <c r="J351" s="321" t="str">
        <f t="shared" si="176"/>
        <v/>
      </c>
      <c r="K351" s="323" t="str">
        <f t="shared" si="195"/>
        <v/>
      </c>
      <c r="L351" s="321"/>
      <c r="M351" s="333"/>
      <c r="N351" s="323" t="str">
        <f t="shared" si="207"/>
        <v/>
      </c>
      <c r="O351" s="323">
        <f t="shared" si="203"/>
        <v>0</v>
      </c>
      <c r="P351" s="324" t="str">
        <f t="shared" si="202"/>
        <v/>
      </c>
      <c r="Q351" s="325" t="str">
        <f t="shared" si="196"/>
        <v/>
      </c>
      <c r="R351" s="323" t="str">
        <f t="shared" si="178"/>
        <v/>
      </c>
      <c r="S351" s="323" t="str">
        <f t="shared" si="204"/>
        <v/>
      </c>
      <c r="T351" s="323" t="str">
        <f t="shared" si="179"/>
        <v/>
      </c>
      <c r="U351" s="323" t="str">
        <f t="shared" si="180"/>
        <v/>
      </c>
      <c r="V351" s="322" t="str">
        <f t="shared" si="192"/>
        <v/>
      </c>
      <c r="W351" s="323" t="str">
        <f t="shared" si="205"/>
        <v/>
      </c>
      <c r="X351" s="323" t="str">
        <f t="shared" si="208"/>
        <v/>
      </c>
      <c r="Y351" s="323" t="str">
        <f t="shared" si="181"/>
        <v/>
      </c>
      <c r="Z351" s="323" t="str">
        <f t="shared" si="209"/>
        <v/>
      </c>
      <c r="AA351" s="326" t="str">
        <f t="shared" si="182"/>
        <v/>
      </c>
      <c r="AB351" s="323" t="str">
        <f t="shared" si="189"/>
        <v/>
      </c>
      <c r="AC351" s="327"/>
      <c r="AD351" s="328" t="str">
        <f t="shared" si="183"/>
        <v/>
      </c>
      <c r="AE351" s="328" t="str">
        <f t="shared" si="183"/>
        <v/>
      </c>
      <c r="AF351" s="328" t="str">
        <f t="shared" si="184"/>
        <v/>
      </c>
      <c r="AG351" s="328" t="str">
        <f t="shared" si="185"/>
        <v/>
      </c>
      <c r="AH351" s="328" t="str">
        <f t="shared" si="200"/>
        <v/>
      </c>
      <c r="AI351" s="328" t="str">
        <f t="shared" si="201"/>
        <v/>
      </c>
      <c r="AJ351" s="329" t="str">
        <f t="shared" si="186"/>
        <v/>
      </c>
      <c r="AK351" s="329" t="str" cm="1">
        <f t="array" ref="AK351">IF(OR(E351="", H351=""), "",
  IFERROR(
     (
      INDEX($AM$3:$AM$22, MATCH(E351, $AL$3:$AL$22, 1)) +
      (E351 - INDEX($AL$3:$AL$22, MATCH(E351, $AL$3:$AL$22, 1))) *
      (INDEX($AM$3:$AM$22, MATCH(E351, $AL$3:$AL$22, 1)+1) - INDEX($AM$3:$AM$22, MATCH(E351, $AL$3:$AL$22, 1))) /
      (INDEX($AL$3:$AL$22, MATCH(E351, $AL$3:$AL$22, 1)+1) - INDEX($AL$3:$AL$22, MATCH(E351, $AL$3:$AL$22, 1)))
    ) - H351,
    ""
  )
)</f>
        <v/>
      </c>
      <c r="AL351" s="341"/>
      <c r="AM351" s="342"/>
      <c r="AN351" s="343"/>
    </row>
    <row r="352" spans="1:40" s="315" customFormat="1" ht="15" customHeight="1" x14ac:dyDescent="0.35">
      <c r="A352" s="297">
        <f t="shared" si="197"/>
        <v>3</v>
      </c>
      <c r="B352" s="298">
        <f t="shared" si="197"/>
        <v>19</v>
      </c>
      <c r="C352" s="299" t="str">
        <f t="shared" si="198"/>
        <v/>
      </c>
      <c r="D352" s="300"/>
      <c r="E352" s="301" t="str">
        <f t="shared" si="194"/>
        <v/>
      </c>
      <c r="F352" s="302"/>
      <c r="G352" s="302"/>
      <c r="H352" s="303" t="str">
        <f t="shared" si="199"/>
        <v/>
      </c>
      <c r="I352" s="304" t="str">
        <f t="shared" si="206"/>
        <v/>
      </c>
      <c r="J352" s="302" t="str">
        <f t="shared" si="176"/>
        <v/>
      </c>
      <c r="K352" s="304" t="str">
        <f t="shared" si="195"/>
        <v/>
      </c>
      <c r="L352" s="302"/>
      <c r="M352" s="305"/>
      <c r="N352" s="304" t="str">
        <f t="shared" si="207"/>
        <v/>
      </c>
      <c r="O352" s="304">
        <f t="shared" si="203"/>
        <v>0</v>
      </c>
      <c r="P352" s="306" t="str">
        <f t="shared" si="202"/>
        <v/>
      </c>
      <c r="Q352" s="307" t="str">
        <f t="shared" si="196"/>
        <v/>
      </c>
      <c r="R352" s="304" t="str">
        <f t="shared" si="178"/>
        <v/>
      </c>
      <c r="S352" s="304" t="str">
        <f t="shared" si="204"/>
        <v/>
      </c>
      <c r="T352" s="304" t="str">
        <f t="shared" si="179"/>
        <v/>
      </c>
      <c r="U352" s="304" t="str">
        <f t="shared" si="180"/>
        <v/>
      </c>
      <c r="V352" s="303" t="str">
        <f t="shared" si="192"/>
        <v/>
      </c>
      <c r="W352" s="304" t="str">
        <f t="shared" si="205"/>
        <v/>
      </c>
      <c r="X352" s="304" t="str">
        <f t="shared" si="208"/>
        <v/>
      </c>
      <c r="Y352" s="304" t="str">
        <f t="shared" si="181"/>
        <v/>
      </c>
      <c r="Z352" s="304" t="str">
        <f t="shared" si="209"/>
        <v/>
      </c>
      <c r="AA352" s="308" t="str">
        <f t="shared" si="182"/>
        <v/>
      </c>
      <c r="AB352" s="304" t="str">
        <f t="shared" si="189"/>
        <v/>
      </c>
      <c r="AC352" s="309"/>
      <c r="AD352" s="310" t="str">
        <f t="shared" si="183"/>
        <v/>
      </c>
      <c r="AE352" s="310" t="str">
        <f t="shared" si="183"/>
        <v/>
      </c>
      <c r="AF352" s="310" t="str">
        <f t="shared" si="184"/>
        <v/>
      </c>
      <c r="AG352" s="310" t="str">
        <f t="shared" si="185"/>
        <v/>
      </c>
      <c r="AH352" s="310" t="str">
        <f t="shared" si="200"/>
        <v/>
      </c>
      <c r="AI352" s="310" t="str">
        <f t="shared" si="201"/>
        <v/>
      </c>
      <c r="AJ352" s="311" t="str">
        <f t="shared" si="186"/>
        <v/>
      </c>
      <c r="AK352" s="311" t="str" cm="1">
        <f t="array" ref="AK352">IF(OR(E352="", H352=""), "",
  IFERROR(
     (
      INDEX($AM$3:$AM$22, MATCH(E352, $AL$3:$AL$22, 1)) +
      (E352 - INDEX($AL$3:$AL$22, MATCH(E352, $AL$3:$AL$22, 1))) *
      (INDEX($AM$3:$AM$22, MATCH(E352, $AL$3:$AL$22, 1)+1) - INDEX($AM$3:$AM$22, MATCH(E352, $AL$3:$AL$22, 1))) /
      (INDEX($AL$3:$AL$22, MATCH(E352, $AL$3:$AL$22, 1)+1) - INDEX($AL$3:$AL$22, MATCH(E352, $AL$3:$AL$22, 1)))
    ) - H352,
    ""
  )
)</f>
        <v/>
      </c>
      <c r="AL352" s="338"/>
      <c r="AM352" s="339"/>
      <c r="AN352" s="340"/>
    </row>
    <row r="353" spans="1:40" s="315" customFormat="1" ht="15" customHeight="1" x14ac:dyDescent="0.35">
      <c r="A353" s="316">
        <f t="shared" si="197"/>
        <v>3</v>
      </c>
      <c r="B353" s="317">
        <f t="shared" si="197"/>
        <v>19</v>
      </c>
      <c r="C353" s="318" t="str">
        <f t="shared" si="198"/>
        <v/>
      </c>
      <c r="D353" s="319"/>
      <c r="E353" s="320" t="str">
        <f t="shared" si="194"/>
        <v/>
      </c>
      <c r="F353" s="321"/>
      <c r="G353" s="321"/>
      <c r="H353" s="322" t="str">
        <f t="shared" si="199"/>
        <v/>
      </c>
      <c r="I353" s="323" t="str">
        <f t="shared" si="206"/>
        <v/>
      </c>
      <c r="J353" s="321" t="str">
        <f t="shared" si="176"/>
        <v/>
      </c>
      <c r="K353" s="323" t="str">
        <f t="shared" si="195"/>
        <v/>
      </c>
      <c r="L353" s="321"/>
      <c r="M353" s="333"/>
      <c r="N353" s="323" t="str">
        <f t="shared" si="207"/>
        <v/>
      </c>
      <c r="O353" s="323">
        <f t="shared" si="203"/>
        <v>0</v>
      </c>
      <c r="P353" s="324" t="str">
        <f t="shared" si="202"/>
        <v/>
      </c>
      <c r="Q353" s="325" t="str">
        <f t="shared" si="196"/>
        <v/>
      </c>
      <c r="R353" s="323" t="str">
        <f t="shared" si="178"/>
        <v/>
      </c>
      <c r="S353" s="323" t="str">
        <f t="shared" si="204"/>
        <v/>
      </c>
      <c r="T353" s="323" t="str">
        <f t="shared" si="179"/>
        <v/>
      </c>
      <c r="U353" s="323" t="str">
        <f t="shared" si="180"/>
        <v/>
      </c>
      <c r="V353" s="322" t="str">
        <f t="shared" si="192"/>
        <v/>
      </c>
      <c r="W353" s="323" t="str">
        <f t="shared" si="205"/>
        <v/>
      </c>
      <c r="X353" s="323" t="str">
        <f t="shared" si="208"/>
        <v/>
      </c>
      <c r="Y353" s="323" t="str">
        <f t="shared" si="181"/>
        <v/>
      </c>
      <c r="Z353" s="323" t="str">
        <f t="shared" si="209"/>
        <v/>
      </c>
      <c r="AA353" s="326" t="str">
        <f t="shared" si="182"/>
        <v/>
      </c>
      <c r="AB353" s="323" t="str">
        <f t="shared" si="189"/>
        <v/>
      </c>
      <c r="AC353" s="327"/>
      <c r="AD353" s="328" t="str">
        <f t="shared" si="183"/>
        <v/>
      </c>
      <c r="AE353" s="328" t="str">
        <f t="shared" si="183"/>
        <v/>
      </c>
      <c r="AF353" s="328" t="str">
        <f t="shared" si="184"/>
        <v/>
      </c>
      <c r="AG353" s="328" t="str">
        <f t="shared" si="185"/>
        <v/>
      </c>
      <c r="AH353" s="328" t="str">
        <f t="shared" si="200"/>
        <v/>
      </c>
      <c r="AI353" s="328" t="str">
        <f t="shared" si="201"/>
        <v/>
      </c>
      <c r="AJ353" s="329" t="str">
        <f t="shared" si="186"/>
        <v/>
      </c>
      <c r="AK353" s="329" t="str" cm="1">
        <f t="array" ref="AK353">IF(OR(E353="", H353=""), "",
  IFERROR(
     (
      INDEX($AM$3:$AM$22, MATCH(E353, $AL$3:$AL$22, 1)) +
      (E353 - INDEX($AL$3:$AL$22, MATCH(E353, $AL$3:$AL$22, 1))) *
      (INDEX($AM$3:$AM$22, MATCH(E353, $AL$3:$AL$22, 1)+1) - INDEX($AM$3:$AM$22, MATCH(E353, $AL$3:$AL$22, 1))) /
      (INDEX($AL$3:$AL$22, MATCH(E353, $AL$3:$AL$22, 1)+1) - INDEX($AL$3:$AL$22, MATCH(E353, $AL$3:$AL$22, 1)))
    ) - H353,
    ""
  )
)</f>
        <v/>
      </c>
      <c r="AL353" s="341"/>
      <c r="AM353" s="342"/>
      <c r="AN353" s="343"/>
    </row>
    <row r="354" spans="1:40" s="315" customFormat="1" ht="15" customHeight="1" x14ac:dyDescent="0.35">
      <c r="A354" s="297">
        <f t="shared" si="197"/>
        <v>3</v>
      </c>
      <c r="B354" s="298">
        <f t="shared" si="197"/>
        <v>19</v>
      </c>
      <c r="C354" s="299" t="str">
        <f t="shared" si="198"/>
        <v/>
      </c>
      <c r="D354" s="300"/>
      <c r="E354" s="301" t="str">
        <f t="shared" si="194"/>
        <v/>
      </c>
      <c r="F354" s="302"/>
      <c r="G354" s="302"/>
      <c r="H354" s="303" t="str">
        <f t="shared" si="199"/>
        <v/>
      </c>
      <c r="I354" s="304" t="str">
        <f t="shared" si="206"/>
        <v/>
      </c>
      <c r="J354" s="302" t="str">
        <f t="shared" si="176"/>
        <v/>
      </c>
      <c r="K354" s="304" t="str">
        <f t="shared" si="195"/>
        <v/>
      </c>
      <c r="L354" s="302"/>
      <c r="M354" s="305"/>
      <c r="N354" s="304" t="str">
        <f t="shared" si="207"/>
        <v/>
      </c>
      <c r="O354" s="304">
        <f t="shared" si="203"/>
        <v>0</v>
      </c>
      <c r="P354" s="306" t="str">
        <f t="shared" si="202"/>
        <v/>
      </c>
      <c r="Q354" s="307" t="str">
        <f t="shared" si="196"/>
        <v/>
      </c>
      <c r="R354" s="304" t="str">
        <f t="shared" si="178"/>
        <v/>
      </c>
      <c r="S354" s="304" t="str">
        <f t="shared" si="204"/>
        <v/>
      </c>
      <c r="T354" s="304" t="str">
        <f t="shared" si="179"/>
        <v/>
      </c>
      <c r="U354" s="304" t="str">
        <f t="shared" si="180"/>
        <v/>
      </c>
      <c r="V354" s="303" t="str">
        <f t="shared" si="192"/>
        <v/>
      </c>
      <c r="W354" s="304" t="str">
        <f t="shared" si="205"/>
        <v/>
      </c>
      <c r="X354" s="304" t="str">
        <f t="shared" si="208"/>
        <v/>
      </c>
      <c r="Y354" s="304" t="str">
        <f t="shared" si="181"/>
        <v/>
      </c>
      <c r="Z354" s="304" t="str">
        <f t="shared" si="209"/>
        <v/>
      </c>
      <c r="AA354" s="308" t="str">
        <f t="shared" si="182"/>
        <v/>
      </c>
      <c r="AB354" s="304" t="str">
        <f t="shared" si="189"/>
        <v/>
      </c>
      <c r="AC354" s="309"/>
      <c r="AD354" s="310" t="str">
        <f t="shared" si="183"/>
        <v/>
      </c>
      <c r="AE354" s="310" t="str">
        <f t="shared" si="183"/>
        <v/>
      </c>
      <c r="AF354" s="310" t="str">
        <f t="shared" si="184"/>
        <v/>
      </c>
      <c r="AG354" s="310" t="str">
        <f t="shared" si="185"/>
        <v/>
      </c>
      <c r="AH354" s="310" t="str">
        <f t="shared" si="200"/>
        <v/>
      </c>
      <c r="AI354" s="310" t="str">
        <f t="shared" si="201"/>
        <v/>
      </c>
      <c r="AJ354" s="311" t="str">
        <f t="shared" si="186"/>
        <v/>
      </c>
      <c r="AK354" s="311" t="str" cm="1">
        <f t="array" ref="AK354">IF(OR(E354="", H354=""), "",
  IFERROR(
     (
      INDEX($AM$3:$AM$22, MATCH(E354, $AL$3:$AL$22, 1)) +
      (E354 - INDEX($AL$3:$AL$22, MATCH(E354, $AL$3:$AL$22, 1))) *
      (INDEX($AM$3:$AM$22, MATCH(E354, $AL$3:$AL$22, 1)+1) - INDEX($AM$3:$AM$22, MATCH(E354, $AL$3:$AL$22, 1))) /
      (INDEX($AL$3:$AL$22, MATCH(E354, $AL$3:$AL$22, 1)+1) - INDEX($AL$3:$AL$22, MATCH(E354, $AL$3:$AL$22, 1)))
    ) - H354,
    ""
  )
)</f>
        <v/>
      </c>
      <c r="AL354" s="338"/>
      <c r="AM354" s="339"/>
      <c r="AN354" s="340"/>
    </row>
    <row r="355" spans="1:40" s="315" customFormat="1" ht="15" customHeight="1" x14ac:dyDescent="0.35">
      <c r="A355" s="316">
        <f t="shared" si="197"/>
        <v>3</v>
      </c>
      <c r="B355" s="317">
        <f t="shared" si="197"/>
        <v>19</v>
      </c>
      <c r="C355" s="318" t="str">
        <f t="shared" si="198"/>
        <v/>
      </c>
      <c r="D355" s="319"/>
      <c r="E355" s="320" t="str">
        <f t="shared" si="194"/>
        <v/>
      </c>
      <c r="F355" s="321"/>
      <c r="G355" s="321"/>
      <c r="H355" s="322" t="str">
        <f t="shared" si="199"/>
        <v/>
      </c>
      <c r="I355" s="323" t="str">
        <f t="shared" si="206"/>
        <v/>
      </c>
      <c r="J355" s="321" t="str">
        <f t="shared" si="176"/>
        <v/>
      </c>
      <c r="K355" s="323" t="str">
        <f t="shared" si="195"/>
        <v/>
      </c>
      <c r="L355" s="321"/>
      <c r="M355" s="333"/>
      <c r="N355" s="323" t="str">
        <f t="shared" si="207"/>
        <v/>
      </c>
      <c r="O355" s="323">
        <f t="shared" si="203"/>
        <v>0</v>
      </c>
      <c r="P355" s="324" t="str">
        <f t="shared" si="202"/>
        <v/>
      </c>
      <c r="Q355" s="325" t="str">
        <f t="shared" si="196"/>
        <v/>
      </c>
      <c r="R355" s="323" t="str">
        <f t="shared" si="178"/>
        <v/>
      </c>
      <c r="S355" s="323" t="str">
        <f t="shared" si="204"/>
        <v/>
      </c>
      <c r="T355" s="323" t="str">
        <f t="shared" si="179"/>
        <v/>
      </c>
      <c r="U355" s="323" t="str">
        <f t="shared" si="180"/>
        <v/>
      </c>
      <c r="V355" s="322" t="str">
        <f t="shared" si="192"/>
        <v/>
      </c>
      <c r="W355" s="323" t="str">
        <f t="shared" si="205"/>
        <v/>
      </c>
      <c r="X355" s="323" t="str">
        <f t="shared" si="208"/>
        <v/>
      </c>
      <c r="Y355" s="323" t="str">
        <f t="shared" si="181"/>
        <v/>
      </c>
      <c r="Z355" s="323" t="str">
        <f t="shared" si="209"/>
        <v/>
      </c>
      <c r="AA355" s="326" t="str">
        <f t="shared" si="182"/>
        <v/>
      </c>
      <c r="AB355" s="323" t="str">
        <f t="shared" si="189"/>
        <v/>
      </c>
      <c r="AC355" s="327"/>
      <c r="AD355" s="328" t="str">
        <f t="shared" si="183"/>
        <v/>
      </c>
      <c r="AE355" s="328" t="str">
        <f t="shared" si="183"/>
        <v/>
      </c>
      <c r="AF355" s="328" t="str">
        <f t="shared" si="184"/>
        <v/>
      </c>
      <c r="AG355" s="328" t="str">
        <f t="shared" si="185"/>
        <v/>
      </c>
      <c r="AH355" s="328" t="str">
        <f t="shared" si="200"/>
        <v/>
      </c>
      <c r="AI355" s="328" t="str">
        <f t="shared" si="201"/>
        <v/>
      </c>
      <c r="AJ355" s="329" t="str">
        <f t="shared" si="186"/>
        <v/>
      </c>
      <c r="AK355" s="329" t="str" cm="1">
        <f t="array" ref="AK355">IF(OR(E355="", H355=""), "",
  IFERROR(
     (
      INDEX($AM$3:$AM$22, MATCH(E355, $AL$3:$AL$22, 1)) +
      (E355 - INDEX($AL$3:$AL$22, MATCH(E355, $AL$3:$AL$22, 1))) *
      (INDEX($AM$3:$AM$22, MATCH(E355, $AL$3:$AL$22, 1)+1) - INDEX($AM$3:$AM$22, MATCH(E355, $AL$3:$AL$22, 1))) /
      (INDEX($AL$3:$AL$22, MATCH(E355, $AL$3:$AL$22, 1)+1) - INDEX($AL$3:$AL$22, MATCH(E355, $AL$3:$AL$22, 1)))
    ) - H355,
    ""
  )
)</f>
        <v/>
      </c>
      <c r="AL355" s="341"/>
      <c r="AM355" s="342"/>
      <c r="AN355" s="343"/>
    </row>
    <row r="356" spans="1:40" s="315" customFormat="1" ht="15" customHeight="1" x14ac:dyDescent="0.35">
      <c r="A356" s="297">
        <f t="shared" si="197"/>
        <v>3</v>
      </c>
      <c r="B356" s="298">
        <f t="shared" si="197"/>
        <v>19</v>
      </c>
      <c r="C356" s="299" t="str">
        <f t="shared" si="198"/>
        <v/>
      </c>
      <c r="D356" s="300"/>
      <c r="E356" s="301" t="str">
        <f t="shared" si="194"/>
        <v/>
      </c>
      <c r="F356" s="302"/>
      <c r="G356" s="302"/>
      <c r="H356" s="303" t="str">
        <f t="shared" si="199"/>
        <v/>
      </c>
      <c r="I356" s="304" t="str">
        <f t="shared" si="206"/>
        <v/>
      </c>
      <c r="J356" s="302" t="str">
        <f t="shared" si="176"/>
        <v/>
      </c>
      <c r="K356" s="304" t="str">
        <f t="shared" si="195"/>
        <v/>
      </c>
      <c r="L356" s="302"/>
      <c r="M356" s="305"/>
      <c r="N356" s="304" t="str">
        <f t="shared" si="207"/>
        <v/>
      </c>
      <c r="O356" s="304">
        <f t="shared" si="203"/>
        <v>0</v>
      </c>
      <c r="P356" s="306" t="str">
        <f t="shared" si="202"/>
        <v/>
      </c>
      <c r="Q356" s="307" t="str">
        <f t="shared" si="196"/>
        <v/>
      </c>
      <c r="R356" s="304" t="str">
        <f t="shared" si="178"/>
        <v/>
      </c>
      <c r="S356" s="304" t="str">
        <f t="shared" si="204"/>
        <v/>
      </c>
      <c r="T356" s="304" t="str">
        <f t="shared" si="179"/>
        <v/>
      </c>
      <c r="U356" s="304" t="str">
        <f t="shared" si="180"/>
        <v/>
      </c>
      <c r="V356" s="303" t="str">
        <f t="shared" si="192"/>
        <v/>
      </c>
      <c r="W356" s="304" t="str">
        <f t="shared" si="205"/>
        <v/>
      </c>
      <c r="X356" s="304" t="str">
        <f t="shared" si="208"/>
        <v/>
      </c>
      <c r="Y356" s="304" t="str">
        <f t="shared" si="181"/>
        <v/>
      </c>
      <c r="Z356" s="304" t="str">
        <f t="shared" si="209"/>
        <v/>
      </c>
      <c r="AA356" s="308" t="str">
        <f t="shared" si="182"/>
        <v/>
      </c>
      <c r="AB356" s="304" t="str">
        <f t="shared" si="189"/>
        <v/>
      </c>
      <c r="AC356" s="309"/>
      <c r="AD356" s="310" t="str">
        <f t="shared" si="183"/>
        <v/>
      </c>
      <c r="AE356" s="310" t="str">
        <f t="shared" si="183"/>
        <v/>
      </c>
      <c r="AF356" s="310" t="str">
        <f t="shared" si="184"/>
        <v/>
      </c>
      <c r="AG356" s="310" t="str">
        <f t="shared" si="185"/>
        <v/>
      </c>
      <c r="AH356" s="310" t="str">
        <f t="shared" si="200"/>
        <v/>
      </c>
      <c r="AI356" s="310" t="str">
        <f t="shared" si="201"/>
        <v/>
      </c>
      <c r="AJ356" s="311" t="str">
        <f t="shared" si="186"/>
        <v/>
      </c>
      <c r="AK356" s="311" t="str" cm="1">
        <f t="array" ref="AK356">IF(OR(E356="", H356=""), "",
  IFERROR(
     (
      INDEX($AM$3:$AM$22, MATCH(E356, $AL$3:$AL$22, 1)) +
      (E356 - INDEX($AL$3:$AL$22, MATCH(E356, $AL$3:$AL$22, 1))) *
      (INDEX($AM$3:$AM$22, MATCH(E356, $AL$3:$AL$22, 1)+1) - INDEX($AM$3:$AM$22, MATCH(E356, $AL$3:$AL$22, 1))) /
      (INDEX($AL$3:$AL$22, MATCH(E356, $AL$3:$AL$22, 1)+1) - INDEX($AL$3:$AL$22, MATCH(E356, $AL$3:$AL$22, 1)))
    ) - H356,
    ""
  )
)</f>
        <v/>
      </c>
      <c r="AL356" s="338"/>
      <c r="AM356" s="339"/>
      <c r="AN356" s="340"/>
    </row>
    <row r="357" spans="1:40" s="315" customFormat="1" ht="15" customHeight="1" x14ac:dyDescent="0.35">
      <c r="A357" s="316">
        <f t="shared" si="197"/>
        <v>3</v>
      </c>
      <c r="B357" s="317">
        <f t="shared" si="197"/>
        <v>19</v>
      </c>
      <c r="C357" s="318" t="str">
        <f t="shared" si="198"/>
        <v/>
      </c>
      <c r="D357" s="319"/>
      <c r="E357" s="320" t="str">
        <f t="shared" si="194"/>
        <v/>
      </c>
      <c r="F357" s="321"/>
      <c r="G357" s="321"/>
      <c r="H357" s="322" t="str">
        <f t="shared" si="199"/>
        <v/>
      </c>
      <c r="I357" s="323" t="str">
        <f t="shared" si="206"/>
        <v/>
      </c>
      <c r="J357" s="321" t="str">
        <f t="shared" si="176"/>
        <v/>
      </c>
      <c r="K357" s="323" t="str">
        <f t="shared" si="195"/>
        <v/>
      </c>
      <c r="L357" s="321"/>
      <c r="M357" s="333"/>
      <c r="N357" s="323" t="str">
        <f t="shared" si="207"/>
        <v/>
      </c>
      <c r="O357" s="323">
        <f t="shared" si="203"/>
        <v>0</v>
      </c>
      <c r="P357" s="324" t="str">
        <f t="shared" si="202"/>
        <v/>
      </c>
      <c r="Q357" s="325" t="str">
        <f t="shared" si="196"/>
        <v/>
      </c>
      <c r="R357" s="323" t="str">
        <f t="shared" si="178"/>
        <v/>
      </c>
      <c r="S357" s="323" t="str">
        <f t="shared" si="204"/>
        <v/>
      </c>
      <c r="T357" s="323" t="str">
        <f t="shared" si="179"/>
        <v/>
      </c>
      <c r="U357" s="323" t="str">
        <f t="shared" si="180"/>
        <v/>
      </c>
      <c r="V357" s="322" t="str">
        <f t="shared" si="192"/>
        <v/>
      </c>
      <c r="W357" s="323" t="str">
        <f t="shared" si="205"/>
        <v/>
      </c>
      <c r="X357" s="323" t="str">
        <f t="shared" si="208"/>
        <v/>
      </c>
      <c r="Y357" s="323" t="str">
        <f t="shared" si="181"/>
        <v/>
      </c>
      <c r="Z357" s="323" t="str">
        <f t="shared" si="209"/>
        <v/>
      </c>
      <c r="AA357" s="326" t="str">
        <f t="shared" si="182"/>
        <v/>
      </c>
      <c r="AB357" s="323" t="str">
        <f t="shared" si="189"/>
        <v/>
      </c>
      <c r="AC357" s="327"/>
      <c r="AD357" s="328" t="str">
        <f t="shared" si="183"/>
        <v/>
      </c>
      <c r="AE357" s="328" t="str">
        <f t="shared" si="183"/>
        <v/>
      </c>
      <c r="AF357" s="328" t="str">
        <f t="shared" si="184"/>
        <v/>
      </c>
      <c r="AG357" s="328" t="str">
        <f t="shared" si="185"/>
        <v/>
      </c>
      <c r="AH357" s="328" t="str">
        <f t="shared" si="200"/>
        <v/>
      </c>
      <c r="AI357" s="328" t="str">
        <f t="shared" si="201"/>
        <v/>
      </c>
      <c r="AJ357" s="329" t="str">
        <f t="shared" si="186"/>
        <v/>
      </c>
      <c r="AK357" s="329" t="str" cm="1">
        <f t="array" ref="AK357">IF(OR(E357="", H357=""), "",
  IFERROR(
     (
      INDEX($AM$3:$AM$22, MATCH(E357, $AL$3:$AL$22, 1)) +
      (E357 - INDEX($AL$3:$AL$22, MATCH(E357, $AL$3:$AL$22, 1))) *
      (INDEX($AM$3:$AM$22, MATCH(E357, $AL$3:$AL$22, 1)+1) - INDEX($AM$3:$AM$22, MATCH(E357, $AL$3:$AL$22, 1))) /
      (INDEX($AL$3:$AL$22, MATCH(E357, $AL$3:$AL$22, 1)+1) - INDEX($AL$3:$AL$22, MATCH(E357, $AL$3:$AL$22, 1)))
    ) - H357,
    ""
  )
)</f>
        <v/>
      </c>
      <c r="AL357" s="341"/>
      <c r="AM357" s="342"/>
      <c r="AN357" s="343"/>
    </row>
    <row r="358" spans="1:40" s="315" customFormat="1" ht="15" customHeight="1" x14ac:dyDescent="0.35">
      <c r="A358" s="297">
        <f t="shared" si="197"/>
        <v>3</v>
      </c>
      <c r="B358" s="298">
        <f t="shared" si="197"/>
        <v>19</v>
      </c>
      <c r="C358" s="299" t="str">
        <f t="shared" si="198"/>
        <v/>
      </c>
      <c r="D358" s="300"/>
      <c r="E358" s="301" t="str">
        <f t="shared" si="194"/>
        <v/>
      </c>
      <c r="F358" s="302"/>
      <c r="G358" s="302"/>
      <c r="H358" s="303" t="str">
        <f t="shared" si="199"/>
        <v/>
      </c>
      <c r="I358" s="304" t="str">
        <f t="shared" si="206"/>
        <v/>
      </c>
      <c r="J358" s="302" t="str">
        <f t="shared" si="176"/>
        <v/>
      </c>
      <c r="K358" s="304" t="str">
        <f t="shared" si="195"/>
        <v/>
      </c>
      <c r="L358" s="302"/>
      <c r="M358" s="305"/>
      <c r="N358" s="304" t="str">
        <f t="shared" si="207"/>
        <v/>
      </c>
      <c r="O358" s="304">
        <f t="shared" si="203"/>
        <v>0</v>
      </c>
      <c r="P358" s="306" t="str">
        <f t="shared" si="202"/>
        <v/>
      </c>
      <c r="Q358" s="307" t="str">
        <f t="shared" si="196"/>
        <v/>
      </c>
      <c r="R358" s="304" t="str">
        <f t="shared" si="178"/>
        <v/>
      </c>
      <c r="S358" s="304" t="str">
        <f t="shared" si="204"/>
        <v/>
      </c>
      <c r="T358" s="304" t="str">
        <f t="shared" si="179"/>
        <v/>
      </c>
      <c r="U358" s="304" t="str">
        <f t="shared" si="180"/>
        <v/>
      </c>
      <c r="V358" s="303" t="str">
        <f t="shared" si="192"/>
        <v/>
      </c>
      <c r="W358" s="304" t="str">
        <f t="shared" si="205"/>
        <v/>
      </c>
      <c r="X358" s="304" t="str">
        <f t="shared" si="208"/>
        <v/>
      </c>
      <c r="Y358" s="304" t="str">
        <f t="shared" si="181"/>
        <v/>
      </c>
      <c r="Z358" s="304" t="str">
        <f t="shared" si="209"/>
        <v/>
      </c>
      <c r="AA358" s="308" t="str">
        <f t="shared" si="182"/>
        <v/>
      </c>
      <c r="AB358" s="304" t="str">
        <f t="shared" si="189"/>
        <v/>
      </c>
      <c r="AC358" s="309"/>
      <c r="AD358" s="310" t="str">
        <f t="shared" si="183"/>
        <v/>
      </c>
      <c r="AE358" s="310" t="str">
        <f t="shared" si="183"/>
        <v/>
      </c>
      <c r="AF358" s="310" t="str">
        <f t="shared" si="184"/>
        <v/>
      </c>
      <c r="AG358" s="310" t="str">
        <f t="shared" si="185"/>
        <v/>
      </c>
      <c r="AH358" s="310" t="str">
        <f t="shared" si="200"/>
        <v/>
      </c>
      <c r="AI358" s="310" t="str">
        <f t="shared" si="201"/>
        <v/>
      </c>
      <c r="AJ358" s="311" t="str">
        <f t="shared" si="186"/>
        <v/>
      </c>
      <c r="AK358" s="311" t="str" cm="1">
        <f t="array" ref="AK358">IF(OR(E358="", H358=""), "",
  IFERROR(
     (
      INDEX($AM$3:$AM$22, MATCH(E358, $AL$3:$AL$22, 1)) +
      (E358 - INDEX($AL$3:$AL$22, MATCH(E358, $AL$3:$AL$22, 1))) *
      (INDEX($AM$3:$AM$22, MATCH(E358, $AL$3:$AL$22, 1)+1) - INDEX($AM$3:$AM$22, MATCH(E358, $AL$3:$AL$22, 1))) /
      (INDEX($AL$3:$AL$22, MATCH(E358, $AL$3:$AL$22, 1)+1) - INDEX($AL$3:$AL$22, MATCH(E358, $AL$3:$AL$22, 1)))
    ) - H358,
    ""
  )
)</f>
        <v/>
      </c>
      <c r="AL358" s="338"/>
      <c r="AM358" s="339"/>
      <c r="AN358" s="340"/>
    </row>
    <row r="359" spans="1:40" s="315" customFormat="1" ht="15" customHeight="1" x14ac:dyDescent="0.35">
      <c r="A359" s="316">
        <f t="shared" si="197"/>
        <v>3</v>
      </c>
      <c r="B359" s="317">
        <f t="shared" si="197"/>
        <v>19</v>
      </c>
      <c r="C359" s="318" t="str">
        <f t="shared" si="198"/>
        <v/>
      </c>
      <c r="D359" s="319"/>
      <c r="E359" s="320" t="str">
        <f t="shared" si="194"/>
        <v/>
      </c>
      <c r="F359" s="321"/>
      <c r="G359" s="321"/>
      <c r="H359" s="322" t="str">
        <f t="shared" si="199"/>
        <v/>
      </c>
      <c r="I359" s="323" t="str">
        <f t="shared" si="206"/>
        <v/>
      </c>
      <c r="J359" s="321" t="str">
        <f t="shared" si="176"/>
        <v/>
      </c>
      <c r="K359" s="323" t="str">
        <f t="shared" si="195"/>
        <v/>
      </c>
      <c r="L359" s="321"/>
      <c r="M359" s="333"/>
      <c r="N359" s="323" t="str">
        <f t="shared" si="207"/>
        <v/>
      </c>
      <c r="O359" s="323">
        <f t="shared" si="203"/>
        <v>0</v>
      </c>
      <c r="P359" s="324" t="str">
        <f t="shared" si="202"/>
        <v/>
      </c>
      <c r="Q359" s="325" t="str">
        <f t="shared" si="196"/>
        <v/>
      </c>
      <c r="R359" s="323" t="str">
        <f t="shared" si="178"/>
        <v/>
      </c>
      <c r="S359" s="323" t="str">
        <f t="shared" si="204"/>
        <v/>
      </c>
      <c r="T359" s="323" t="str">
        <f t="shared" si="179"/>
        <v/>
      </c>
      <c r="U359" s="323" t="str">
        <f t="shared" si="180"/>
        <v/>
      </c>
      <c r="V359" s="322" t="str">
        <f t="shared" si="192"/>
        <v/>
      </c>
      <c r="W359" s="323" t="str">
        <f t="shared" si="205"/>
        <v/>
      </c>
      <c r="X359" s="323" t="str">
        <f t="shared" si="208"/>
        <v/>
      </c>
      <c r="Y359" s="323" t="str">
        <f t="shared" si="181"/>
        <v/>
      </c>
      <c r="Z359" s="323" t="str">
        <f t="shared" si="209"/>
        <v/>
      </c>
      <c r="AA359" s="326" t="str">
        <f t="shared" si="182"/>
        <v/>
      </c>
      <c r="AB359" s="323" t="str">
        <f t="shared" si="189"/>
        <v/>
      </c>
      <c r="AC359" s="327"/>
      <c r="AD359" s="328" t="str">
        <f t="shared" si="183"/>
        <v/>
      </c>
      <c r="AE359" s="328" t="str">
        <f t="shared" si="183"/>
        <v/>
      </c>
      <c r="AF359" s="328" t="str">
        <f t="shared" si="184"/>
        <v/>
      </c>
      <c r="AG359" s="328" t="str">
        <f t="shared" si="185"/>
        <v/>
      </c>
      <c r="AH359" s="328" t="str">
        <f t="shared" si="200"/>
        <v/>
      </c>
      <c r="AI359" s="328" t="str">
        <f t="shared" si="201"/>
        <v/>
      </c>
      <c r="AJ359" s="329" t="str">
        <f t="shared" si="186"/>
        <v/>
      </c>
      <c r="AK359" s="329" t="str" cm="1">
        <f t="array" ref="AK359">IF(OR(E359="", H359=""), "",
  IFERROR(
     (
      INDEX($AM$3:$AM$22, MATCH(E359, $AL$3:$AL$22, 1)) +
      (E359 - INDEX($AL$3:$AL$22, MATCH(E359, $AL$3:$AL$22, 1))) *
      (INDEX($AM$3:$AM$22, MATCH(E359, $AL$3:$AL$22, 1)+1) - INDEX($AM$3:$AM$22, MATCH(E359, $AL$3:$AL$22, 1))) /
      (INDEX($AL$3:$AL$22, MATCH(E359, $AL$3:$AL$22, 1)+1) - INDEX($AL$3:$AL$22, MATCH(E359, $AL$3:$AL$22, 1)))
    ) - H359,
    ""
  )
)</f>
        <v/>
      </c>
      <c r="AL359" s="341"/>
      <c r="AM359" s="342"/>
      <c r="AN359" s="343"/>
    </row>
    <row r="360" spans="1:40" s="315" customFormat="1" ht="15" customHeight="1" x14ac:dyDescent="0.35">
      <c r="A360" s="297">
        <f t="shared" si="197"/>
        <v>3</v>
      </c>
      <c r="B360" s="298">
        <f t="shared" si="197"/>
        <v>19</v>
      </c>
      <c r="C360" s="299" t="str">
        <f t="shared" si="198"/>
        <v/>
      </c>
      <c r="D360" s="300"/>
      <c r="E360" s="301" t="str">
        <f t="shared" si="194"/>
        <v/>
      </c>
      <c r="F360" s="302"/>
      <c r="G360" s="302"/>
      <c r="H360" s="303" t="str">
        <f t="shared" si="199"/>
        <v/>
      </c>
      <c r="I360" s="304" t="str">
        <f t="shared" si="206"/>
        <v/>
      </c>
      <c r="J360" s="302" t="str">
        <f t="shared" si="176"/>
        <v/>
      </c>
      <c r="K360" s="304" t="str">
        <f t="shared" si="195"/>
        <v/>
      </c>
      <c r="L360" s="302"/>
      <c r="M360" s="305"/>
      <c r="N360" s="304" t="str">
        <f t="shared" si="207"/>
        <v/>
      </c>
      <c r="O360" s="304">
        <f t="shared" si="203"/>
        <v>0</v>
      </c>
      <c r="P360" s="306" t="str">
        <f t="shared" si="202"/>
        <v/>
      </c>
      <c r="Q360" s="307" t="str">
        <f t="shared" si="196"/>
        <v/>
      </c>
      <c r="R360" s="304" t="str">
        <f t="shared" si="178"/>
        <v/>
      </c>
      <c r="S360" s="304" t="str">
        <f t="shared" si="204"/>
        <v/>
      </c>
      <c r="T360" s="304" t="str">
        <f t="shared" si="179"/>
        <v/>
      </c>
      <c r="U360" s="304" t="str">
        <f t="shared" si="180"/>
        <v/>
      </c>
      <c r="V360" s="303" t="str">
        <f t="shared" si="192"/>
        <v/>
      </c>
      <c r="W360" s="304" t="str">
        <f t="shared" si="205"/>
        <v/>
      </c>
      <c r="X360" s="304" t="str">
        <f t="shared" si="208"/>
        <v/>
      </c>
      <c r="Y360" s="304" t="str">
        <f t="shared" si="181"/>
        <v/>
      </c>
      <c r="Z360" s="304" t="str">
        <f t="shared" si="209"/>
        <v/>
      </c>
      <c r="AA360" s="308" t="str">
        <f t="shared" si="182"/>
        <v/>
      </c>
      <c r="AB360" s="304" t="str">
        <f t="shared" si="189"/>
        <v/>
      </c>
      <c r="AC360" s="309"/>
      <c r="AD360" s="310" t="str">
        <f t="shared" si="183"/>
        <v/>
      </c>
      <c r="AE360" s="310" t="str">
        <f t="shared" si="183"/>
        <v/>
      </c>
      <c r="AF360" s="310" t="str">
        <f t="shared" si="184"/>
        <v/>
      </c>
      <c r="AG360" s="310" t="str">
        <f t="shared" si="185"/>
        <v/>
      </c>
      <c r="AH360" s="310" t="str">
        <f t="shared" si="200"/>
        <v/>
      </c>
      <c r="AI360" s="310" t="str">
        <f t="shared" si="201"/>
        <v/>
      </c>
      <c r="AJ360" s="311" t="str">
        <f t="shared" si="186"/>
        <v/>
      </c>
      <c r="AK360" s="311" t="str" cm="1">
        <f t="array" ref="AK360">IF(OR(E360="", H360=""), "",
  IFERROR(
     (
      INDEX($AM$3:$AM$22, MATCH(E360, $AL$3:$AL$22, 1)) +
      (E360 - INDEX($AL$3:$AL$22, MATCH(E360, $AL$3:$AL$22, 1))) *
      (INDEX($AM$3:$AM$22, MATCH(E360, $AL$3:$AL$22, 1)+1) - INDEX($AM$3:$AM$22, MATCH(E360, $AL$3:$AL$22, 1))) /
      (INDEX($AL$3:$AL$22, MATCH(E360, $AL$3:$AL$22, 1)+1) - INDEX($AL$3:$AL$22, MATCH(E360, $AL$3:$AL$22, 1)))
    ) - H360,
    ""
  )
)</f>
        <v/>
      </c>
      <c r="AL360" s="338"/>
      <c r="AM360" s="339"/>
      <c r="AN360" s="340"/>
    </row>
    <row r="361" spans="1:40" s="315" customFormat="1" ht="15" customHeight="1" x14ac:dyDescent="0.35">
      <c r="A361" s="316">
        <f t="shared" ref="A361:B376" si="210">+A360</f>
        <v>3</v>
      </c>
      <c r="B361" s="317">
        <f t="shared" si="210"/>
        <v>19</v>
      </c>
      <c r="C361" s="318" t="str">
        <f t="shared" si="198"/>
        <v/>
      </c>
      <c r="D361" s="319"/>
      <c r="E361" s="320" t="str">
        <f t="shared" si="194"/>
        <v/>
      </c>
      <c r="F361" s="321"/>
      <c r="G361" s="321"/>
      <c r="H361" s="322" t="str">
        <f t="shared" si="199"/>
        <v/>
      </c>
      <c r="I361" s="323" t="str">
        <f t="shared" si="206"/>
        <v/>
      </c>
      <c r="J361" s="321" t="str">
        <f t="shared" si="176"/>
        <v/>
      </c>
      <c r="K361" s="323" t="str">
        <f t="shared" si="195"/>
        <v/>
      </c>
      <c r="L361" s="321"/>
      <c r="M361" s="333"/>
      <c r="N361" s="323" t="str">
        <f t="shared" si="207"/>
        <v/>
      </c>
      <c r="O361" s="323">
        <f t="shared" si="203"/>
        <v>0</v>
      </c>
      <c r="P361" s="324" t="str">
        <f t="shared" si="202"/>
        <v/>
      </c>
      <c r="Q361" s="325" t="str">
        <f t="shared" si="196"/>
        <v/>
      </c>
      <c r="R361" s="323" t="str">
        <f t="shared" si="178"/>
        <v/>
      </c>
      <c r="S361" s="323" t="str">
        <f t="shared" si="204"/>
        <v/>
      </c>
      <c r="T361" s="323" t="str">
        <f t="shared" si="179"/>
        <v/>
      </c>
      <c r="U361" s="323" t="str">
        <f t="shared" si="180"/>
        <v/>
      </c>
      <c r="V361" s="322" t="str">
        <f t="shared" si="192"/>
        <v/>
      </c>
      <c r="W361" s="323" t="str">
        <f t="shared" si="205"/>
        <v/>
      </c>
      <c r="X361" s="323" t="str">
        <f t="shared" si="208"/>
        <v/>
      </c>
      <c r="Y361" s="323" t="str">
        <f t="shared" si="181"/>
        <v/>
      </c>
      <c r="Z361" s="323" t="str">
        <f t="shared" si="209"/>
        <v/>
      </c>
      <c r="AA361" s="326" t="str">
        <f t="shared" si="182"/>
        <v/>
      </c>
      <c r="AB361" s="323" t="str">
        <f t="shared" si="189"/>
        <v/>
      </c>
      <c r="AC361" s="327"/>
      <c r="AD361" s="328" t="str">
        <f t="shared" si="183"/>
        <v/>
      </c>
      <c r="AE361" s="328" t="str">
        <f t="shared" si="183"/>
        <v/>
      </c>
      <c r="AF361" s="328" t="str">
        <f t="shared" si="184"/>
        <v/>
      </c>
      <c r="AG361" s="328" t="str">
        <f t="shared" si="185"/>
        <v/>
      </c>
      <c r="AH361" s="328" t="str">
        <f t="shared" si="200"/>
        <v/>
      </c>
      <c r="AI361" s="328" t="str">
        <f t="shared" si="201"/>
        <v/>
      </c>
      <c r="AJ361" s="329" t="str">
        <f t="shared" si="186"/>
        <v/>
      </c>
      <c r="AK361" s="329" t="str" cm="1">
        <f t="array" ref="AK361">IF(OR(E361="", H361=""), "",
  IFERROR(
     (
      INDEX($AM$3:$AM$22, MATCH(E361, $AL$3:$AL$22, 1)) +
      (E361 - INDEX($AL$3:$AL$22, MATCH(E361, $AL$3:$AL$22, 1))) *
      (INDEX($AM$3:$AM$22, MATCH(E361, $AL$3:$AL$22, 1)+1) - INDEX($AM$3:$AM$22, MATCH(E361, $AL$3:$AL$22, 1))) /
      (INDEX($AL$3:$AL$22, MATCH(E361, $AL$3:$AL$22, 1)+1) - INDEX($AL$3:$AL$22, MATCH(E361, $AL$3:$AL$22, 1)))
    ) - H361,
    ""
  )
)</f>
        <v/>
      </c>
      <c r="AL361" s="341"/>
      <c r="AM361" s="342"/>
      <c r="AN361" s="343"/>
    </row>
    <row r="362" spans="1:40" s="315" customFormat="1" ht="15" customHeight="1" x14ac:dyDescent="0.35">
      <c r="A362" s="297">
        <f t="shared" si="210"/>
        <v>3</v>
      </c>
      <c r="B362" s="298">
        <f t="shared" si="210"/>
        <v>19</v>
      </c>
      <c r="C362" s="299" t="str">
        <f t="shared" si="198"/>
        <v/>
      </c>
      <c r="D362" s="300"/>
      <c r="E362" s="301" t="str">
        <f t="shared" si="194"/>
        <v/>
      </c>
      <c r="F362" s="302"/>
      <c r="G362" s="302"/>
      <c r="H362" s="303" t="str">
        <f t="shared" si="199"/>
        <v/>
      </c>
      <c r="I362" s="304" t="str">
        <f t="shared" si="206"/>
        <v/>
      </c>
      <c r="J362" s="302" t="str">
        <f t="shared" si="176"/>
        <v/>
      </c>
      <c r="K362" s="304" t="str">
        <f t="shared" si="195"/>
        <v/>
      </c>
      <c r="L362" s="302"/>
      <c r="M362" s="305"/>
      <c r="N362" s="304" t="str">
        <f t="shared" si="207"/>
        <v/>
      </c>
      <c r="O362" s="304">
        <f t="shared" si="203"/>
        <v>0</v>
      </c>
      <c r="P362" s="306" t="str">
        <f t="shared" si="202"/>
        <v/>
      </c>
      <c r="Q362" s="307" t="str">
        <f t="shared" si="196"/>
        <v/>
      </c>
      <c r="R362" s="304" t="str">
        <f t="shared" si="178"/>
        <v/>
      </c>
      <c r="S362" s="304" t="str">
        <f t="shared" si="204"/>
        <v/>
      </c>
      <c r="T362" s="304" t="str">
        <f t="shared" si="179"/>
        <v/>
      </c>
      <c r="U362" s="304" t="str">
        <f t="shared" si="180"/>
        <v/>
      </c>
      <c r="V362" s="303" t="str">
        <f t="shared" si="192"/>
        <v/>
      </c>
      <c r="W362" s="304" t="str">
        <f t="shared" si="205"/>
        <v/>
      </c>
      <c r="X362" s="304" t="str">
        <f t="shared" si="208"/>
        <v/>
      </c>
      <c r="Y362" s="304" t="str">
        <f t="shared" si="181"/>
        <v/>
      </c>
      <c r="Z362" s="304" t="str">
        <f t="shared" si="209"/>
        <v/>
      </c>
      <c r="AA362" s="308" t="str">
        <f t="shared" si="182"/>
        <v/>
      </c>
      <c r="AB362" s="304" t="str">
        <f t="shared" si="189"/>
        <v/>
      </c>
      <c r="AC362" s="309"/>
      <c r="AD362" s="310" t="str">
        <f t="shared" si="183"/>
        <v/>
      </c>
      <c r="AE362" s="310" t="str">
        <f t="shared" si="183"/>
        <v/>
      </c>
      <c r="AF362" s="310" t="str">
        <f t="shared" si="184"/>
        <v/>
      </c>
      <c r="AG362" s="310" t="str">
        <f t="shared" si="185"/>
        <v/>
      </c>
      <c r="AH362" s="310" t="str">
        <f t="shared" si="200"/>
        <v/>
      </c>
      <c r="AI362" s="310" t="str">
        <f t="shared" si="201"/>
        <v/>
      </c>
      <c r="AJ362" s="311" t="str">
        <f t="shared" si="186"/>
        <v/>
      </c>
      <c r="AK362" s="311" t="str" cm="1">
        <f t="array" ref="AK362">IF(OR(E362="", H362=""), "",
  IFERROR(
     (
      INDEX($AM$3:$AM$22, MATCH(E362, $AL$3:$AL$22, 1)) +
      (E362 - INDEX($AL$3:$AL$22, MATCH(E362, $AL$3:$AL$22, 1))) *
      (INDEX($AM$3:$AM$22, MATCH(E362, $AL$3:$AL$22, 1)+1) - INDEX($AM$3:$AM$22, MATCH(E362, $AL$3:$AL$22, 1))) /
      (INDEX($AL$3:$AL$22, MATCH(E362, $AL$3:$AL$22, 1)+1) - INDEX($AL$3:$AL$22, MATCH(E362, $AL$3:$AL$22, 1)))
    ) - H362,
    ""
  )
)</f>
        <v/>
      </c>
      <c r="AL362" s="338"/>
      <c r="AM362" s="339"/>
      <c r="AN362" s="340"/>
    </row>
    <row r="363" spans="1:40" s="315" customFormat="1" ht="15" customHeight="1" x14ac:dyDescent="0.35">
      <c r="A363" s="316">
        <f t="shared" si="210"/>
        <v>3</v>
      </c>
      <c r="B363" s="317">
        <f t="shared" si="210"/>
        <v>19</v>
      </c>
      <c r="C363" s="318" t="str">
        <f t="shared" si="198"/>
        <v/>
      </c>
      <c r="D363" s="319"/>
      <c r="E363" s="320" t="str">
        <f t="shared" si="194"/>
        <v/>
      </c>
      <c r="F363" s="321"/>
      <c r="G363" s="321"/>
      <c r="H363" s="322" t="str">
        <f t="shared" si="199"/>
        <v/>
      </c>
      <c r="I363" s="323" t="str">
        <f t="shared" si="206"/>
        <v/>
      </c>
      <c r="J363" s="321" t="str">
        <f t="shared" si="176"/>
        <v/>
      </c>
      <c r="K363" s="323" t="str">
        <f t="shared" si="195"/>
        <v/>
      </c>
      <c r="L363" s="321"/>
      <c r="M363" s="333"/>
      <c r="N363" s="323" t="str">
        <f t="shared" si="207"/>
        <v/>
      </c>
      <c r="O363" s="323">
        <f t="shared" si="203"/>
        <v>0</v>
      </c>
      <c r="P363" s="324" t="str">
        <f t="shared" si="202"/>
        <v/>
      </c>
      <c r="Q363" s="325" t="str">
        <f t="shared" si="196"/>
        <v/>
      </c>
      <c r="R363" s="323" t="str">
        <f t="shared" si="178"/>
        <v/>
      </c>
      <c r="S363" s="323" t="str">
        <f t="shared" si="204"/>
        <v/>
      </c>
      <c r="T363" s="323" t="str">
        <f t="shared" si="179"/>
        <v/>
      </c>
      <c r="U363" s="323" t="str">
        <f t="shared" si="180"/>
        <v/>
      </c>
      <c r="V363" s="322" t="str">
        <f t="shared" si="192"/>
        <v/>
      </c>
      <c r="W363" s="323" t="str">
        <f t="shared" si="205"/>
        <v/>
      </c>
      <c r="X363" s="323" t="str">
        <f t="shared" si="208"/>
        <v/>
      </c>
      <c r="Y363" s="323" t="str">
        <f t="shared" si="181"/>
        <v/>
      </c>
      <c r="Z363" s="323" t="str">
        <f t="shared" si="209"/>
        <v/>
      </c>
      <c r="AA363" s="326" t="str">
        <f t="shared" si="182"/>
        <v/>
      </c>
      <c r="AB363" s="323" t="str">
        <f t="shared" si="189"/>
        <v/>
      </c>
      <c r="AC363" s="327"/>
      <c r="AD363" s="328" t="str">
        <f t="shared" si="183"/>
        <v/>
      </c>
      <c r="AE363" s="328" t="str">
        <f t="shared" si="183"/>
        <v/>
      </c>
      <c r="AF363" s="328" t="str">
        <f t="shared" si="184"/>
        <v/>
      </c>
      <c r="AG363" s="328" t="str">
        <f t="shared" si="185"/>
        <v/>
      </c>
      <c r="AH363" s="328" t="str">
        <f t="shared" si="200"/>
        <v/>
      </c>
      <c r="AI363" s="328" t="str">
        <f t="shared" si="201"/>
        <v/>
      </c>
      <c r="AJ363" s="329" t="str">
        <f t="shared" si="186"/>
        <v/>
      </c>
      <c r="AK363" s="329" t="str" cm="1">
        <f t="array" ref="AK363">IF(OR(E363="", H363=""), "",
  IFERROR(
     (
      INDEX($AM$3:$AM$22, MATCH(E363, $AL$3:$AL$22, 1)) +
      (E363 - INDEX($AL$3:$AL$22, MATCH(E363, $AL$3:$AL$22, 1))) *
      (INDEX($AM$3:$AM$22, MATCH(E363, $AL$3:$AL$22, 1)+1) - INDEX($AM$3:$AM$22, MATCH(E363, $AL$3:$AL$22, 1))) /
      (INDEX($AL$3:$AL$22, MATCH(E363, $AL$3:$AL$22, 1)+1) - INDEX($AL$3:$AL$22, MATCH(E363, $AL$3:$AL$22, 1)))
    ) - H363,
    ""
  )
)</f>
        <v/>
      </c>
      <c r="AL363" s="341"/>
      <c r="AM363" s="342"/>
      <c r="AN363" s="343"/>
    </row>
    <row r="364" spans="1:40" s="315" customFormat="1" ht="15" customHeight="1" x14ac:dyDescent="0.35">
      <c r="A364" s="297">
        <f t="shared" si="210"/>
        <v>3</v>
      </c>
      <c r="B364" s="298">
        <f t="shared" si="210"/>
        <v>19</v>
      </c>
      <c r="C364" s="299" t="str">
        <f t="shared" si="198"/>
        <v/>
      </c>
      <c r="D364" s="300"/>
      <c r="E364" s="301" t="str">
        <f t="shared" si="194"/>
        <v/>
      </c>
      <c r="F364" s="302"/>
      <c r="G364" s="302"/>
      <c r="H364" s="303" t="str">
        <f t="shared" si="199"/>
        <v/>
      </c>
      <c r="I364" s="304" t="str">
        <f t="shared" si="206"/>
        <v/>
      </c>
      <c r="J364" s="302" t="str">
        <f t="shared" si="176"/>
        <v/>
      </c>
      <c r="K364" s="304" t="str">
        <f t="shared" si="195"/>
        <v/>
      </c>
      <c r="L364" s="302"/>
      <c r="M364" s="305"/>
      <c r="N364" s="304" t="str">
        <f t="shared" si="207"/>
        <v/>
      </c>
      <c r="O364" s="304">
        <f t="shared" si="203"/>
        <v>0</v>
      </c>
      <c r="P364" s="306" t="str">
        <f t="shared" si="202"/>
        <v/>
      </c>
      <c r="Q364" s="307" t="str">
        <f t="shared" si="196"/>
        <v/>
      </c>
      <c r="R364" s="304" t="str">
        <f t="shared" si="178"/>
        <v/>
      </c>
      <c r="S364" s="304" t="str">
        <f t="shared" si="204"/>
        <v/>
      </c>
      <c r="T364" s="304" t="str">
        <f t="shared" si="179"/>
        <v/>
      </c>
      <c r="U364" s="304" t="str">
        <f t="shared" si="180"/>
        <v/>
      </c>
      <c r="V364" s="303" t="str">
        <f t="shared" si="192"/>
        <v/>
      </c>
      <c r="W364" s="304" t="str">
        <f t="shared" si="205"/>
        <v/>
      </c>
      <c r="X364" s="304" t="str">
        <f t="shared" si="208"/>
        <v/>
      </c>
      <c r="Y364" s="304" t="str">
        <f t="shared" si="181"/>
        <v/>
      </c>
      <c r="Z364" s="304" t="str">
        <f t="shared" si="209"/>
        <v/>
      </c>
      <c r="AA364" s="308" t="str">
        <f t="shared" si="182"/>
        <v/>
      </c>
      <c r="AB364" s="304" t="str">
        <f t="shared" si="189"/>
        <v/>
      </c>
      <c r="AC364" s="309"/>
      <c r="AD364" s="310" t="str">
        <f t="shared" si="183"/>
        <v/>
      </c>
      <c r="AE364" s="310" t="str">
        <f t="shared" si="183"/>
        <v/>
      </c>
      <c r="AF364" s="310" t="str">
        <f t="shared" si="184"/>
        <v/>
      </c>
      <c r="AG364" s="310" t="str">
        <f t="shared" si="185"/>
        <v/>
      </c>
      <c r="AH364" s="310" t="str">
        <f t="shared" si="200"/>
        <v/>
      </c>
      <c r="AI364" s="310" t="str">
        <f t="shared" si="201"/>
        <v/>
      </c>
      <c r="AJ364" s="311" t="str">
        <f t="shared" si="186"/>
        <v/>
      </c>
      <c r="AK364" s="311" t="str" cm="1">
        <f t="array" ref="AK364">IF(OR(E364="", H364=""), "",
  IFERROR(
     (
      INDEX($AM$3:$AM$22, MATCH(E364, $AL$3:$AL$22, 1)) +
      (E364 - INDEX($AL$3:$AL$22, MATCH(E364, $AL$3:$AL$22, 1))) *
      (INDEX($AM$3:$AM$22, MATCH(E364, $AL$3:$AL$22, 1)+1) - INDEX($AM$3:$AM$22, MATCH(E364, $AL$3:$AL$22, 1))) /
      (INDEX($AL$3:$AL$22, MATCH(E364, $AL$3:$AL$22, 1)+1) - INDEX($AL$3:$AL$22, MATCH(E364, $AL$3:$AL$22, 1)))
    ) - H364,
    ""
  )
)</f>
        <v/>
      </c>
      <c r="AL364" s="338"/>
      <c r="AM364" s="339"/>
      <c r="AN364" s="340"/>
    </row>
    <row r="365" spans="1:40" s="315" customFormat="1" ht="15" customHeight="1" x14ac:dyDescent="0.35">
      <c r="A365" s="316">
        <f t="shared" si="210"/>
        <v>3</v>
      </c>
      <c r="B365" s="317">
        <f t="shared" si="210"/>
        <v>19</v>
      </c>
      <c r="C365" s="318" t="str">
        <f t="shared" si="198"/>
        <v/>
      </c>
      <c r="D365" s="319"/>
      <c r="E365" s="320" t="str">
        <f t="shared" si="194"/>
        <v/>
      </c>
      <c r="F365" s="321"/>
      <c r="G365" s="321"/>
      <c r="H365" s="322" t="str">
        <f t="shared" si="199"/>
        <v/>
      </c>
      <c r="I365" s="323" t="str">
        <f t="shared" si="206"/>
        <v/>
      </c>
      <c r="J365" s="321" t="str">
        <f t="shared" si="176"/>
        <v/>
      </c>
      <c r="K365" s="323" t="str">
        <f t="shared" si="195"/>
        <v/>
      </c>
      <c r="L365" s="321"/>
      <c r="M365" s="333"/>
      <c r="N365" s="323" t="str">
        <f t="shared" si="207"/>
        <v/>
      </c>
      <c r="O365" s="323">
        <f t="shared" si="203"/>
        <v>0</v>
      </c>
      <c r="P365" s="324" t="str">
        <f t="shared" si="202"/>
        <v/>
      </c>
      <c r="Q365" s="325" t="str">
        <f t="shared" si="196"/>
        <v/>
      </c>
      <c r="R365" s="323" t="str">
        <f t="shared" si="178"/>
        <v/>
      </c>
      <c r="S365" s="323" t="str">
        <f t="shared" si="204"/>
        <v/>
      </c>
      <c r="T365" s="323" t="str">
        <f t="shared" si="179"/>
        <v/>
      </c>
      <c r="U365" s="323" t="str">
        <f t="shared" si="180"/>
        <v/>
      </c>
      <c r="V365" s="322" t="str">
        <f t="shared" si="192"/>
        <v/>
      </c>
      <c r="W365" s="323" t="str">
        <f t="shared" si="205"/>
        <v/>
      </c>
      <c r="X365" s="323" t="str">
        <f t="shared" si="208"/>
        <v/>
      </c>
      <c r="Y365" s="323" t="str">
        <f t="shared" si="181"/>
        <v/>
      </c>
      <c r="Z365" s="323" t="str">
        <f t="shared" si="209"/>
        <v/>
      </c>
      <c r="AA365" s="326" t="str">
        <f t="shared" si="182"/>
        <v/>
      </c>
      <c r="AB365" s="323" t="str">
        <f t="shared" si="189"/>
        <v/>
      </c>
      <c r="AC365" s="327"/>
      <c r="AD365" s="328" t="str">
        <f t="shared" si="183"/>
        <v/>
      </c>
      <c r="AE365" s="328" t="str">
        <f t="shared" si="183"/>
        <v/>
      </c>
      <c r="AF365" s="328" t="str">
        <f t="shared" si="184"/>
        <v/>
      </c>
      <c r="AG365" s="328" t="str">
        <f t="shared" si="185"/>
        <v/>
      </c>
      <c r="AH365" s="328" t="str">
        <f t="shared" si="200"/>
        <v/>
      </c>
      <c r="AI365" s="328" t="str">
        <f t="shared" si="201"/>
        <v/>
      </c>
      <c r="AJ365" s="329" t="str">
        <f t="shared" si="186"/>
        <v/>
      </c>
      <c r="AK365" s="329" t="str" cm="1">
        <f t="array" ref="AK365">IF(OR(E365="", H365=""), "",
  IFERROR(
     (
      INDEX($AM$3:$AM$22, MATCH(E365, $AL$3:$AL$22, 1)) +
      (E365 - INDEX($AL$3:$AL$22, MATCH(E365, $AL$3:$AL$22, 1))) *
      (INDEX($AM$3:$AM$22, MATCH(E365, $AL$3:$AL$22, 1)+1) - INDEX($AM$3:$AM$22, MATCH(E365, $AL$3:$AL$22, 1))) /
      (INDEX($AL$3:$AL$22, MATCH(E365, $AL$3:$AL$22, 1)+1) - INDEX($AL$3:$AL$22, MATCH(E365, $AL$3:$AL$22, 1)))
    ) - H365,
    ""
  )
)</f>
        <v/>
      </c>
      <c r="AL365" s="341"/>
      <c r="AM365" s="342"/>
      <c r="AN365" s="343"/>
    </row>
    <row r="366" spans="1:40" s="315" customFormat="1" ht="15" customHeight="1" x14ac:dyDescent="0.35">
      <c r="A366" s="297">
        <f t="shared" si="210"/>
        <v>3</v>
      </c>
      <c r="B366" s="298">
        <f t="shared" si="210"/>
        <v>19</v>
      </c>
      <c r="C366" s="299" t="str">
        <f t="shared" si="198"/>
        <v/>
      </c>
      <c r="D366" s="300"/>
      <c r="E366" s="301" t="str">
        <f t="shared" si="194"/>
        <v/>
      </c>
      <c r="F366" s="302"/>
      <c r="G366" s="302"/>
      <c r="H366" s="303" t="str">
        <f t="shared" si="199"/>
        <v/>
      </c>
      <c r="I366" s="304" t="str">
        <f t="shared" si="206"/>
        <v/>
      </c>
      <c r="J366" s="302" t="str">
        <f t="shared" si="176"/>
        <v/>
      </c>
      <c r="K366" s="304" t="str">
        <f t="shared" si="195"/>
        <v/>
      </c>
      <c r="L366" s="302"/>
      <c r="M366" s="305"/>
      <c r="N366" s="304" t="str">
        <f t="shared" si="207"/>
        <v/>
      </c>
      <c r="O366" s="304">
        <f t="shared" si="203"/>
        <v>0</v>
      </c>
      <c r="P366" s="306" t="str">
        <f t="shared" si="202"/>
        <v/>
      </c>
      <c r="Q366" s="307" t="str">
        <f t="shared" si="196"/>
        <v/>
      </c>
      <c r="R366" s="304" t="str">
        <f t="shared" si="178"/>
        <v/>
      </c>
      <c r="S366" s="304" t="str">
        <f t="shared" si="204"/>
        <v/>
      </c>
      <c r="T366" s="304" t="str">
        <f t="shared" si="179"/>
        <v/>
      </c>
      <c r="U366" s="304" t="str">
        <f t="shared" si="180"/>
        <v/>
      </c>
      <c r="V366" s="303" t="str">
        <f t="shared" si="192"/>
        <v/>
      </c>
      <c r="W366" s="304" t="str">
        <f t="shared" si="205"/>
        <v/>
      </c>
      <c r="X366" s="304" t="str">
        <f t="shared" si="208"/>
        <v/>
      </c>
      <c r="Y366" s="304" t="str">
        <f t="shared" si="181"/>
        <v/>
      </c>
      <c r="Z366" s="304" t="str">
        <f t="shared" si="209"/>
        <v/>
      </c>
      <c r="AA366" s="308" t="str">
        <f t="shared" si="182"/>
        <v/>
      </c>
      <c r="AB366" s="304" t="str">
        <f t="shared" si="189"/>
        <v/>
      </c>
      <c r="AC366" s="309"/>
      <c r="AD366" s="310" t="str">
        <f t="shared" si="183"/>
        <v/>
      </c>
      <c r="AE366" s="310" t="str">
        <f t="shared" si="183"/>
        <v/>
      </c>
      <c r="AF366" s="310" t="str">
        <f t="shared" si="184"/>
        <v/>
      </c>
      <c r="AG366" s="310" t="str">
        <f t="shared" si="185"/>
        <v/>
      </c>
      <c r="AH366" s="310" t="str">
        <f t="shared" si="200"/>
        <v/>
      </c>
      <c r="AI366" s="310" t="str">
        <f t="shared" si="201"/>
        <v/>
      </c>
      <c r="AJ366" s="311" t="str">
        <f t="shared" si="186"/>
        <v/>
      </c>
      <c r="AK366" s="311" t="str" cm="1">
        <f t="array" ref="AK366">IF(OR(E366="", H366=""), "",
  IFERROR(
     (
      INDEX($AM$3:$AM$22, MATCH(E366, $AL$3:$AL$22, 1)) +
      (E366 - INDEX($AL$3:$AL$22, MATCH(E366, $AL$3:$AL$22, 1))) *
      (INDEX($AM$3:$AM$22, MATCH(E366, $AL$3:$AL$22, 1)+1) - INDEX($AM$3:$AM$22, MATCH(E366, $AL$3:$AL$22, 1))) /
      (INDEX($AL$3:$AL$22, MATCH(E366, $AL$3:$AL$22, 1)+1) - INDEX($AL$3:$AL$22, MATCH(E366, $AL$3:$AL$22, 1)))
    ) - H366,
    ""
  )
)</f>
        <v/>
      </c>
      <c r="AL366" s="338"/>
      <c r="AM366" s="339"/>
      <c r="AN366" s="340"/>
    </row>
    <row r="367" spans="1:40" s="315" customFormat="1" ht="15" customHeight="1" x14ac:dyDescent="0.35">
      <c r="A367" s="316">
        <f t="shared" si="210"/>
        <v>3</v>
      </c>
      <c r="B367" s="317">
        <f t="shared" si="210"/>
        <v>19</v>
      </c>
      <c r="C367" s="318" t="str">
        <f t="shared" si="198"/>
        <v/>
      </c>
      <c r="D367" s="319"/>
      <c r="E367" s="320" t="str">
        <f t="shared" si="194"/>
        <v/>
      </c>
      <c r="F367" s="321"/>
      <c r="G367" s="321"/>
      <c r="H367" s="322" t="str">
        <f t="shared" si="199"/>
        <v/>
      </c>
      <c r="I367" s="323" t="str">
        <f t="shared" si="206"/>
        <v/>
      </c>
      <c r="J367" s="321" t="str">
        <f t="shared" si="176"/>
        <v/>
      </c>
      <c r="K367" s="323" t="str">
        <f t="shared" si="195"/>
        <v/>
      </c>
      <c r="L367" s="321"/>
      <c r="M367" s="333"/>
      <c r="N367" s="323" t="str">
        <f t="shared" si="207"/>
        <v/>
      </c>
      <c r="O367" s="323">
        <f t="shared" si="203"/>
        <v>0</v>
      </c>
      <c r="P367" s="324" t="str">
        <f t="shared" si="202"/>
        <v/>
      </c>
      <c r="Q367" s="325" t="str">
        <f t="shared" si="196"/>
        <v/>
      </c>
      <c r="R367" s="323" t="str">
        <f t="shared" si="178"/>
        <v/>
      </c>
      <c r="S367" s="323" t="str">
        <f t="shared" si="204"/>
        <v/>
      </c>
      <c r="T367" s="323" t="str">
        <f t="shared" si="179"/>
        <v/>
      </c>
      <c r="U367" s="323" t="str">
        <f t="shared" si="180"/>
        <v/>
      </c>
      <c r="V367" s="322" t="str">
        <f t="shared" si="192"/>
        <v/>
      </c>
      <c r="W367" s="323" t="str">
        <f t="shared" si="205"/>
        <v/>
      </c>
      <c r="X367" s="323" t="str">
        <f t="shared" si="208"/>
        <v/>
      </c>
      <c r="Y367" s="323" t="str">
        <f t="shared" si="181"/>
        <v/>
      </c>
      <c r="Z367" s="323" t="str">
        <f t="shared" si="209"/>
        <v/>
      </c>
      <c r="AA367" s="326" t="str">
        <f t="shared" si="182"/>
        <v/>
      </c>
      <c r="AB367" s="323" t="str">
        <f t="shared" si="189"/>
        <v/>
      </c>
      <c r="AC367" s="327"/>
      <c r="AD367" s="328" t="str">
        <f t="shared" si="183"/>
        <v/>
      </c>
      <c r="AE367" s="328" t="str">
        <f t="shared" si="183"/>
        <v/>
      </c>
      <c r="AF367" s="328" t="str">
        <f t="shared" si="184"/>
        <v/>
      </c>
      <c r="AG367" s="328" t="str">
        <f t="shared" si="185"/>
        <v/>
      </c>
      <c r="AH367" s="328" t="str">
        <f t="shared" si="200"/>
        <v/>
      </c>
      <c r="AI367" s="328" t="str">
        <f t="shared" si="201"/>
        <v/>
      </c>
      <c r="AJ367" s="329" t="str">
        <f t="shared" si="186"/>
        <v/>
      </c>
      <c r="AK367" s="329" t="str" cm="1">
        <f t="array" ref="AK367">IF(OR(E367="", H367=""), "",
  IFERROR(
     (
      INDEX($AM$3:$AM$22, MATCH(E367, $AL$3:$AL$22, 1)) +
      (E367 - INDEX($AL$3:$AL$22, MATCH(E367, $AL$3:$AL$22, 1))) *
      (INDEX($AM$3:$AM$22, MATCH(E367, $AL$3:$AL$22, 1)+1) - INDEX($AM$3:$AM$22, MATCH(E367, $AL$3:$AL$22, 1))) /
      (INDEX($AL$3:$AL$22, MATCH(E367, $AL$3:$AL$22, 1)+1) - INDEX($AL$3:$AL$22, MATCH(E367, $AL$3:$AL$22, 1)))
    ) - H367,
    ""
  )
)</f>
        <v/>
      </c>
      <c r="AL367" s="341"/>
      <c r="AM367" s="342"/>
      <c r="AN367" s="343"/>
    </row>
    <row r="368" spans="1:40" s="315" customFormat="1" ht="15" customHeight="1" x14ac:dyDescent="0.35">
      <c r="A368" s="297">
        <f t="shared" si="210"/>
        <v>3</v>
      </c>
      <c r="B368" s="298">
        <f t="shared" si="210"/>
        <v>19</v>
      </c>
      <c r="C368" s="299" t="str">
        <f t="shared" si="198"/>
        <v/>
      </c>
      <c r="D368" s="300"/>
      <c r="E368" s="301" t="str">
        <f t="shared" si="194"/>
        <v/>
      </c>
      <c r="F368" s="302"/>
      <c r="G368" s="302"/>
      <c r="H368" s="303" t="str">
        <f t="shared" si="199"/>
        <v/>
      </c>
      <c r="I368" s="304" t="str">
        <f t="shared" si="206"/>
        <v/>
      </c>
      <c r="J368" s="302" t="str">
        <f t="shared" si="176"/>
        <v/>
      </c>
      <c r="K368" s="304" t="str">
        <f t="shared" si="195"/>
        <v/>
      </c>
      <c r="L368" s="302"/>
      <c r="M368" s="305"/>
      <c r="N368" s="304" t="str">
        <f t="shared" si="207"/>
        <v/>
      </c>
      <c r="O368" s="304">
        <f t="shared" si="203"/>
        <v>0</v>
      </c>
      <c r="P368" s="306" t="str">
        <f t="shared" si="202"/>
        <v/>
      </c>
      <c r="Q368" s="307" t="str">
        <f t="shared" si="196"/>
        <v/>
      </c>
      <c r="R368" s="304" t="str">
        <f t="shared" si="178"/>
        <v/>
      </c>
      <c r="S368" s="304" t="str">
        <f t="shared" si="204"/>
        <v/>
      </c>
      <c r="T368" s="304" t="str">
        <f t="shared" si="179"/>
        <v/>
      </c>
      <c r="U368" s="304" t="str">
        <f t="shared" si="180"/>
        <v/>
      </c>
      <c r="V368" s="303" t="str">
        <f t="shared" si="192"/>
        <v/>
      </c>
      <c r="W368" s="304" t="str">
        <f t="shared" si="205"/>
        <v/>
      </c>
      <c r="X368" s="304" t="str">
        <f t="shared" si="208"/>
        <v/>
      </c>
      <c r="Y368" s="304" t="str">
        <f t="shared" si="181"/>
        <v/>
      </c>
      <c r="Z368" s="304" t="str">
        <f t="shared" si="209"/>
        <v/>
      </c>
      <c r="AA368" s="308" t="str">
        <f t="shared" si="182"/>
        <v/>
      </c>
      <c r="AB368" s="304" t="str">
        <f t="shared" si="189"/>
        <v/>
      </c>
      <c r="AC368" s="309"/>
      <c r="AD368" s="310" t="str">
        <f t="shared" si="183"/>
        <v/>
      </c>
      <c r="AE368" s="310" t="str">
        <f t="shared" si="183"/>
        <v/>
      </c>
      <c r="AF368" s="310" t="str">
        <f t="shared" si="184"/>
        <v/>
      </c>
      <c r="AG368" s="310" t="str">
        <f t="shared" si="185"/>
        <v/>
      </c>
      <c r="AH368" s="310" t="str">
        <f t="shared" si="200"/>
        <v/>
      </c>
      <c r="AI368" s="310" t="str">
        <f t="shared" si="201"/>
        <v/>
      </c>
      <c r="AJ368" s="311" t="str">
        <f t="shared" si="186"/>
        <v/>
      </c>
      <c r="AK368" s="311" t="str" cm="1">
        <f t="array" ref="AK368">IF(OR(E368="", H368=""), "",
  IFERROR(
     (
      INDEX($AM$3:$AM$22, MATCH(E368, $AL$3:$AL$22, 1)) +
      (E368 - INDEX($AL$3:$AL$22, MATCH(E368, $AL$3:$AL$22, 1))) *
      (INDEX($AM$3:$AM$22, MATCH(E368, $AL$3:$AL$22, 1)+1) - INDEX($AM$3:$AM$22, MATCH(E368, $AL$3:$AL$22, 1))) /
      (INDEX($AL$3:$AL$22, MATCH(E368, $AL$3:$AL$22, 1)+1) - INDEX($AL$3:$AL$22, MATCH(E368, $AL$3:$AL$22, 1)))
    ) - H368,
    ""
  )
)</f>
        <v/>
      </c>
      <c r="AL368" s="338"/>
      <c r="AM368" s="339"/>
      <c r="AN368" s="340"/>
    </row>
    <row r="369" spans="1:40" s="315" customFormat="1" ht="15" customHeight="1" x14ac:dyDescent="0.35">
      <c r="A369" s="316">
        <f t="shared" si="210"/>
        <v>3</v>
      </c>
      <c r="B369" s="317">
        <f t="shared" si="210"/>
        <v>19</v>
      </c>
      <c r="C369" s="318" t="str">
        <f t="shared" si="198"/>
        <v/>
      </c>
      <c r="D369" s="319"/>
      <c r="E369" s="320" t="str">
        <f t="shared" si="194"/>
        <v/>
      </c>
      <c r="F369" s="321"/>
      <c r="G369" s="321"/>
      <c r="H369" s="322" t="str">
        <f t="shared" si="199"/>
        <v/>
      </c>
      <c r="I369" s="323" t="str">
        <f t="shared" si="206"/>
        <v/>
      </c>
      <c r="J369" s="321" t="str">
        <f t="shared" si="176"/>
        <v/>
      </c>
      <c r="K369" s="323" t="str">
        <f t="shared" si="195"/>
        <v/>
      </c>
      <c r="L369" s="321"/>
      <c r="M369" s="333"/>
      <c r="N369" s="323" t="str">
        <f t="shared" si="207"/>
        <v/>
      </c>
      <c r="O369" s="323">
        <f t="shared" si="203"/>
        <v>0</v>
      </c>
      <c r="P369" s="324" t="str">
        <f t="shared" si="202"/>
        <v/>
      </c>
      <c r="Q369" s="325" t="str">
        <f t="shared" si="196"/>
        <v/>
      </c>
      <c r="R369" s="323" t="str">
        <f t="shared" si="178"/>
        <v/>
      </c>
      <c r="S369" s="323" t="str">
        <f t="shared" si="204"/>
        <v/>
      </c>
      <c r="T369" s="323" t="str">
        <f t="shared" si="179"/>
        <v/>
      </c>
      <c r="U369" s="323" t="str">
        <f t="shared" si="180"/>
        <v/>
      </c>
      <c r="V369" s="322" t="str">
        <f t="shared" si="192"/>
        <v/>
      </c>
      <c r="W369" s="323" t="str">
        <f t="shared" si="205"/>
        <v/>
      </c>
      <c r="X369" s="323" t="str">
        <f t="shared" si="208"/>
        <v/>
      </c>
      <c r="Y369" s="323" t="str">
        <f t="shared" si="181"/>
        <v/>
      </c>
      <c r="Z369" s="323" t="str">
        <f t="shared" si="209"/>
        <v/>
      </c>
      <c r="AA369" s="326" t="str">
        <f t="shared" si="182"/>
        <v/>
      </c>
      <c r="AB369" s="323" t="str">
        <f t="shared" si="189"/>
        <v/>
      </c>
      <c r="AC369" s="327"/>
      <c r="AD369" s="328" t="str">
        <f t="shared" si="183"/>
        <v/>
      </c>
      <c r="AE369" s="328" t="str">
        <f t="shared" si="183"/>
        <v/>
      </c>
      <c r="AF369" s="328" t="str">
        <f t="shared" si="184"/>
        <v/>
      </c>
      <c r="AG369" s="328" t="str">
        <f t="shared" si="185"/>
        <v/>
      </c>
      <c r="AH369" s="328" t="str">
        <f t="shared" si="200"/>
        <v/>
      </c>
      <c r="AI369" s="328" t="str">
        <f t="shared" si="201"/>
        <v/>
      </c>
      <c r="AJ369" s="329" t="str">
        <f t="shared" si="186"/>
        <v/>
      </c>
      <c r="AK369" s="329" t="str" cm="1">
        <f t="array" ref="AK369">IF(OR(E369="", H369=""), "",
  IFERROR(
     (
      INDEX($AM$3:$AM$22, MATCH(E369, $AL$3:$AL$22, 1)) +
      (E369 - INDEX($AL$3:$AL$22, MATCH(E369, $AL$3:$AL$22, 1))) *
      (INDEX($AM$3:$AM$22, MATCH(E369, $AL$3:$AL$22, 1)+1) - INDEX($AM$3:$AM$22, MATCH(E369, $AL$3:$AL$22, 1))) /
      (INDEX($AL$3:$AL$22, MATCH(E369, $AL$3:$AL$22, 1)+1) - INDEX($AL$3:$AL$22, MATCH(E369, $AL$3:$AL$22, 1)))
    ) - H369,
    ""
  )
)</f>
        <v/>
      </c>
      <c r="AL369" s="341"/>
      <c r="AM369" s="342"/>
      <c r="AN369" s="343"/>
    </row>
    <row r="370" spans="1:40" s="315" customFormat="1" ht="15" customHeight="1" x14ac:dyDescent="0.35">
      <c r="A370" s="297">
        <f t="shared" si="210"/>
        <v>3</v>
      </c>
      <c r="B370" s="298">
        <f t="shared" si="210"/>
        <v>19</v>
      </c>
      <c r="C370" s="299" t="str">
        <f t="shared" si="198"/>
        <v/>
      </c>
      <c r="D370" s="300"/>
      <c r="E370" s="301" t="str">
        <f t="shared" si="194"/>
        <v/>
      </c>
      <c r="F370" s="302"/>
      <c r="G370" s="302"/>
      <c r="H370" s="303" t="str">
        <f t="shared" si="199"/>
        <v/>
      </c>
      <c r="I370" s="304" t="str">
        <f t="shared" si="206"/>
        <v/>
      </c>
      <c r="J370" s="302" t="str">
        <f t="shared" si="176"/>
        <v/>
      </c>
      <c r="K370" s="304" t="str">
        <f t="shared" si="195"/>
        <v/>
      </c>
      <c r="L370" s="302"/>
      <c r="M370" s="305"/>
      <c r="N370" s="304" t="str">
        <f t="shared" si="207"/>
        <v/>
      </c>
      <c r="O370" s="304">
        <f t="shared" si="203"/>
        <v>0</v>
      </c>
      <c r="P370" s="306" t="str">
        <f t="shared" si="202"/>
        <v/>
      </c>
      <c r="Q370" s="307" t="str">
        <f t="shared" si="196"/>
        <v/>
      </c>
      <c r="R370" s="304" t="str">
        <f t="shared" si="178"/>
        <v/>
      </c>
      <c r="S370" s="304" t="str">
        <f t="shared" si="204"/>
        <v/>
      </c>
      <c r="T370" s="304" t="str">
        <f t="shared" si="179"/>
        <v/>
      </c>
      <c r="U370" s="304" t="str">
        <f t="shared" si="180"/>
        <v/>
      </c>
      <c r="V370" s="303" t="str">
        <f t="shared" si="192"/>
        <v/>
      </c>
      <c r="W370" s="304" t="str">
        <f t="shared" si="205"/>
        <v/>
      </c>
      <c r="X370" s="304" t="str">
        <f t="shared" si="208"/>
        <v/>
      </c>
      <c r="Y370" s="304" t="str">
        <f t="shared" si="181"/>
        <v/>
      </c>
      <c r="Z370" s="304" t="str">
        <f t="shared" si="209"/>
        <v/>
      </c>
      <c r="AA370" s="308" t="str">
        <f t="shared" si="182"/>
        <v/>
      </c>
      <c r="AB370" s="304" t="str">
        <f t="shared" si="189"/>
        <v/>
      </c>
      <c r="AC370" s="309"/>
      <c r="AD370" s="310" t="str">
        <f t="shared" si="183"/>
        <v/>
      </c>
      <c r="AE370" s="310" t="str">
        <f t="shared" si="183"/>
        <v/>
      </c>
      <c r="AF370" s="310" t="str">
        <f t="shared" si="184"/>
        <v/>
      </c>
      <c r="AG370" s="310" t="str">
        <f t="shared" si="185"/>
        <v/>
      </c>
      <c r="AH370" s="310" t="str">
        <f t="shared" si="200"/>
        <v/>
      </c>
      <c r="AI370" s="310" t="str">
        <f t="shared" si="201"/>
        <v/>
      </c>
      <c r="AJ370" s="311" t="str">
        <f t="shared" si="186"/>
        <v/>
      </c>
      <c r="AK370" s="311" t="str" cm="1">
        <f t="array" ref="AK370">IF(OR(E370="", H370=""), "",
  IFERROR(
     (
      INDEX($AM$3:$AM$22, MATCH(E370, $AL$3:$AL$22, 1)) +
      (E370 - INDEX($AL$3:$AL$22, MATCH(E370, $AL$3:$AL$22, 1))) *
      (INDEX($AM$3:$AM$22, MATCH(E370, $AL$3:$AL$22, 1)+1) - INDEX($AM$3:$AM$22, MATCH(E370, $AL$3:$AL$22, 1))) /
      (INDEX($AL$3:$AL$22, MATCH(E370, $AL$3:$AL$22, 1)+1) - INDEX($AL$3:$AL$22, MATCH(E370, $AL$3:$AL$22, 1)))
    ) - H370,
    ""
  )
)</f>
        <v/>
      </c>
      <c r="AL370" s="338"/>
      <c r="AM370" s="339"/>
      <c r="AN370" s="340"/>
    </row>
    <row r="371" spans="1:40" s="315" customFormat="1" ht="15" customHeight="1" x14ac:dyDescent="0.35">
      <c r="A371" s="316">
        <f t="shared" si="210"/>
        <v>3</v>
      </c>
      <c r="B371" s="317">
        <f t="shared" si="210"/>
        <v>19</v>
      </c>
      <c r="C371" s="318" t="str">
        <f t="shared" si="198"/>
        <v/>
      </c>
      <c r="D371" s="319"/>
      <c r="E371" s="320" t="str">
        <f t="shared" si="194"/>
        <v/>
      </c>
      <c r="F371" s="321"/>
      <c r="G371" s="321"/>
      <c r="H371" s="322" t="str">
        <f t="shared" si="199"/>
        <v/>
      </c>
      <c r="I371" s="323" t="str">
        <f t="shared" si="206"/>
        <v/>
      </c>
      <c r="J371" s="321" t="str">
        <f t="shared" si="176"/>
        <v/>
      </c>
      <c r="K371" s="323" t="str">
        <f t="shared" si="195"/>
        <v/>
      </c>
      <c r="L371" s="321"/>
      <c r="M371" s="333"/>
      <c r="N371" s="323" t="str">
        <f t="shared" si="207"/>
        <v/>
      </c>
      <c r="O371" s="323">
        <f t="shared" si="203"/>
        <v>0</v>
      </c>
      <c r="P371" s="324" t="str">
        <f t="shared" si="202"/>
        <v/>
      </c>
      <c r="Q371" s="325" t="str">
        <f t="shared" si="196"/>
        <v/>
      </c>
      <c r="R371" s="323" t="str">
        <f t="shared" si="178"/>
        <v/>
      </c>
      <c r="S371" s="323" t="str">
        <f t="shared" si="204"/>
        <v/>
      </c>
      <c r="T371" s="323" t="str">
        <f t="shared" si="179"/>
        <v/>
      </c>
      <c r="U371" s="323" t="str">
        <f t="shared" si="180"/>
        <v/>
      </c>
      <c r="V371" s="322" t="str">
        <f t="shared" si="192"/>
        <v/>
      </c>
      <c r="W371" s="323" t="str">
        <f t="shared" si="205"/>
        <v/>
      </c>
      <c r="X371" s="323" t="str">
        <f t="shared" si="208"/>
        <v/>
      </c>
      <c r="Y371" s="323" t="str">
        <f t="shared" si="181"/>
        <v/>
      </c>
      <c r="Z371" s="323" t="str">
        <f t="shared" si="209"/>
        <v/>
      </c>
      <c r="AA371" s="326" t="str">
        <f t="shared" si="182"/>
        <v/>
      </c>
      <c r="AB371" s="323" t="str">
        <f t="shared" si="189"/>
        <v/>
      </c>
      <c r="AC371" s="327"/>
      <c r="AD371" s="328" t="str">
        <f t="shared" si="183"/>
        <v/>
      </c>
      <c r="AE371" s="328" t="str">
        <f t="shared" si="183"/>
        <v/>
      </c>
      <c r="AF371" s="328" t="str">
        <f t="shared" si="184"/>
        <v/>
      </c>
      <c r="AG371" s="328" t="str">
        <f t="shared" si="185"/>
        <v/>
      </c>
      <c r="AH371" s="328" t="str">
        <f t="shared" si="200"/>
        <v/>
      </c>
      <c r="AI371" s="328" t="str">
        <f t="shared" si="201"/>
        <v/>
      </c>
      <c r="AJ371" s="329" t="str">
        <f t="shared" si="186"/>
        <v/>
      </c>
      <c r="AK371" s="329" t="str" cm="1">
        <f t="array" ref="AK371">IF(OR(E371="", H371=""), "",
  IFERROR(
     (
      INDEX($AM$3:$AM$22, MATCH(E371, $AL$3:$AL$22, 1)) +
      (E371 - INDEX($AL$3:$AL$22, MATCH(E371, $AL$3:$AL$22, 1))) *
      (INDEX($AM$3:$AM$22, MATCH(E371, $AL$3:$AL$22, 1)+1) - INDEX($AM$3:$AM$22, MATCH(E371, $AL$3:$AL$22, 1))) /
      (INDEX($AL$3:$AL$22, MATCH(E371, $AL$3:$AL$22, 1)+1) - INDEX($AL$3:$AL$22, MATCH(E371, $AL$3:$AL$22, 1)))
    ) - H371,
    ""
  )
)</f>
        <v/>
      </c>
      <c r="AL371" s="341"/>
      <c r="AM371" s="342"/>
      <c r="AN371" s="343"/>
    </row>
    <row r="372" spans="1:40" s="315" customFormat="1" ht="15" customHeight="1" x14ac:dyDescent="0.35">
      <c r="A372" s="297">
        <f t="shared" si="210"/>
        <v>3</v>
      </c>
      <c r="B372" s="298">
        <f t="shared" si="210"/>
        <v>19</v>
      </c>
      <c r="C372" s="299" t="str">
        <f t="shared" si="198"/>
        <v/>
      </c>
      <c r="D372" s="300"/>
      <c r="E372" s="301" t="str">
        <f t="shared" si="194"/>
        <v/>
      </c>
      <c r="F372" s="302"/>
      <c r="G372" s="302"/>
      <c r="H372" s="303" t="str">
        <f t="shared" si="199"/>
        <v/>
      </c>
      <c r="I372" s="304" t="str">
        <f t="shared" si="206"/>
        <v/>
      </c>
      <c r="J372" s="302" t="str">
        <f t="shared" si="176"/>
        <v/>
      </c>
      <c r="K372" s="304" t="str">
        <f t="shared" si="195"/>
        <v/>
      </c>
      <c r="L372" s="302"/>
      <c r="M372" s="305"/>
      <c r="N372" s="304" t="str">
        <f t="shared" si="207"/>
        <v/>
      </c>
      <c r="O372" s="304">
        <f t="shared" si="203"/>
        <v>0</v>
      </c>
      <c r="P372" s="306" t="str">
        <f t="shared" si="202"/>
        <v/>
      </c>
      <c r="Q372" s="307" t="str">
        <f t="shared" si="196"/>
        <v/>
      </c>
      <c r="R372" s="304" t="str">
        <f t="shared" si="178"/>
        <v/>
      </c>
      <c r="S372" s="304" t="str">
        <f t="shared" si="204"/>
        <v/>
      </c>
      <c r="T372" s="304" t="str">
        <f t="shared" si="179"/>
        <v/>
      </c>
      <c r="U372" s="304" t="str">
        <f t="shared" si="180"/>
        <v/>
      </c>
      <c r="V372" s="303" t="str">
        <f t="shared" si="192"/>
        <v/>
      </c>
      <c r="W372" s="304" t="str">
        <f t="shared" si="205"/>
        <v/>
      </c>
      <c r="X372" s="304" t="str">
        <f t="shared" si="208"/>
        <v/>
      </c>
      <c r="Y372" s="304" t="str">
        <f t="shared" si="181"/>
        <v/>
      </c>
      <c r="Z372" s="304" t="str">
        <f t="shared" si="209"/>
        <v/>
      </c>
      <c r="AA372" s="308" t="str">
        <f t="shared" si="182"/>
        <v/>
      </c>
      <c r="AB372" s="304" t="str">
        <f t="shared" si="189"/>
        <v/>
      </c>
      <c r="AC372" s="309"/>
      <c r="AD372" s="310" t="str">
        <f t="shared" si="183"/>
        <v/>
      </c>
      <c r="AE372" s="310" t="str">
        <f t="shared" si="183"/>
        <v/>
      </c>
      <c r="AF372" s="310" t="str">
        <f t="shared" si="184"/>
        <v/>
      </c>
      <c r="AG372" s="310" t="str">
        <f t="shared" si="185"/>
        <v/>
      </c>
      <c r="AH372" s="310" t="str">
        <f t="shared" si="200"/>
        <v/>
      </c>
      <c r="AI372" s="310" t="str">
        <f t="shared" si="201"/>
        <v/>
      </c>
      <c r="AJ372" s="311" t="str">
        <f t="shared" si="186"/>
        <v/>
      </c>
      <c r="AK372" s="311" t="str" cm="1">
        <f t="array" ref="AK372">IF(OR(E372="", H372=""), "",
  IFERROR(
     (
      INDEX($AM$3:$AM$22, MATCH(E372, $AL$3:$AL$22, 1)) +
      (E372 - INDEX($AL$3:$AL$22, MATCH(E372, $AL$3:$AL$22, 1))) *
      (INDEX($AM$3:$AM$22, MATCH(E372, $AL$3:$AL$22, 1)+1) - INDEX($AM$3:$AM$22, MATCH(E372, $AL$3:$AL$22, 1))) /
      (INDEX($AL$3:$AL$22, MATCH(E372, $AL$3:$AL$22, 1)+1) - INDEX($AL$3:$AL$22, MATCH(E372, $AL$3:$AL$22, 1)))
    ) - H372,
    ""
  )
)</f>
        <v/>
      </c>
      <c r="AL372" s="338"/>
      <c r="AM372" s="339"/>
      <c r="AN372" s="340"/>
    </row>
    <row r="373" spans="1:40" s="315" customFormat="1" ht="15" customHeight="1" x14ac:dyDescent="0.35">
      <c r="A373" s="316">
        <f t="shared" si="210"/>
        <v>3</v>
      </c>
      <c r="B373" s="317">
        <f t="shared" si="210"/>
        <v>19</v>
      </c>
      <c r="C373" s="318" t="str">
        <f t="shared" si="198"/>
        <v/>
      </c>
      <c r="D373" s="319"/>
      <c r="E373" s="320" t="str">
        <f t="shared" si="194"/>
        <v/>
      </c>
      <c r="F373" s="321"/>
      <c r="G373" s="321"/>
      <c r="H373" s="322" t="str">
        <f t="shared" si="199"/>
        <v/>
      </c>
      <c r="I373" s="323" t="str">
        <f t="shared" si="206"/>
        <v/>
      </c>
      <c r="J373" s="321" t="str">
        <f t="shared" si="176"/>
        <v/>
      </c>
      <c r="K373" s="323" t="str">
        <f t="shared" si="195"/>
        <v/>
      </c>
      <c r="L373" s="321"/>
      <c r="M373" s="333"/>
      <c r="N373" s="323" t="str">
        <f t="shared" si="207"/>
        <v/>
      </c>
      <c r="O373" s="323">
        <f t="shared" si="203"/>
        <v>0</v>
      </c>
      <c r="P373" s="324" t="str">
        <f t="shared" si="202"/>
        <v/>
      </c>
      <c r="Q373" s="325" t="str">
        <f t="shared" si="196"/>
        <v/>
      </c>
      <c r="R373" s="323" t="str">
        <f t="shared" si="178"/>
        <v/>
      </c>
      <c r="S373" s="323" t="str">
        <f t="shared" si="204"/>
        <v/>
      </c>
      <c r="T373" s="323" t="str">
        <f t="shared" si="179"/>
        <v/>
      </c>
      <c r="U373" s="323" t="str">
        <f t="shared" si="180"/>
        <v/>
      </c>
      <c r="V373" s="322" t="str">
        <f t="shared" si="192"/>
        <v/>
      </c>
      <c r="W373" s="323" t="str">
        <f t="shared" si="205"/>
        <v/>
      </c>
      <c r="X373" s="323" t="str">
        <f t="shared" si="208"/>
        <v/>
      </c>
      <c r="Y373" s="323" t="str">
        <f t="shared" si="181"/>
        <v/>
      </c>
      <c r="Z373" s="323" t="str">
        <f t="shared" si="209"/>
        <v/>
      </c>
      <c r="AA373" s="326" t="str">
        <f t="shared" si="182"/>
        <v/>
      </c>
      <c r="AB373" s="323" t="str">
        <f t="shared" si="189"/>
        <v/>
      </c>
      <c r="AC373" s="327"/>
      <c r="AD373" s="328" t="str">
        <f t="shared" si="183"/>
        <v/>
      </c>
      <c r="AE373" s="328" t="str">
        <f t="shared" si="183"/>
        <v/>
      </c>
      <c r="AF373" s="328" t="str">
        <f t="shared" si="184"/>
        <v/>
      </c>
      <c r="AG373" s="328" t="str">
        <f t="shared" si="185"/>
        <v/>
      </c>
      <c r="AH373" s="328" t="str">
        <f t="shared" si="200"/>
        <v/>
      </c>
      <c r="AI373" s="328" t="str">
        <f t="shared" si="201"/>
        <v/>
      </c>
      <c r="AJ373" s="329" t="str">
        <f t="shared" si="186"/>
        <v/>
      </c>
      <c r="AK373" s="329" t="str" cm="1">
        <f t="array" ref="AK373">IF(OR(E373="", H373=""), "",
  IFERROR(
     (
      INDEX($AM$3:$AM$22, MATCH(E373, $AL$3:$AL$22, 1)) +
      (E373 - INDEX($AL$3:$AL$22, MATCH(E373, $AL$3:$AL$22, 1))) *
      (INDEX($AM$3:$AM$22, MATCH(E373, $AL$3:$AL$22, 1)+1) - INDEX($AM$3:$AM$22, MATCH(E373, $AL$3:$AL$22, 1))) /
      (INDEX($AL$3:$AL$22, MATCH(E373, $AL$3:$AL$22, 1)+1) - INDEX($AL$3:$AL$22, MATCH(E373, $AL$3:$AL$22, 1)))
    ) - H373,
    ""
  )
)</f>
        <v/>
      </c>
      <c r="AL373" s="341"/>
      <c r="AM373" s="342"/>
      <c r="AN373" s="343"/>
    </row>
    <row r="374" spans="1:40" s="315" customFormat="1" ht="15" customHeight="1" x14ac:dyDescent="0.35">
      <c r="A374" s="297">
        <f t="shared" si="210"/>
        <v>3</v>
      </c>
      <c r="B374" s="298">
        <f t="shared" si="210"/>
        <v>19</v>
      </c>
      <c r="C374" s="299" t="str">
        <f t="shared" si="198"/>
        <v/>
      </c>
      <c r="D374" s="300"/>
      <c r="E374" s="301" t="str">
        <f t="shared" si="194"/>
        <v/>
      </c>
      <c r="F374" s="302"/>
      <c r="G374" s="302"/>
      <c r="H374" s="303" t="str">
        <f t="shared" si="199"/>
        <v/>
      </c>
      <c r="I374" s="304" t="str">
        <f t="shared" si="206"/>
        <v/>
      </c>
      <c r="J374" s="302" t="str">
        <f t="shared" ref="J374:J437" si="211">IF(L374="","",D374)</f>
        <v/>
      </c>
      <c r="K374" s="304" t="str">
        <f t="shared" si="195"/>
        <v/>
      </c>
      <c r="L374" s="302"/>
      <c r="M374" s="305"/>
      <c r="N374" s="304" t="str">
        <f t="shared" si="207"/>
        <v/>
      </c>
      <c r="O374" s="304">
        <f t="shared" si="203"/>
        <v>0</v>
      </c>
      <c r="P374" s="306" t="str">
        <f t="shared" si="202"/>
        <v/>
      </c>
      <c r="Q374" s="307" t="str">
        <f t="shared" si="196"/>
        <v/>
      </c>
      <c r="R374" s="304" t="str">
        <f t="shared" si="178"/>
        <v/>
      </c>
      <c r="S374" s="304" t="str">
        <f t="shared" si="204"/>
        <v/>
      </c>
      <c r="T374" s="304" t="str">
        <f t="shared" si="179"/>
        <v/>
      </c>
      <c r="U374" s="304" t="str">
        <f t="shared" si="180"/>
        <v/>
      </c>
      <c r="V374" s="303" t="str">
        <f t="shared" si="192"/>
        <v/>
      </c>
      <c r="W374" s="304" t="str">
        <f t="shared" si="205"/>
        <v/>
      </c>
      <c r="X374" s="304" t="str">
        <f t="shared" si="208"/>
        <v/>
      </c>
      <c r="Y374" s="304" t="str">
        <f t="shared" si="181"/>
        <v/>
      </c>
      <c r="Z374" s="304" t="str">
        <f t="shared" si="209"/>
        <v/>
      </c>
      <c r="AA374" s="308" t="str">
        <f t="shared" si="182"/>
        <v/>
      </c>
      <c r="AB374" s="304" t="str">
        <f t="shared" si="189"/>
        <v/>
      </c>
      <c r="AC374" s="309"/>
      <c r="AD374" s="310" t="str">
        <f t="shared" si="183"/>
        <v/>
      </c>
      <c r="AE374" s="310" t="str">
        <f t="shared" si="183"/>
        <v/>
      </c>
      <c r="AF374" s="310" t="str">
        <f t="shared" si="184"/>
        <v/>
      </c>
      <c r="AG374" s="310" t="str">
        <f t="shared" si="185"/>
        <v/>
      </c>
      <c r="AH374" s="310" t="str">
        <f t="shared" si="200"/>
        <v/>
      </c>
      <c r="AI374" s="310" t="str">
        <f t="shared" si="201"/>
        <v/>
      </c>
      <c r="AJ374" s="311" t="str">
        <f t="shared" si="186"/>
        <v/>
      </c>
      <c r="AK374" s="311" t="str" cm="1">
        <f t="array" ref="AK374">IF(OR(E374="", H374=""), "",
  IFERROR(
     (
      INDEX($AM$3:$AM$22, MATCH(E374, $AL$3:$AL$22, 1)) +
      (E374 - INDEX($AL$3:$AL$22, MATCH(E374, $AL$3:$AL$22, 1))) *
      (INDEX($AM$3:$AM$22, MATCH(E374, $AL$3:$AL$22, 1)+1) - INDEX($AM$3:$AM$22, MATCH(E374, $AL$3:$AL$22, 1))) /
      (INDEX($AL$3:$AL$22, MATCH(E374, $AL$3:$AL$22, 1)+1) - INDEX($AL$3:$AL$22, MATCH(E374, $AL$3:$AL$22, 1)))
    ) - H374,
    ""
  )
)</f>
        <v/>
      </c>
      <c r="AL374" s="338"/>
      <c r="AM374" s="339"/>
      <c r="AN374" s="340"/>
    </row>
    <row r="375" spans="1:40" s="315" customFormat="1" ht="15" customHeight="1" x14ac:dyDescent="0.35">
      <c r="A375" s="316">
        <f t="shared" si="210"/>
        <v>3</v>
      </c>
      <c r="B375" s="317">
        <f t="shared" si="210"/>
        <v>19</v>
      </c>
      <c r="C375" s="318" t="str">
        <f t="shared" si="198"/>
        <v/>
      </c>
      <c r="D375" s="319"/>
      <c r="E375" s="320" t="str">
        <f t="shared" si="194"/>
        <v/>
      </c>
      <c r="F375" s="321"/>
      <c r="G375" s="321"/>
      <c r="H375" s="322" t="str">
        <f t="shared" si="199"/>
        <v/>
      </c>
      <c r="I375" s="323" t="str">
        <f t="shared" si="206"/>
        <v/>
      </c>
      <c r="J375" s="321" t="str">
        <f t="shared" si="211"/>
        <v/>
      </c>
      <c r="K375" s="323" t="str">
        <f t="shared" si="195"/>
        <v/>
      </c>
      <c r="L375" s="321"/>
      <c r="M375" s="333"/>
      <c r="N375" s="323" t="str">
        <f t="shared" si="207"/>
        <v/>
      </c>
      <c r="O375" s="323">
        <f t="shared" si="203"/>
        <v>0</v>
      </c>
      <c r="P375" s="324" t="str">
        <f t="shared" si="202"/>
        <v/>
      </c>
      <c r="Q375" s="325" t="str">
        <f t="shared" si="196"/>
        <v/>
      </c>
      <c r="R375" s="323" t="str">
        <f t="shared" si="178"/>
        <v/>
      </c>
      <c r="S375" s="323" t="str">
        <f t="shared" si="204"/>
        <v/>
      </c>
      <c r="T375" s="323" t="str">
        <f t="shared" si="179"/>
        <v/>
      </c>
      <c r="U375" s="323" t="str">
        <f t="shared" si="180"/>
        <v/>
      </c>
      <c r="V375" s="322" t="str">
        <f t="shared" si="192"/>
        <v/>
      </c>
      <c r="W375" s="323" t="str">
        <f t="shared" si="205"/>
        <v/>
      </c>
      <c r="X375" s="323" t="str">
        <f t="shared" si="208"/>
        <v/>
      </c>
      <c r="Y375" s="323" t="str">
        <f t="shared" si="181"/>
        <v/>
      </c>
      <c r="Z375" s="323" t="str">
        <f t="shared" si="209"/>
        <v/>
      </c>
      <c r="AA375" s="326" t="str">
        <f t="shared" si="182"/>
        <v/>
      </c>
      <c r="AB375" s="323" t="str">
        <f t="shared" si="189"/>
        <v/>
      </c>
      <c r="AC375" s="327"/>
      <c r="AD375" s="328" t="str">
        <f t="shared" si="183"/>
        <v/>
      </c>
      <c r="AE375" s="328" t="str">
        <f t="shared" si="183"/>
        <v/>
      </c>
      <c r="AF375" s="328" t="str">
        <f t="shared" si="184"/>
        <v/>
      </c>
      <c r="AG375" s="328" t="str">
        <f t="shared" si="185"/>
        <v/>
      </c>
      <c r="AH375" s="328" t="str">
        <f t="shared" si="200"/>
        <v/>
      </c>
      <c r="AI375" s="328" t="str">
        <f t="shared" si="201"/>
        <v/>
      </c>
      <c r="AJ375" s="329" t="str">
        <f t="shared" si="186"/>
        <v/>
      </c>
      <c r="AK375" s="329" t="str" cm="1">
        <f t="array" ref="AK375">IF(OR(E375="", H375=""), "",
  IFERROR(
     (
      INDEX($AM$3:$AM$22, MATCH(E375, $AL$3:$AL$22, 1)) +
      (E375 - INDEX($AL$3:$AL$22, MATCH(E375, $AL$3:$AL$22, 1))) *
      (INDEX($AM$3:$AM$22, MATCH(E375, $AL$3:$AL$22, 1)+1) - INDEX($AM$3:$AM$22, MATCH(E375, $AL$3:$AL$22, 1))) /
      (INDEX($AL$3:$AL$22, MATCH(E375, $AL$3:$AL$22, 1)+1) - INDEX($AL$3:$AL$22, MATCH(E375, $AL$3:$AL$22, 1)))
    ) - H375,
    ""
  )
)</f>
        <v/>
      </c>
      <c r="AL375" s="341"/>
      <c r="AM375" s="342"/>
      <c r="AN375" s="343"/>
    </row>
    <row r="376" spans="1:40" s="315" customFormat="1" ht="15" customHeight="1" x14ac:dyDescent="0.35">
      <c r="A376" s="297">
        <f t="shared" si="210"/>
        <v>3</v>
      </c>
      <c r="B376" s="298">
        <f t="shared" si="210"/>
        <v>19</v>
      </c>
      <c r="C376" s="299" t="str">
        <f t="shared" si="198"/>
        <v/>
      </c>
      <c r="D376" s="300"/>
      <c r="E376" s="301" t="str">
        <f t="shared" si="194"/>
        <v/>
      </c>
      <c r="F376" s="302"/>
      <c r="G376" s="302"/>
      <c r="H376" s="303" t="str">
        <f t="shared" si="199"/>
        <v/>
      </c>
      <c r="I376" s="304" t="str">
        <f t="shared" si="206"/>
        <v/>
      </c>
      <c r="J376" s="302" t="str">
        <f t="shared" si="211"/>
        <v/>
      </c>
      <c r="K376" s="304" t="str">
        <f t="shared" si="195"/>
        <v/>
      </c>
      <c r="L376" s="302"/>
      <c r="M376" s="305"/>
      <c r="N376" s="304" t="str">
        <f t="shared" si="207"/>
        <v/>
      </c>
      <c r="O376" s="304">
        <f t="shared" si="203"/>
        <v>0</v>
      </c>
      <c r="P376" s="306" t="str">
        <f t="shared" si="202"/>
        <v/>
      </c>
      <c r="Q376" s="307" t="str">
        <f t="shared" si="196"/>
        <v/>
      </c>
      <c r="R376" s="304" t="str">
        <f t="shared" si="178"/>
        <v/>
      </c>
      <c r="S376" s="304" t="str">
        <f t="shared" si="204"/>
        <v/>
      </c>
      <c r="T376" s="304" t="str">
        <f t="shared" si="179"/>
        <v/>
      </c>
      <c r="U376" s="304" t="str">
        <f t="shared" si="180"/>
        <v/>
      </c>
      <c r="V376" s="303" t="str">
        <f t="shared" si="192"/>
        <v/>
      </c>
      <c r="W376" s="304" t="str">
        <f t="shared" si="205"/>
        <v/>
      </c>
      <c r="X376" s="304" t="str">
        <f t="shared" si="208"/>
        <v/>
      </c>
      <c r="Y376" s="304" t="str">
        <f t="shared" si="181"/>
        <v/>
      </c>
      <c r="Z376" s="304" t="str">
        <f t="shared" si="209"/>
        <v/>
      </c>
      <c r="AA376" s="308" t="str">
        <f t="shared" si="182"/>
        <v/>
      </c>
      <c r="AB376" s="304" t="str">
        <f t="shared" si="189"/>
        <v/>
      </c>
      <c r="AC376" s="309"/>
      <c r="AD376" s="310" t="str">
        <f t="shared" si="183"/>
        <v/>
      </c>
      <c r="AE376" s="310" t="str">
        <f t="shared" si="183"/>
        <v/>
      </c>
      <c r="AF376" s="310" t="str">
        <f t="shared" si="184"/>
        <v/>
      </c>
      <c r="AG376" s="310" t="str">
        <f t="shared" si="185"/>
        <v/>
      </c>
      <c r="AH376" s="310" t="str">
        <f t="shared" si="200"/>
        <v/>
      </c>
      <c r="AI376" s="310" t="str">
        <f t="shared" si="201"/>
        <v/>
      </c>
      <c r="AJ376" s="311" t="str">
        <f t="shared" si="186"/>
        <v/>
      </c>
      <c r="AK376" s="311" t="str" cm="1">
        <f t="array" ref="AK376">IF(OR(E376="", H376=""), "",
  IFERROR(
     (
      INDEX($AM$3:$AM$22, MATCH(E376, $AL$3:$AL$22, 1)) +
      (E376 - INDEX($AL$3:$AL$22, MATCH(E376, $AL$3:$AL$22, 1))) *
      (INDEX($AM$3:$AM$22, MATCH(E376, $AL$3:$AL$22, 1)+1) - INDEX($AM$3:$AM$22, MATCH(E376, $AL$3:$AL$22, 1))) /
      (INDEX($AL$3:$AL$22, MATCH(E376, $AL$3:$AL$22, 1)+1) - INDEX($AL$3:$AL$22, MATCH(E376, $AL$3:$AL$22, 1)))
    ) - H376,
    ""
  )
)</f>
        <v/>
      </c>
      <c r="AL376" s="338"/>
      <c r="AM376" s="339"/>
      <c r="AN376" s="340"/>
    </row>
    <row r="377" spans="1:40" s="315" customFormat="1" ht="15" customHeight="1" x14ac:dyDescent="0.35">
      <c r="A377" s="316">
        <f t="shared" ref="A377:B382" si="212">+A376</f>
        <v>3</v>
      </c>
      <c r="B377" s="317">
        <f t="shared" si="212"/>
        <v>19</v>
      </c>
      <c r="C377" s="318" t="str">
        <f t="shared" si="198"/>
        <v/>
      </c>
      <c r="D377" s="319"/>
      <c r="E377" s="320" t="str">
        <f t="shared" si="194"/>
        <v/>
      </c>
      <c r="F377" s="321"/>
      <c r="G377" s="321"/>
      <c r="H377" s="322" t="str">
        <f t="shared" si="199"/>
        <v/>
      </c>
      <c r="I377" s="323" t="str">
        <f t="shared" si="206"/>
        <v/>
      </c>
      <c r="J377" s="321" t="str">
        <f t="shared" si="211"/>
        <v/>
      </c>
      <c r="K377" s="323" t="str">
        <f t="shared" si="195"/>
        <v/>
      </c>
      <c r="L377" s="321"/>
      <c r="M377" s="333"/>
      <c r="N377" s="323" t="str">
        <f t="shared" si="207"/>
        <v/>
      </c>
      <c r="O377" s="323">
        <f t="shared" si="203"/>
        <v>0</v>
      </c>
      <c r="P377" s="324" t="str">
        <f t="shared" si="202"/>
        <v/>
      </c>
      <c r="Q377" s="325" t="str">
        <f t="shared" si="196"/>
        <v/>
      </c>
      <c r="R377" s="323" t="str">
        <f t="shared" si="178"/>
        <v/>
      </c>
      <c r="S377" s="323" t="str">
        <f t="shared" si="204"/>
        <v/>
      </c>
      <c r="T377" s="323" t="str">
        <f t="shared" si="179"/>
        <v/>
      </c>
      <c r="U377" s="323" t="str">
        <f t="shared" si="180"/>
        <v/>
      </c>
      <c r="V377" s="322" t="str">
        <f t="shared" si="192"/>
        <v/>
      </c>
      <c r="W377" s="323" t="str">
        <f t="shared" si="205"/>
        <v/>
      </c>
      <c r="X377" s="323" t="str">
        <f t="shared" si="208"/>
        <v/>
      </c>
      <c r="Y377" s="323" t="str">
        <f t="shared" si="181"/>
        <v/>
      </c>
      <c r="Z377" s="323" t="str">
        <f t="shared" si="209"/>
        <v/>
      </c>
      <c r="AA377" s="326" t="str">
        <f t="shared" si="182"/>
        <v/>
      </c>
      <c r="AB377" s="323" t="str">
        <f t="shared" si="189"/>
        <v/>
      </c>
      <c r="AC377" s="327"/>
      <c r="AD377" s="328" t="str">
        <f t="shared" si="183"/>
        <v/>
      </c>
      <c r="AE377" s="328" t="str">
        <f t="shared" si="183"/>
        <v/>
      </c>
      <c r="AF377" s="328" t="str">
        <f t="shared" si="184"/>
        <v/>
      </c>
      <c r="AG377" s="328" t="str">
        <f t="shared" si="185"/>
        <v/>
      </c>
      <c r="AH377" s="328" t="str">
        <f t="shared" si="200"/>
        <v/>
      </c>
      <c r="AI377" s="328" t="str">
        <f t="shared" si="201"/>
        <v/>
      </c>
      <c r="AJ377" s="329" t="str">
        <f t="shared" si="186"/>
        <v/>
      </c>
      <c r="AK377" s="329" t="str" cm="1">
        <f t="array" ref="AK377">IF(OR(E377="", H377=""), "",
  IFERROR(
     (
      INDEX($AM$3:$AM$22, MATCH(E377, $AL$3:$AL$22, 1)) +
      (E377 - INDEX($AL$3:$AL$22, MATCH(E377, $AL$3:$AL$22, 1))) *
      (INDEX($AM$3:$AM$22, MATCH(E377, $AL$3:$AL$22, 1)+1) - INDEX($AM$3:$AM$22, MATCH(E377, $AL$3:$AL$22, 1))) /
      (INDEX($AL$3:$AL$22, MATCH(E377, $AL$3:$AL$22, 1)+1) - INDEX($AL$3:$AL$22, MATCH(E377, $AL$3:$AL$22, 1)))
    ) - H377,
    ""
  )
)</f>
        <v/>
      </c>
      <c r="AL377" s="341"/>
      <c r="AM377" s="342"/>
      <c r="AN377" s="343"/>
    </row>
    <row r="378" spans="1:40" s="315" customFormat="1" ht="15" customHeight="1" x14ac:dyDescent="0.35">
      <c r="A378" s="297">
        <f t="shared" si="212"/>
        <v>3</v>
      </c>
      <c r="B378" s="298">
        <f t="shared" si="212"/>
        <v>19</v>
      </c>
      <c r="C378" s="299" t="str">
        <f t="shared" si="198"/>
        <v/>
      </c>
      <c r="D378" s="300"/>
      <c r="E378" s="301" t="str">
        <f t="shared" si="194"/>
        <v/>
      </c>
      <c r="F378" s="302"/>
      <c r="G378" s="302"/>
      <c r="H378" s="303" t="str">
        <f t="shared" si="199"/>
        <v/>
      </c>
      <c r="I378" s="304" t="str">
        <f t="shared" si="206"/>
        <v/>
      </c>
      <c r="J378" s="302" t="str">
        <f t="shared" si="211"/>
        <v/>
      </c>
      <c r="K378" s="304" t="str">
        <f t="shared" si="195"/>
        <v/>
      </c>
      <c r="L378" s="302"/>
      <c r="M378" s="305"/>
      <c r="N378" s="304" t="str">
        <f t="shared" si="207"/>
        <v/>
      </c>
      <c r="O378" s="304">
        <f t="shared" si="203"/>
        <v>0</v>
      </c>
      <c r="P378" s="306" t="str">
        <f t="shared" si="202"/>
        <v/>
      </c>
      <c r="Q378" s="307" t="str">
        <f t="shared" si="196"/>
        <v/>
      </c>
      <c r="R378" s="304" t="str">
        <f t="shared" si="178"/>
        <v/>
      </c>
      <c r="S378" s="304" t="str">
        <f t="shared" si="204"/>
        <v/>
      </c>
      <c r="T378" s="304" t="str">
        <f t="shared" si="179"/>
        <v/>
      </c>
      <c r="U378" s="304" t="str">
        <f t="shared" si="180"/>
        <v/>
      </c>
      <c r="V378" s="303" t="str">
        <f t="shared" si="192"/>
        <v/>
      </c>
      <c r="W378" s="304" t="str">
        <f t="shared" si="205"/>
        <v/>
      </c>
      <c r="X378" s="304" t="str">
        <f t="shared" si="208"/>
        <v/>
      </c>
      <c r="Y378" s="304" t="str">
        <f t="shared" si="181"/>
        <v/>
      </c>
      <c r="Z378" s="304" t="str">
        <f t="shared" si="209"/>
        <v/>
      </c>
      <c r="AA378" s="308" t="str">
        <f t="shared" si="182"/>
        <v/>
      </c>
      <c r="AB378" s="304" t="str">
        <f t="shared" si="189"/>
        <v/>
      </c>
      <c r="AC378" s="309"/>
      <c r="AD378" s="310" t="str">
        <f t="shared" si="183"/>
        <v/>
      </c>
      <c r="AE378" s="310" t="str">
        <f t="shared" si="183"/>
        <v/>
      </c>
      <c r="AF378" s="310" t="str">
        <f t="shared" si="184"/>
        <v/>
      </c>
      <c r="AG378" s="310" t="str">
        <f t="shared" si="185"/>
        <v/>
      </c>
      <c r="AH378" s="310" t="str">
        <f t="shared" si="200"/>
        <v/>
      </c>
      <c r="AI378" s="310" t="str">
        <f t="shared" si="201"/>
        <v/>
      </c>
      <c r="AJ378" s="311" t="str">
        <f t="shared" si="186"/>
        <v/>
      </c>
      <c r="AK378" s="311" t="str" cm="1">
        <f t="array" ref="AK378">IF(OR(E378="", H378=""), "",
  IFERROR(
     (
      INDEX($AM$3:$AM$22, MATCH(E378, $AL$3:$AL$22, 1)) +
      (E378 - INDEX($AL$3:$AL$22, MATCH(E378, $AL$3:$AL$22, 1))) *
      (INDEX($AM$3:$AM$22, MATCH(E378, $AL$3:$AL$22, 1)+1) - INDEX($AM$3:$AM$22, MATCH(E378, $AL$3:$AL$22, 1))) /
      (INDEX($AL$3:$AL$22, MATCH(E378, $AL$3:$AL$22, 1)+1) - INDEX($AL$3:$AL$22, MATCH(E378, $AL$3:$AL$22, 1)))
    ) - H378,
    ""
  )
)</f>
        <v/>
      </c>
      <c r="AL378" s="338"/>
      <c r="AM378" s="339"/>
      <c r="AN378" s="340"/>
    </row>
    <row r="379" spans="1:40" s="315" customFormat="1" ht="15" customHeight="1" x14ac:dyDescent="0.35">
      <c r="A379" s="316">
        <f t="shared" si="212"/>
        <v>3</v>
      </c>
      <c r="B379" s="317">
        <f t="shared" si="212"/>
        <v>19</v>
      </c>
      <c r="C379" s="318" t="str">
        <f t="shared" si="198"/>
        <v/>
      </c>
      <c r="D379" s="319"/>
      <c r="E379" s="320" t="str">
        <f t="shared" si="194"/>
        <v/>
      </c>
      <c r="F379" s="321"/>
      <c r="G379" s="321"/>
      <c r="H379" s="322" t="str">
        <f t="shared" si="199"/>
        <v/>
      </c>
      <c r="I379" s="323" t="str">
        <f t="shared" si="206"/>
        <v/>
      </c>
      <c r="J379" s="321" t="str">
        <f t="shared" si="211"/>
        <v/>
      </c>
      <c r="K379" s="323" t="str">
        <f t="shared" si="195"/>
        <v/>
      </c>
      <c r="L379" s="321"/>
      <c r="M379" s="333"/>
      <c r="N379" s="323" t="str">
        <f t="shared" si="207"/>
        <v/>
      </c>
      <c r="O379" s="323">
        <f t="shared" si="203"/>
        <v>0</v>
      </c>
      <c r="P379" s="324" t="str">
        <f t="shared" si="202"/>
        <v/>
      </c>
      <c r="Q379" s="325" t="str">
        <f t="shared" si="196"/>
        <v/>
      </c>
      <c r="R379" s="323" t="str">
        <f t="shared" si="178"/>
        <v/>
      </c>
      <c r="S379" s="323" t="str">
        <f t="shared" si="204"/>
        <v/>
      </c>
      <c r="T379" s="323" t="str">
        <f t="shared" si="179"/>
        <v/>
      </c>
      <c r="U379" s="323" t="str">
        <f t="shared" si="180"/>
        <v/>
      </c>
      <c r="V379" s="322" t="str">
        <f t="shared" si="192"/>
        <v/>
      </c>
      <c r="W379" s="323" t="str">
        <f t="shared" si="205"/>
        <v/>
      </c>
      <c r="X379" s="323" t="str">
        <f t="shared" si="208"/>
        <v/>
      </c>
      <c r="Y379" s="323" t="str">
        <f t="shared" si="181"/>
        <v/>
      </c>
      <c r="Z379" s="323" t="str">
        <f t="shared" si="209"/>
        <v/>
      </c>
      <c r="AA379" s="326" t="str">
        <f t="shared" si="182"/>
        <v/>
      </c>
      <c r="AB379" s="323" t="str">
        <f t="shared" si="189"/>
        <v/>
      </c>
      <c r="AC379" s="327"/>
      <c r="AD379" s="328" t="str">
        <f t="shared" si="183"/>
        <v/>
      </c>
      <c r="AE379" s="328" t="str">
        <f t="shared" si="183"/>
        <v/>
      </c>
      <c r="AF379" s="328" t="str">
        <f t="shared" si="184"/>
        <v/>
      </c>
      <c r="AG379" s="328" t="str">
        <f t="shared" si="185"/>
        <v/>
      </c>
      <c r="AH379" s="328" t="str">
        <f t="shared" si="200"/>
        <v/>
      </c>
      <c r="AI379" s="328" t="str">
        <f t="shared" si="201"/>
        <v/>
      </c>
      <c r="AJ379" s="329" t="str">
        <f t="shared" si="186"/>
        <v/>
      </c>
      <c r="AK379" s="329" t="str" cm="1">
        <f t="array" ref="AK379">IF(OR(E379="", H379=""), "",
  IFERROR(
     (
      INDEX($AM$3:$AM$22, MATCH(E379, $AL$3:$AL$22, 1)) +
      (E379 - INDEX($AL$3:$AL$22, MATCH(E379, $AL$3:$AL$22, 1))) *
      (INDEX($AM$3:$AM$22, MATCH(E379, $AL$3:$AL$22, 1)+1) - INDEX($AM$3:$AM$22, MATCH(E379, $AL$3:$AL$22, 1))) /
      (INDEX($AL$3:$AL$22, MATCH(E379, $AL$3:$AL$22, 1)+1) - INDEX($AL$3:$AL$22, MATCH(E379, $AL$3:$AL$22, 1)))
    ) - H379,
    ""
  )
)</f>
        <v/>
      </c>
      <c r="AL379" s="341"/>
      <c r="AM379" s="342"/>
      <c r="AN379" s="343"/>
    </row>
    <row r="380" spans="1:40" s="315" customFormat="1" ht="15" customHeight="1" x14ac:dyDescent="0.35">
      <c r="A380" s="297">
        <f t="shared" si="212"/>
        <v>3</v>
      </c>
      <c r="B380" s="298">
        <f t="shared" si="212"/>
        <v>19</v>
      </c>
      <c r="C380" s="299" t="str">
        <f t="shared" si="198"/>
        <v/>
      </c>
      <c r="D380" s="300"/>
      <c r="E380" s="301" t="str">
        <f t="shared" si="194"/>
        <v/>
      </c>
      <c r="F380" s="302"/>
      <c r="G380" s="302"/>
      <c r="H380" s="303" t="str">
        <f t="shared" si="199"/>
        <v/>
      </c>
      <c r="I380" s="304" t="str">
        <f t="shared" si="206"/>
        <v/>
      </c>
      <c r="J380" s="302" t="str">
        <f t="shared" si="211"/>
        <v/>
      </c>
      <c r="K380" s="304" t="str">
        <f t="shared" si="195"/>
        <v/>
      </c>
      <c r="L380" s="302"/>
      <c r="M380" s="305"/>
      <c r="N380" s="304" t="str">
        <f t="shared" si="207"/>
        <v/>
      </c>
      <c r="O380" s="304">
        <f t="shared" si="203"/>
        <v>0</v>
      </c>
      <c r="P380" s="306" t="str">
        <f t="shared" si="202"/>
        <v/>
      </c>
      <c r="Q380" s="307" t="str">
        <f t="shared" si="196"/>
        <v/>
      </c>
      <c r="R380" s="304" t="str">
        <f t="shared" si="178"/>
        <v/>
      </c>
      <c r="S380" s="304" t="str">
        <f t="shared" si="204"/>
        <v/>
      </c>
      <c r="T380" s="304" t="str">
        <f t="shared" si="179"/>
        <v/>
      </c>
      <c r="U380" s="304" t="str">
        <f t="shared" si="180"/>
        <v/>
      </c>
      <c r="V380" s="303" t="str">
        <f t="shared" si="192"/>
        <v/>
      </c>
      <c r="W380" s="304" t="str">
        <f t="shared" si="205"/>
        <v/>
      </c>
      <c r="X380" s="304" t="str">
        <f t="shared" si="208"/>
        <v/>
      </c>
      <c r="Y380" s="304" t="str">
        <f t="shared" si="181"/>
        <v/>
      </c>
      <c r="Z380" s="304" t="str">
        <f t="shared" si="209"/>
        <v/>
      </c>
      <c r="AA380" s="308" t="str">
        <f t="shared" si="182"/>
        <v/>
      </c>
      <c r="AB380" s="304" t="str">
        <f t="shared" si="189"/>
        <v/>
      </c>
      <c r="AC380" s="309"/>
      <c r="AD380" s="310" t="str">
        <f t="shared" si="183"/>
        <v/>
      </c>
      <c r="AE380" s="310" t="str">
        <f t="shared" si="183"/>
        <v/>
      </c>
      <c r="AF380" s="310" t="str">
        <f t="shared" si="184"/>
        <v/>
      </c>
      <c r="AG380" s="310" t="str">
        <f t="shared" si="185"/>
        <v/>
      </c>
      <c r="AH380" s="310" t="str">
        <f t="shared" si="200"/>
        <v/>
      </c>
      <c r="AI380" s="310" t="str">
        <f t="shared" si="201"/>
        <v/>
      </c>
      <c r="AJ380" s="311" t="str">
        <f t="shared" si="186"/>
        <v/>
      </c>
      <c r="AK380" s="311" t="str" cm="1">
        <f t="array" ref="AK380">IF(OR(E380="", H380=""), "",
  IFERROR(
     (
      INDEX($AM$3:$AM$22, MATCH(E380, $AL$3:$AL$22, 1)) +
      (E380 - INDEX($AL$3:$AL$22, MATCH(E380, $AL$3:$AL$22, 1))) *
      (INDEX($AM$3:$AM$22, MATCH(E380, $AL$3:$AL$22, 1)+1) - INDEX($AM$3:$AM$22, MATCH(E380, $AL$3:$AL$22, 1))) /
      (INDEX($AL$3:$AL$22, MATCH(E380, $AL$3:$AL$22, 1)+1) - INDEX($AL$3:$AL$22, MATCH(E380, $AL$3:$AL$22, 1)))
    ) - H380,
    ""
  )
)</f>
        <v/>
      </c>
      <c r="AL380" s="338"/>
      <c r="AM380" s="339"/>
      <c r="AN380" s="340"/>
    </row>
    <row r="381" spans="1:40" s="315" customFormat="1" ht="15" customHeight="1" x14ac:dyDescent="0.35">
      <c r="A381" s="316">
        <f t="shared" si="212"/>
        <v>3</v>
      </c>
      <c r="B381" s="317">
        <f t="shared" si="212"/>
        <v>19</v>
      </c>
      <c r="C381" s="318" t="str">
        <f t="shared" si="198"/>
        <v/>
      </c>
      <c r="D381" s="319"/>
      <c r="E381" s="320" t="str">
        <f t="shared" si="194"/>
        <v/>
      </c>
      <c r="F381" s="321"/>
      <c r="G381" s="321"/>
      <c r="H381" s="322" t="str">
        <f t="shared" si="199"/>
        <v/>
      </c>
      <c r="I381" s="323" t="str">
        <f t="shared" si="206"/>
        <v/>
      </c>
      <c r="J381" s="321" t="str">
        <f t="shared" si="211"/>
        <v/>
      </c>
      <c r="K381" s="323" t="str">
        <f t="shared" si="195"/>
        <v/>
      </c>
      <c r="L381" s="321"/>
      <c r="M381" s="333"/>
      <c r="N381" s="323" t="str">
        <f t="shared" si="207"/>
        <v/>
      </c>
      <c r="O381" s="323">
        <f t="shared" si="203"/>
        <v>0</v>
      </c>
      <c r="P381" s="324" t="str">
        <f t="shared" si="202"/>
        <v/>
      </c>
      <c r="Q381" s="325" t="str">
        <f t="shared" si="196"/>
        <v/>
      </c>
      <c r="R381" s="323" t="str">
        <f t="shared" si="178"/>
        <v/>
      </c>
      <c r="S381" s="323" t="str">
        <f t="shared" si="204"/>
        <v/>
      </c>
      <c r="T381" s="323" t="str">
        <f t="shared" si="179"/>
        <v/>
      </c>
      <c r="U381" s="323" t="str">
        <f t="shared" si="180"/>
        <v/>
      </c>
      <c r="V381" s="322" t="str">
        <f t="shared" si="192"/>
        <v/>
      </c>
      <c r="W381" s="323" t="str">
        <f t="shared" si="205"/>
        <v/>
      </c>
      <c r="X381" s="323" t="str">
        <f t="shared" si="208"/>
        <v/>
      </c>
      <c r="Y381" s="323" t="str">
        <f t="shared" si="181"/>
        <v/>
      </c>
      <c r="Z381" s="323" t="str">
        <f t="shared" si="209"/>
        <v/>
      </c>
      <c r="AA381" s="326" t="str">
        <f t="shared" si="182"/>
        <v/>
      </c>
      <c r="AB381" s="323" t="str">
        <f t="shared" si="189"/>
        <v/>
      </c>
      <c r="AC381" s="327"/>
      <c r="AD381" s="328" t="str">
        <f t="shared" si="183"/>
        <v/>
      </c>
      <c r="AE381" s="328" t="str">
        <f t="shared" si="183"/>
        <v/>
      </c>
      <c r="AF381" s="328" t="str">
        <f t="shared" si="184"/>
        <v/>
      </c>
      <c r="AG381" s="328" t="str">
        <f t="shared" si="185"/>
        <v/>
      </c>
      <c r="AH381" s="328" t="str">
        <f t="shared" si="200"/>
        <v/>
      </c>
      <c r="AI381" s="328" t="str">
        <f t="shared" si="201"/>
        <v/>
      </c>
      <c r="AJ381" s="329" t="str">
        <f t="shared" si="186"/>
        <v/>
      </c>
      <c r="AK381" s="329" t="str" cm="1">
        <f t="array" ref="AK381">IF(OR(E381="", H381=""), "",
  IFERROR(
     (
      INDEX($AM$3:$AM$22, MATCH(E381, $AL$3:$AL$22, 1)) +
      (E381 - INDEX($AL$3:$AL$22, MATCH(E381, $AL$3:$AL$22, 1))) *
      (INDEX($AM$3:$AM$22, MATCH(E381, $AL$3:$AL$22, 1)+1) - INDEX($AM$3:$AM$22, MATCH(E381, $AL$3:$AL$22, 1))) /
      (INDEX($AL$3:$AL$22, MATCH(E381, $AL$3:$AL$22, 1)+1) - INDEX($AL$3:$AL$22, MATCH(E381, $AL$3:$AL$22, 1)))
    ) - H381,
    ""
  )
)</f>
        <v/>
      </c>
      <c r="AL381" s="341"/>
      <c r="AM381" s="342"/>
      <c r="AN381" s="343"/>
    </row>
    <row r="382" spans="1:40" s="315" customFormat="1" ht="15" customHeight="1" x14ac:dyDescent="0.35">
      <c r="A382" s="297">
        <f t="shared" si="212"/>
        <v>3</v>
      </c>
      <c r="B382" s="298">
        <f t="shared" si="212"/>
        <v>19</v>
      </c>
      <c r="C382" s="299" t="str">
        <f t="shared" si="198"/>
        <v/>
      </c>
      <c r="D382" s="300"/>
      <c r="E382" s="301" t="str">
        <f t="shared" si="194"/>
        <v/>
      </c>
      <c r="F382" s="302"/>
      <c r="G382" s="302"/>
      <c r="H382" s="303" t="str">
        <f t="shared" si="199"/>
        <v/>
      </c>
      <c r="I382" s="304" t="str">
        <f t="shared" si="206"/>
        <v/>
      </c>
      <c r="J382" s="302" t="str">
        <f t="shared" si="211"/>
        <v/>
      </c>
      <c r="K382" s="304" t="str">
        <f t="shared" si="195"/>
        <v/>
      </c>
      <c r="L382" s="302"/>
      <c r="M382" s="305"/>
      <c r="N382" s="304" t="str">
        <f t="shared" si="207"/>
        <v/>
      </c>
      <c r="O382" s="304">
        <f t="shared" si="203"/>
        <v>0</v>
      </c>
      <c r="P382" s="306" t="str">
        <f t="shared" si="202"/>
        <v/>
      </c>
      <c r="Q382" s="307" t="str">
        <f t="shared" si="196"/>
        <v/>
      </c>
      <c r="R382" s="304" t="str">
        <f t="shared" si="178"/>
        <v/>
      </c>
      <c r="S382" s="304" t="str">
        <f t="shared" si="204"/>
        <v/>
      </c>
      <c r="T382" s="304" t="str">
        <f t="shared" si="179"/>
        <v/>
      </c>
      <c r="U382" s="304" t="str">
        <f t="shared" si="180"/>
        <v/>
      </c>
      <c r="V382" s="303" t="str">
        <f t="shared" si="192"/>
        <v/>
      </c>
      <c r="W382" s="304" t="str">
        <f t="shared" si="205"/>
        <v/>
      </c>
      <c r="X382" s="304" t="str">
        <f t="shared" si="208"/>
        <v/>
      </c>
      <c r="Y382" s="304" t="str">
        <f t="shared" si="181"/>
        <v/>
      </c>
      <c r="Z382" s="304" t="str">
        <f t="shared" si="209"/>
        <v/>
      </c>
      <c r="AA382" s="308" t="str">
        <f t="shared" si="182"/>
        <v/>
      </c>
      <c r="AB382" s="304" t="str">
        <f t="shared" si="189"/>
        <v/>
      </c>
      <c r="AC382" s="309"/>
      <c r="AD382" s="310" t="str">
        <f t="shared" si="183"/>
        <v/>
      </c>
      <c r="AE382" s="310" t="str">
        <f t="shared" si="183"/>
        <v/>
      </c>
      <c r="AF382" s="310" t="str">
        <f t="shared" si="184"/>
        <v/>
      </c>
      <c r="AG382" s="310" t="str">
        <f t="shared" si="185"/>
        <v/>
      </c>
      <c r="AH382" s="310" t="str">
        <f t="shared" si="200"/>
        <v/>
      </c>
      <c r="AI382" s="310" t="str">
        <f t="shared" si="201"/>
        <v/>
      </c>
      <c r="AJ382" s="311" t="str">
        <f t="shared" si="186"/>
        <v/>
      </c>
      <c r="AK382" s="311" t="str" cm="1">
        <f t="array" ref="AK382">IF(OR(E382="", H382=""), "",
  IFERROR(
     (
      INDEX($AM$3:$AM$22, MATCH(E382, $AL$3:$AL$22, 1)) +
      (E382 - INDEX($AL$3:$AL$22, MATCH(E382, $AL$3:$AL$22, 1))) *
      (INDEX($AM$3:$AM$22, MATCH(E382, $AL$3:$AL$22, 1)+1) - INDEX($AM$3:$AM$22, MATCH(E382, $AL$3:$AL$22, 1))) /
      (INDEX($AL$3:$AL$22, MATCH(E382, $AL$3:$AL$22, 1)+1) - INDEX($AL$3:$AL$22, MATCH(E382, $AL$3:$AL$22, 1)))
    ) - H382,
    ""
  )
)</f>
        <v/>
      </c>
      <c r="AL382" s="338"/>
      <c r="AM382" s="339"/>
      <c r="AN382" s="340"/>
    </row>
    <row r="383" spans="1:40" s="315" customFormat="1" ht="15" customHeight="1" x14ac:dyDescent="0.35">
      <c r="A383" s="316">
        <f>+A343</f>
        <v>3</v>
      </c>
      <c r="B383" s="317">
        <f>+B343</f>
        <v>19</v>
      </c>
      <c r="C383" s="318" t="str">
        <f>IF(D383&gt;0,D383-D343,"")</f>
        <v/>
      </c>
      <c r="D383" s="319"/>
      <c r="E383" s="320" t="str">
        <f t="shared" si="194"/>
        <v/>
      </c>
      <c r="F383" s="321"/>
      <c r="G383" s="321"/>
      <c r="H383" s="322" t="str">
        <f>IF(F383="","",H343+(COS((AD383+AD343)/2))*AI383)</f>
        <v/>
      </c>
      <c r="I383" s="323" t="str">
        <f>IF(OR(F383="",G383=""),"",DEGREES(ACOS(COS(AD383-AD343)-(SIN(AD383)*SIN(AD343)*(1-COS(AE383-AE343)))))*(30/AI383))</f>
        <v/>
      </c>
      <c r="J383" s="321" t="str">
        <f t="shared" si="211"/>
        <v/>
      </c>
      <c r="K383" s="323" t="str">
        <f t="shared" si="195"/>
        <v/>
      </c>
      <c r="L383" s="321"/>
      <c r="M383" s="333"/>
      <c r="N383" s="323" t="str">
        <f>IF(SUM(IF(AND(E383&gt;K340,E343&lt;=J340),L340,0)+IF(AND(E383&gt;=K340,E343&lt;K340,E343&gt;J340),K340-E343,0)+IF(AND(E383&gt;J340,E343&lt;=J340,E383&lt;K340),E383-J340,0)+IF(AND(E383&lt;K340,E343&gt;J340,E383&gt;E343),E383-E343,0)+IF(AND(E383&gt;K341,E343&lt;=J341),L341,0)+IF(AND(E383&gt;=K341,E343&lt;K341,E343&gt;J341),K341-E343,0)+IF(AND(E383&gt;J341,E343&lt;=J341,E383&lt;K341),E383-J341,0)+IF(AND(E383&lt;K341,E343&gt;J341,E383&gt;E343),E383-E343,0)+IF(AND(E383&gt;K342,E343&lt;=J342),L342,0)+IF(AND(E383&gt;=K342,E343&lt;K342,E343&gt;J342),K342-E343,0)+IF(AND(E383&gt;J342,E343&lt;J342,E383&lt;=K342),E383-J342,0)+IF(AND(E383&lt;K342,E343&gt;J342,E383&gt;E343),E383-E343,0)+IF(AND(E383&gt;K343,E343&lt;=J343),L343,0)+IF(AND(E383&gt;=K343,E343&lt;K343,E343&gt;J343),K343-E343,0)+IF(AND(E383&gt;J343,E343&lt;J343,E383&lt;=K343),E383-J343,0)+IF(AND(E383&lt;K343,E343&gt;J343,E383&gt;E343),E383-E343,0))=0,"",SUM(IF(AND(E383&gt;K340,E343&lt;=J340),L340,0)+IF(AND(E383&gt;=K340,E343&lt;K340,E343&gt;J340),K340-E343,0)+IF(AND(E383&gt;J340,E343&lt;=J340,E383&lt;K340),E383-J340,0)+IF(AND(E383&lt;K340,E343&gt;J340,E383&gt;E343),E383-E343,0)+IF(AND(E383&gt;K341,E343&lt;=J341),L341,0)+IF(AND(E383&gt;=K341,E343&lt;K341,E343&gt;J341),K341-E343,0)+IF(AND(E383&gt;J341,E343&lt;=J341,E383&lt;K341),E383-J341,0)+IF(AND(E383&lt;K341,E343&gt;J341,E383&gt;E343),E383-E343,0)+IF(AND(E383&gt;K342,E343&lt;=J342),L342,0)+IF(AND(E383&gt;=K342,E343&lt;K342,E343&gt;J342),K342-E343,0)+IF(AND(E383&gt;J342,E343&lt;J342,E383&lt;=K342),E383-J342,0)+IF(AND(E383&lt;K342,E343&gt;J342,E383&gt;E343),E383-E343,0)+IF(AND(E383&gt;K343,E343&lt;=J343),L343,0)+IF(AND(E383&gt;=K343,E343&lt;K343,E343&gt;J343),K343-E343,0)+IF(AND(E383&gt;J343,E343&lt;J343,E383&lt;=K343),E383-J343,0)+IF(AND(E383&lt;K343,E343&gt;J343,E383&gt;E343),E383-E343,0)))</f>
        <v/>
      </c>
      <c r="O383" s="323">
        <f>SUM(IF(AND(D383&gt;K341,E383&lt;=J341),L341,0)+IF(AND(D383&gt;=K341,E383&lt;K341,E383&gt;J341),K341-E383,0)+IF(AND(D383&gt;J341,E383&lt;=J341,D383&lt;K341),D383-J341,0)+IF(AND(D383&lt;K341,E383&gt;J341,D383&gt;E383),D383-E383,0)+IF(AND(D383&gt;K342,E383&lt;=J342),L342,0)+IF(AND(D383&gt;=K342,E383&lt;K342,E383&gt;J342),K342-E383,0)+IF(AND(D383&gt;J342,E383&lt;J342,D383&lt;=K342),D383-J342,0)+IF(AND(D383&lt;K342,E383&gt;J342,D383&gt;E383),D383-E383,0)+IF(AND(D383&gt;K343,E383&lt;=J343),L343,0)+IF(AND(D383&gt;=K343,E383&lt;K343,E383&gt;J343),K343-E383,0)+IF(AND(D383&gt;J343,E383&lt;J343,D383&lt;=K343),D383-J343,0)+IF(AND(D383&lt;K343,E383&gt;J343,D383&gt;E383),D383-E383,0))</f>
        <v>0</v>
      </c>
      <c r="P383" s="324" t="str">
        <f>IF(AND(ISNUMBER(C383),ISNUMBER(I383)),(IF(AND(I383&gt;0,G383&lt;&gt;G343),ACOS((C383*X383/30)/(C383*I383/30))*180/PI(),IF(AND(F383&gt;F343,G383=G343),"H/S",IF(AND(F383&lt;F343,G383=G343),"L/S","")))),"")</f>
        <v/>
      </c>
      <c r="Q383" s="325" t="str">
        <f t="shared" si="196"/>
        <v/>
      </c>
      <c r="R383" s="323" t="str">
        <f t="shared" si="178"/>
        <v/>
      </c>
      <c r="S383" s="323" t="str">
        <f>IF(V383="","",IF(AND(N383="",O383=""),F383,IF(O383="",O383*AVERAGE(V343,V342,V341)+F383,O383*V383+F383)))</f>
        <v/>
      </c>
      <c r="T383" s="323" t="str">
        <f t="shared" si="179"/>
        <v/>
      </c>
      <c r="U383" s="323" t="str">
        <f t="shared" si="180"/>
        <v/>
      </c>
      <c r="V383" s="322" t="str">
        <f t="shared" si="192"/>
        <v/>
      </c>
      <c r="W383" s="323" t="str">
        <f>IF(G383="","",IF(N383="",(G383-G343)/30,AH383/N383))</f>
        <v/>
      </c>
      <c r="X383" s="323" t="str">
        <f>IF(V383="","",(F383-F343)*30/AI383)</f>
        <v/>
      </c>
      <c r="Y383" s="323" t="str">
        <f t="shared" si="181"/>
        <v/>
      </c>
      <c r="Z383" s="323" t="str">
        <f t="shared" si="209"/>
        <v/>
      </c>
      <c r="AA383" s="326" t="str">
        <f t="shared" si="182"/>
        <v/>
      </c>
      <c r="AB383" s="323" t="str">
        <f t="shared" si="189"/>
        <v/>
      </c>
      <c r="AC383" s="327"/>
      <c r="AD383" s="328" t="str">
        <f t="shared" si="183"/>
        <v/>
      </c>
      <c r="AE383" s="328" t="str">
        <f t="shared" si="183"/>
        <v/>
      </c>
      <c r="AF383" s="328" t="str">
        <f t="shared" si="184"/>
        <v/>
      </c>
      <c r="AG383" s="328" t="str">
        <f t="shared" si="185"/>
        <v/>
      </c>
      <c r="AH383" s="328" t="str">
        <f>IF(G383="","",IF(G383&gt;G343,IF((G383-G343)&gt;180,(G383-G343)-360,G383-G343),IF((G383-G343)&lt;-180,(G383-G343)+360,G383-G343)))</f>
        <v/>
      </c>
      <c r="AI383" s="328" t="str">
        <f>+IF(E383="","",E383-E343)</f>
        <v/>
      </c>
      <c r="AJ383" s="329" t="str">
        <f t="shared" si="186"/>
        <v/>
      </c>
      <c r="AK383" s="329" t="str" cm="1">
        <f t="array" ref="AK383">IF(OR(E383="", H383=""), "",
  IFERROR(
     (
      INDEX($AM$3:$AM$22, MATCH(E383, $AL$3:$AL$22, 1)) +
      (E383 - INDEX($AL$3:$AL$22, MATCH(E383, $AL$3:$AL$22, 1))) *
      (INDEX($AM$3:$AM$22, MATCH(E383, $AL$3:$AL$22, 1)+1) - INDEX($AM$3:$AM$22, MATCH(E383, $AL$3:$AL$22, 1))) /
      (INDEX($AL$3:$AL$22, MATCH(E383, $AL$3:$AL$22, 1)+1) - INDEX($AL$3:$AL$22, MATCH(E383, $AL$3:$AL$22, 1)))
    ) - H383,
    ""
  )
)</f>
        <v/>
      </c>
      <c r="AL383" s="341"/>
      <c r="AM383" s="342"/>
      <c r="AN383" s="343"/>
    </row>
    <row r="384" spans="1:40" s="315" customFormat="1" ht="15" customHeight="1" x14ac:dyDescent="0.35">
      <c r="A384" s="297">
        <f t="shared" ref="A384:B399" si="213">+A383</f>
        <v>3</v>
      </c>
      <c r="B384" s="298">
        <f t="shared" si="213"/>
        <v>19</v>
      </c>
      <c r="C384" s="299" t="str">
        <f t="shared" ref="C384:C447" si="214">IF(D384&gt;0,D384-D383,"")</f>
        <v/>
      </c>
      <c r="D384" s="300"/>
      <c r="E384" s="301" t="str">
        <f t="shared" si="194"/>
        <v/>
      </c>
      <c r="F384" s="302"/>
      <c r="G384" s="302"/>
      <c r="H384" s="303" t="str">
        <f t="shared" ref="H384:H447" si="215">IF(F384="","",H383+(COS((AD384+AD383)/2))*AI384)</f>
        <v/>
      </c>
      <c r="I384" s="304" t="str">
        <f t="shared" ref="I384:I447" si="216">IF(OR(F384="",G384=""),"",DEGREES(ACOS(COS(AD384-AD383)-(SIN(AD384)*SIN(AD383)*(1-COS(AE384-AE383)))))*(30/AI384))</f>
        <v/>
      </c>
      <c r="J384" s="302" t="str">
        <f t="shared" si="211"/>
        <v/>
      </c>
      <c r="K384" s="304" t="str">
        <f t="shared" si="195"/>
        <v/>
      </c>
      <c r="L384" s="302"/>
      <c r="M384" s="305"/>
      <c r="N384" s="304" t="str">
        <f>IF(SUM(IF(AND(E384&gt;K341,E383&lt;=J341),L341,0)+IF(AND(E384&gt;=K341,E383&lt;K341,E383&gt;J341),K341-E383,0)+IF(AND(E384&gt;J341,E383&lt;=J341,E384&lt;K341),E384-J341,0)+IF(AND(E384&lt;K341,E383&gt;J341,E384&gt;E383),E384-E383,0)+IF(AND(E384&gt;K342,E383&lt;=J342),L342,0)+IF(AND(E384&gt;=K342,E383&lt;K342,E383&gt;J342),K342-E383,0)+IF(AND(E384&gt;J342,E383&lt;=J342,E384&lt;K342),E384-J342,0)+IF(AND(E384&lt;K342,E383&gt;J342,E384&gt;E383),E384-E383,0)+IF(AND(E384&gt;K343,E383&lt;=J343),L343,0)+IF(AND(E384&gt;=K343,E383&lt;K343,E383&gt;J343),K343-E383,0)+IF(AND(E384&gt;J343,E383&lt;J343,E384&lt;=K343),E384-J343,0)+IF(AND(E384&lt;K343,E383&gt;J343,E384&gt;E383),E384-E383,0)+IF(AND(E384&gt;K383,E383&lt;=J383),L383,0)+IF(AND(E384&gt;=K383,E383&lt;K383,E383&gt;J383),K383-E383,0)+IF(AND(E384&gt;J383,E383&lt;J383,E384&lt;=K383),E384-J383,0)+IF(AND(E384&lt;K383,E383&gt;J383,E384&gt;E383),E384-E383,0))=0,"",SUM(IF(AND(E384&gt;K341,E383&lt;=J341),L341,0)+IF(AND(E384&gt;=K341,E383&lt;K341,E383&gt;J341),K341-E383,0)+IF(AND(E384&gt;J341,E383&lt;=J341,E384&lt;K341),E384-J341,0)+IF(AND(E384&lt;K341,E383&gt;J341,E384&gt;E383),E384-E383,0)+IF(AND(E384&gt;K342,E383&lt;=J342),L342,0)+IF(AND(E384&gt;=K342,E383&lt;K342,E383&gt;J342),K342-E383,0)+IF(AND(E384&gt;J342,E383&lt;=J342,E384&lt;K342),E384-J342,0)+IF(AND(E384&lt;K342,E383&gt;J342,E384&gt;E383),E384-E383,0)+IF(AND(E384&gt;K343,E383&lt;=J343),L343,0)+IF(AND(E384&gt;=K343,E383&lt;K343,E383&gt;J343),K343-E383,0)+IF(AND(E384&gt;J343,E383&lt;J343,E384&lt;=K343),E384-J343,0)+IF(AND(E384&lt;K343,E383&gt;J343,E384&gt;E383),E384-E383,0)+IF(AND(E384&gt;K383,E383&lt;=J383),L383,0)+IF(AND(E384&gt;=K383,E383&lt;K383,E383&gt;J383),K383-E383,0)+IF(AND(E384&gt;J383,E383&lt;J383,E384&lt;=K383),E384-J383,0)+IF(AND(E384&lt;K383,E383&gt;J383,E384&gt;E383),E384-E383,0)))</f>
        <v/>
      </c>
      <c r="O384" s="304">
        <f>SUM(IF(AND(D384&gt;K342,E384&lt;=J342),L342,0)+IF(AND(D384&gt;=K342,E384&lt;K342,E384&gt;J342),K342-E384,0)+IF(AND(D384&gt;J342,E384&lt;=J342,D384&lt;K342),D384-J342,0)+IF(AND(D384&lt;K342,E384&gt;J342,D384&gt;E384),D384-E384,0)+IF(AND(D384&gt;K343,E384&lt;=J343),L343,0)+IF(AND(D384&gt;=K343,E384&lt;K343,E384&gt;J343),K343-E384,0)+IF(AND(D384&gt;J343,E384&lt;J343,D384&lt;=K343),D384-J343,0)+IF(AND(D384&lt;K343,E384&gt;J343,D384&gt;E384),D384-E384,0)+IF(AND(D384&gt;K383,E384&lt;=J383),L383,0)+IF(AND(D384&gt;=K383,E384&lt;K383,E384&gt;J383),K383-E384,0)+IF(AND(D384&gt;J383,E384&lt;J383,D384&lt;=K383),D384-J383,0)+IF(AND(D384&lt;K383,E384&gt;J383,D384&gt;E384),D384-E384,0))</f>
        <v>0</v>
      </c>
      <c r="P384" s="306" t="str">
        <f t="shared" ref="P384:P447" si="217">IF(AND(ISNUMBER(C384),ISNUMBER(I384)),(IF(AND(I384&gt;0,G384&lt;&gt;G383),ACOS((C384*X384/30)/(C384*I384/30))*180/PI(),IF(AND(F384&gt;F383,G384=G383),"H/S",IF(AND(F384&lt;F383,G384=G383),"L/S","")))),"")</f>
        <v/>
      </c>
      <c r="Q384" s="307" t="str">
        <f t="shared" si="196"/>
        <v/>
      </c>
      <c r="R384" s="304" t="str">
        <f t="shared" si="178"/>
        <v/>
      </c>
      <c r="S384" s="304" t="str">
        <f>IF(V384="","",IF(AND(N384="",O384=""),F384,IF(O384="",O384*AVERAGE(V383,V343,V342)+F384,O384*V384+F384)))</f>
        <v/>
      </c>
      <c r="T384" s="304" t="str">
        <f t="shared" si="179"/>
        <v/>
      </c>
      <c r="U384" s="304" t="str">
        <f t="shared" si="180"/>
        <v/>
      </c>
      <c r="V384" s="303" t="str">
        <f t="shared" si="192"/>
        <v/>
      </c>
      <c r="W384" s="304" t="str">
        <f t="shared" ref="W384:W447" si="218">IF(G384="","",IF(N384="",(G384-G383)/30,AH384/N384))</f>
        <v/>
      </c>
      <c r="X384" s="304" t="str">
        <f t="shared" ref="X384:X447" si="219">IF(V384="","",(F384-F383)*30/AI384)</f>
        <v/>
      </c>
      <c r="Y384" s="304" t="str">
        <f t="shared" si="181"/>
        <v/>
      </c>
      <c r="Z384" s="304" t="str">
        <f t="shared" si="209"/>
        <v/>
      </c>
      <c r="AA384" s="308" t="str">
        <f t="shared" si="182"/>
        <v/>
      </c>
      <c r="AB384" s="304" t="str">
        <f t="shared" si="189"/>
        <v/>
      </c>
      <c r="AC384" s="309"/>
      <c r="AD384" s="310" t="str">
        <f t="shared" si="183"/>
        <v/>
      </c>
      <c r="AE384" s="310" t="str">
        <f t="shared" si="183"/>
        <v/>
      </c>
      <c r="AF384" s="310" t="str">
        <f t="shared" si="184"/>
        <v/>
      </c>
      <c r="AG384" s="310" t="str">
        <f t="shared" si="185"/>
        <v/>
      </c>
      <c r="AH384" s="310" t="str">
        <f t="shared" ref="AH384:AH447" si="220">IF(G384="","",IF(G384&gt;G383,IF((G384-G383)&gt;180,(G384-G383)-360,G384-G383),IF((G384-G383)&lt;-180,(G384-G383)+360,G384-G383)))</f>
        <v/>
      </c>
      <c r="AI384" s="310" t="str">
        <f t="shared" ref="AI384:AI447" si="221">+IF(E384="","",E384-E383)</f>
        <v/>
      </c>
      <c r="AJ384" s="311" t="str">
        <f t="shared" si="186"/>
        <v/>
      </c>
      <c r="AK384" s="311" t="str" cm="1">
        <f t="array" ref="AK384">IF(OR(E384="", H384=""), "",
  IFERROR(
     (
      INDEX($AM$3:$AM$22, MATCH(E384, $AL$3:$AL$22, 1)) +
      (E384 - INDEX($AL$3:$AL$22, MATCH(E384, $AL$3:$AL$22, 1))) *
      (INDEX($AM$3:$AM$22, MATCH(E384, $AL$3:$AL$22, 1)+1) - INDEX($AM$3:$AM$22, MATCH(E384, $AL$3:$AL$22, 1))) /
      (INDEX($AL$3:$AL$22, MATCH(E384, $AL$3:$AL$22, 1)+1) - INDEX($AL$3:$AL$22, MATCH(E384, $AL$3:$AL$22, 1)))
    ) - H384,
    ""
  )
)</f>
        <v/>
      </c>
      <c r="AL384" s="338"/>
      <c r="AM384" s="339"/>
      <c r="AN384" s="340"/>
    </row>
    <row r="385" spans="1:40" s="315" customFormat="1" ht="15" customHeight="1" x14ac:dyDescent="0.35">
      <c r="A385" s="316">
        <f t="shared" si="213"/>
        <v>3</v>
      </c>
      <c r="B385" s="317">
        <f t="shared" si="213"/>
        <v>19</v>
      </c>
      <c r="C385" s="318" t="str">
        <f t="shared" si="214"/>
        <v/>
      </c>
      <c r="D385" s="319"/>
      <c r="E385" s="320" t="str">
        <f t="shared" si="194"/>
        <v/>
      </c>
      <c r="F385" s="321"/>
      <c r="G385" s="321"/>
      <c r="H385" s="322" t="str">
        <f t="shared" si="215"/>
        <v/>
      </c>
      <c r="I385" s="323" t="str">
        <f t="shared" si="216"/>
        <v/>
      </c>
      <c r="J385" s="321" t="str">
        <f t="shared" si="211"/>
        <v/>
      </c>
      <c r="K385" s="323" t="str">
        <f t="shared" si="195"/>
        <v/>
      </c>
      <c r="L385" s="321"/>
      <c r="M385" s="333"/>
      <c r="N385" s="323" t="str">
        <f>IF(SUM(IF(AND(E385&gt;K342,E384&lt;=J342),L342,0)+IF(AND(E385&gt;=K342,E384&lt;K342,E384&gt;J342),K342-E384,0)+IF(AND(E385&gt;J342,E384&lt;=J342,E385&lt;K342),E385-J342,0)+IF(AND(E385&lt;K342,E384&gt;J342,E385&gt;E384),E385-E384,0)+IF(AND(E385&gt;K343,E384&lt;=J343),L343,0)+IF(AND(E385&gt;=K343,E384&lt;K343,E384&gt;J343),K343-E384,0)+IF(AND(E385&gt;J343,E384&lt;=J343,E385&lt;K343),E385-J343,0)+IF(AND(E385&lt;K343,E384&gt;J343,E385&gt;E384),E385-E384,0)+IF(AND(E385&gt;K383,E384&lt;=J383),L383,0)+IF(AND(E385&gt;=K383,E384&lt;K383,E384&gt;J383),K383-E384,0)+IF(AND(E385&gt;J383,E384&lt;J383,E385&lt;=K383),E385-J383,0)+IF(AND(E385&lt;K383,E384&gt;J383,E385&gt;E384),E385-E384,0)+IF(AND(E385&gt;K384,E384&lt;=J384),L384,0)+IF(AND(E385&gt;=K384,E384&lt;K384,E384&gt;J384),K384-E384,0)+IF(AND(E385&gt;J384,E384&lt;J384,E385&lt;=K384),E385-J384,0)+IF(AND(E385&lt;K384,E384&gt;J384,E385&gt;E384),E385-E384,0))=0,"",SUM(IF(AND(E385&gt;K342,E384&lt;=J342),L342,0)+IF(AND(E385&gt;=K342,E384&lt;K342,E384&gt;J342),K342-E384,0)+IF(AND(E385&gt;J342,E384&lt;=J342,E385&lt;K342),E385-J342,0)+IF(AND(E385&lt;K342,E384&gt;J342,E385&gt;E384),E385-E384,0)+IF(AND(E385&gt;K343,E384&lt;=J343),L343,0)+IF(AND(E385&gt;=K343,E384&lt;K343,E384&gt;J343),K343-E384,0)+IF(AND(E385&gt;J343,E384&lt;=J343,E385&lt;K343),E385-J343,0)+IF(AND(E385&lt;K343,E384&gt;J343,E385&gt;E384),E385-E384,0)+IF(AND(E385&gt;K383,E384&lt;=J383),L383,0)+IF(AND(E385&gt;=K383,E384&lt;K383,E384&gt;J383),K383-E384,0)+IF(AND(E385&gt;J383,E384&lt;J383,E385&lt;=K383),E385-J383,0)+IF(AND(E385&lt;K383,E384&gt;J383,E385&gt;E384),E385-E384,0)+IF(AND(E385&gt;K384,E384&lt;=J384),L384,0)+IF(AND(E385&gt;=K384,E384&lt;K384,E384&gt;J384),K384-E384,0)+IF(AND(E385&gt;J384,E384&lt;J384,E385&lt;=K384),E385-J384,0)+IF(AND(E385&lt;K384,E384&gt;J384,E385&gt;E384),E385-E384,0)))</f>
        <v/>
      </c>
      <c r="O385" s="323">
        <f>SUM(IF(AND(D385&gt;K343,E385&lt;=J343),L343,0)+IF(AND(D385&gt;=K343,E385&lt;K343,E385&gt;J343),K343-E385,0)+IF(AND(D385&gt;J343,E385&lt;=J343,D385&lt;K343),D385-J343,0)+IF(AND(D385&lt;K343,E385&gt;J343,D385&gt;E385),D385-E385,0)+IF(AND(D385&gt;K383,E385&lt;=J383),L383,0)+IF(AND(D385&gt;=K383,E385&lt;K383,E385&gt;J383),K383-E385,0)+IF(AND(D385&gt;J383,E385&lt;J383,D385&lt;=K383),D385-J383,0)+IF(AND(D385&lt;K383,E385&gt;J383,D385&gt;E385),D385-E385,0)+IF(AND(D385&gt;K384,E385&lt;=J384),L384,0)+IF(AND(D385&gt;=K384,E385&lt;K384,E385&gt;J384),K384-E385,0)+IF(AND(D385&gt;J384,E385&lt;J384,D385&lt;=K384),D385-J384,0)+IF(AND(D385&lt;K384,E385&gt;J384,D385&gt;E385),D385-E385,0))</f>
        <v>0</v>
      </c>
      <c r="P385" s="324" t="str">
        <f t="shared" si="217"/>
        <v/>
      </c>
      <c r="Q385" s="325" t="str">
        <f t="shared" si="196"/>
        <v/>
      </c>
      <c r="R385" s="323" t="str">
        <f t="shared" si="178"/>
        <v/>
      </c>
      <c r="S385" s="323" t="str">
        <f>IF(V385="","",IF(AND(N385="",O385=""),F385,IF(O385="",O385*AVERAGE(V384,V383,V343)+F385,O385*V385+F385)))</f>
        <v/>
      </c>
      <c r="T385" s="323" t="str">
        <f t="shared" si="179"/>
        <v/>
      </c>
      <c r="U385" s="323" t="str">
        <f t="shared" si="180"/>
        <v/>
      </c>
      <c r="V385" s="322" t="str">
        <f t="shared" si="192"/>
        <v/>
      </c>
      <c r="W385" s="323" t="str">
        <f t="shared" si="218"/>
        <v/>
      </c>
      <c r="X385" s="323" t="str">
        <f t="shared" si="219"/>
        <v/>
      </c>
      <c r="Y385" s="323" t="str">
        <f t="shared" si="181"/>
        <v/>
      </c>
      <c r="Z385" s="323" t="str">
        <f t="shared" si="209"/>
        <v/>
      </c>
      <c r="AA385" s="326" t="str">
        <f t="shared" si="182"/>
        <v/>
      </c>
      <c r="AB385" s="323" t="str">
        <f t="shared" si="189"/>
        <v/>
      </c>
      <c r="AC385" s="327"/>
      <c r="AD385" s="328" t="str">
        <f t="shared" si="183"/>
        <v/>
      </c>
      <c r="AE385" s="328" t="str">
        <f t="shared" si="183"/>
        <v/>
      </c>
      <c r="AF385" s="328" t="str">
        <f t="shared" si="184"/>
        <v/>
      </c>
      <c r="AG385" s="328" t="str">
        <f t="shared" si="185"/>
        <v/>
      </c>
      <c r="AH385" s="328" t="str">
        <f t="shared" si="220"/>
        <v/>
      </c>
      <c r="AI385" s="328" t="str">
        <f t="shared" si="221"/>
        <v/>
      </c>
      <c r="AJ385" s="329" t="str">
        <f t="shared" si="186"/>
        <v/>
      </c>
      <c r="AK385" s="329" t="str" cm="1">
        <f t="array" ref="AK385">IF(OR(E385="", H385=""), "",
  IFERROR(
     (
      INDEX($AM$3:$AM$22, MATCH(E385, $AL$3:$AL$22, 1)) +
      (E385 - INDEX($AL$3:$AL$22, MATCH(E385, $AL$3:$AL$22, 1))) *
      (INDEX($AM$3:$AM$22, MATCH(E385, $AL$3:$AL$22, 1)+1) - INDEX($AM$3:$AM$22, MATCH(E385, $AL$3:$AL$22, 1))) /
      (INDEX($AL$3:$AL$22, MATCH(E385, $AL$3:$AL$22, 1)+1) - INDEX($AL$3:$AL$22, MATCH(E385, $AL$3:$AL$22, 1)))
    ) - H385,
    ""
  )
)</f>
        <v/>
      </c>
      <c r="AL385" s="341"/>
      <c r="AM385" s="342"/>
      <c r="AN385" s="343"/>
    </row>
    <row r="386" spans="1:40" s="315" customFormat="1" ht="15" customHeight="1" x14ac:dyDescent="0.35">
      <c r="A386" s="297">
        <f t="shared" si="213"/>
        <v>3</v>
      </c>
      <c r="B386" s="298">
        <f t="shared" si="213"/>
        <v>19</v>
      </c>
      <c r="C386" s="299" t="str">
        <f t="shared" si="214"/>
        <v/>
      </c>
      <c r="D386" s="300"/>
      <c r="E386" s="301" t="str">
        <f t="shared" si="194"/>
        <v/>
      </c>
      <c r="F386" s="302"/>
      <c r="G386" s="302"/>
      <c r="H386" s="303" t="str">
        <f t="shared" si="215"/>
        <v/>
      </c>
      <c r="I386" s="304" t="str">
        <f t="shared" si="216"/>
        <v/>
      </c>
      <c r="J386" s="302" t="str">
        <f t="shared" si="211"/>
        <v/>
      </c>
      <c r="K386" s="304" t="str">
        <f t="shared" si="195"/>
        <v/>
      </c>
      <c r="L386" s="302"/>
      <c r="M386" s="305"/>
      <c r="N386" s="304" t="str">
        <f>IF(SUM(IF(AND(E386&gt;K343,E385&lt;=J343),L343,0)+IF(AND(E386&gt;=K343,E385&lt;K343,E385&gt;J343),K343-E385,0)+IF(AND(E386&gt;J343,E385&lt;=J343,E386&lt;K343),E386-J343,0)+IF(AND(E386&lt;K343,E385&gt;J343,E386&gt;E385),E386-E385,0)+IF(AND(E386&gt;K383,E385&lt;=J383),L383,0)+IF(AND(E386&gt;=K383,E385&lt;K383,E385&gt;J383),K383-E385,0)+IF(AND(E386&gt;J383,E385&lt;=J383,E386&lt;K383),E386-J383,0)+IF(AND(E386&lt;K383,E385&gt;J383,E386&gt;E385),E386-E385,0)+IF(AND(E386&gt;K384,E385&lt;=J384),L384,0)+IF(AND(E386&gt;=K384,E385&lt;K384,E385&gt;J384),K384-E385,0)+IF(AND(E386&gt;J384,E385&lt;J384,E386&lt;=K384),E386-J384,0)+IF(AND(E386&lt;K384,E385&gt;J384,E386&gt;E385),E386-E385,0)+IF(AND(E386&gt;K385,E385&lt;=J385),L385,0)+IF(AND(E386&gt;=K385,E385&lt;K385,E385&gt;J385),K385-E385,0)+IF(AND(E386&gt;J385,E385&lt;J385,E386&lt;=K385),E386-J385,0)+IF(AND(E386&lt;K385,E385&gt;J385,E386&gt;E385),E386-E385,0))=0,"",SUM(IF(AND(E386&gt;K343,E385&lt;=J343),L343,0)+IF(AND(E386&gt;=K343,E385&lt;K343,E385&gt;J343),K343-E385,0)+IF(AND(E386&gt;J343,E385&lt;=J343,E386&lt;K343),E386-J343,0)+IF(AND(E386&lt;K343,E385&gt;J343,E386&gt;E385),E386-E385,0)+IF(AND(E386&gt;K383,E385&lt;=J383),L383,0)+IF(AND(E386&gt;=K383,E385&lt;K383,E385&gt;J383),K383-E385,0)+IF(AND(E386&gt;J383,E385&lt;=J383,E386&lt;K383),E386-J383,0)+IF(AND(E386&lt;K383,E385&gt;J383,E386&gt;E385),E386-E385,0)+IF(AND(E386&gt;K384,E385&lt;=J384),L384,0)+IF(AND(E386&gt;=K384,E385&lt;K384,E385&gt;J384),K384-E385,0)+IF(AND(E386&gt;J384,E385&lt;J384,E386&lt;=K384),E386-J384,0)+IF(AND(E386&lt;K384,E385&gt;J384,E386&gt;E385),E386-E385,0)+IF(AND(E386&gt;K385,E385&lt;=J385),L385,0)+IF(AND(E386&gt;=K385,E385&lt;K385,E385&gt;J385),K385-E385,0)+IF(AND(E386&gt;J385,E385&lt;J385,E386&lt;=K385),E386-J385,0)+IF(AND(E386&lt;K385,E385&gt;J385,E386&gt;E385),E386-E385,0)))</f>
        <v/>
      </c>
      <c r="O386" s="304">
        <f t="shared" ref="O386:O449" si="222">SUM(IF(AND(D386&gt;K383,E386&lt;=J383),L383,0)+IF(AND(D386&gt;=K383,E386&lt;K383,E386&gt;J383),K383-E386,0)+IF(AND(D386&gt;J383,E386&lt;=J383,D386&lt;K383),D386-J383,0)+IF(AND(D386&lt;K383,E386&gt;J383,D386&gt;E386),D386-E386,0)+IF(AND(D386&gt;K384,E386&lt;=J384),L384,0)+IF(AND(D386&gt;=K384,E386&lt;K384,E386&gt;J384),K384-E386,0)+IF(AND(D386&gt;J384,E386&lt;J384,D386&lt;=K384),D386-J384,0)+IF(AND(D386&lt;K384,E386&gt;J384,D386&gt;E386),D386-E386,0)+IF(AND(D386&gt;K385,E386&lt;=J385),L385,0)+IF(AND(D386&gt;=K385,E386&lt;K385,E386&gt;J385),K385-E386,0)+IF(AND(D386&gt;J385,E386&lt;J385,D386&lt;=K385),D386-J385,0)+IF(AND(D386&lt;K385,E386&gt;J385,D386&gt;E386),D386-E386,0))</f>
        <v>0</v>
      </c>
      <c r="P386" s="306" t="str">
        <f t="shared" si="217"/>
        <v/>
      </c>
      <c r="Q386" s="307" t="str">
        <f t="shared" si="196"/>
        <v/>
      </c>
      <c r="R386" s="304" t="str">
        <f t="shared" si="178"/>
        <v/>
      </c>
      <c r="S386" s="304" t="str">
        <f t="shared" ref="S386:S449" si="223">IF(V386="","",IF(AND(N386="",O386=""),F386,IF(O386="",O386*AVERAGE(V385,V384,V383)+F386,O386*V386+F386)))</f>
        <v/>
      </c>
      <c r="T386" s="304" t="str">
        <f t="shared" si="179"/>
        <v/>
      </c>
      <c r="U386" s="304" t="str">
        <f t="shared" si="180"/>
        <v/>
      </c>
      <c r="V386" s="303" t="str">
        <f t="shared" si="192"/>
        <v/>
      </c>
      <c r="W386" s="304" t="str">
        <f t="shared" si="218"/>
        <v/>
      </c>
      <c r="X386" s="304" t="str">
        <f t="shared" si="219"/>
        <v/>
      </c>
      <c r="Y386" s="304" t="str">
        <f t="shared" si="181"/>
        <v/>
      </c>
      <c r="Z386" s="304" t="str">
        <f t="shared" si="209"/>
        <v/>
      </c>
      <c r="AA386" s="308" t="str">
        <f t="shared" si="182"/>
        <v/>
      </c>
      <c r="AB386" s="304" t="str">
        <f t="shared" si="189"/>
        <v/>
      </c>
      <c r="AC386" s="309"/>
      <c r="AD386" s="310" t="str">
        <f t="shared" si="183"/>
        <v/>
      </c>
      <c r="AE386" s="310" t="str">
        <f t="shared" si="183"/>
        <v/>
      </c>
      <c r="AF386" s="310" t="str">
        <f t="shared" si="184"/>
        <v/>
      </c>
      <c r="AG386" s="310" t="str">
        <f t="shared" si="185"/>
        <v/>
      </c>
      <c r="AH386" s="310" t="str">
        <f t="shared" si="220"/>
        <v/>
      </c>
      <c r="AI386" s="310" t="str">
        <f t="shared" si="221"/>
        <v/>
      </c>
      <c r="AJ386" s="311" t="str">
        <f t="shared" si="186"/>
        <v/>
      </c>
      <c r="AK386" s="311" t="str" cm="1">
        <f t="array" ref="AK386">IF(OR(E386="", H386=""), "",
  IFERROR(
     (
      INDEX($AM$3:$AM$22, MATCH(E386, $AL$3:$AL$22, 1)) +
      (E386 - INDEX($AL$3:$AL$22, MATCH(E386, $AL$3:$AL$22, 1))) *
      (INDEX($AM$3:$AM$22, MATCH(E386, $AL$3:$AL$22, 1)+1) - INDEX($AM$3:$AM$22, MATCH(E386, $AL$3:$AL$22, 1))) /
      (INDEX($AL$3:$AL$22, MATCH(E386, $AL$3:$AL$22, 1)+1) - INDEX($AL$3:$AL$22, MATCH(E386, $AL$3:$AL$22, 1)))
    ) - H386,
    ""
  )
)</f>
        <v/>
      </c>
      <c r="AL386" s="338"/>
      <c r="AM386" s="339"/>
      <c r="AN386" s="340"/>
    </row>
    <row r="387" spans="1:40" s="315" customFormat="1" ht="15" customHeight="1" x14ac:dyDescent="0.35">
      <c r="A387" s="316">
        <f t="shared" si="213"/>
        <v>3</v>
      </c>
      <c r="B387" s="317">
        <f t="shared" si="213"/>
        <v>19</v>
      </c>
      <c r="C387" s="318" t="str">
        <f t="shared" si="214"/>
        <v/>
      </c>
      <c r="D387" s="319"/>
      <c r="E387" s="320" t="str">
        <f t="shared" si="194"/>
        <v/>
      </c>
      <c r="F387" s="321"/>
      <c r="G387" s="321"/>
      <c r="H387" s="322" t="str">
        <f t="shared" si="215"/>
        <v/>
      </c>
      <c r="I387" s="323" t="str">
        <f t="shared" si="216"/>
        <v/>
      </c>
      <c r="J387" s="321" t="str">
        <f t="shared" si="211"/>
        <v/>
      </c>
      <c r="K387" s="323" t="str">
        <f t="shared" si="195"/>
        <v/>
      </c>
      <c r="L387" s="321"/>
      <c r="M387" s="333"/>
      <c r="N387" s="323" t="str">
        <f t="shared" ref="N387:N450" si="224">IF(SUM(IF(AND(E387&gt;K383,E386&lt;=J383),L383,0)+IF(AND(E387&gt;=K383,E386&lt;K383,E386&gt;J383),K383-E386,0)+IF(AND(E387&gt;J383,E386&lt;=J383,E387&lt;K383),E387-J383,0)+IF(AND(E387&lt;K383,E386&gt;J383,E387&gt;E386),E387-E386,0)+IF(AND(E387&gt;K384,E386&lt;=J384),L384,0)+IF(AND(E387&gt;=K384,E386&lt;K384,E386&gt;J384),K384-E386,0)+IF(AND(E387&gt;J384,E386&lt;=J384,E387&lt;K384),E387-J384,0)+IF(AND(E387&lt;K384,E386&gt;J384,E387&gt;E386),E387-E386,0)+IF(AND(E387&gt;K385,E386&lt;=J385),L385,0)+IF(AND(E387&gt;=K385,E386&lt;K385,E386&gt;J385),K385-E386,0)+IF(AND(E387&gt;J385,E386&lt;J385,E387&lt;=K385),E387-J385,0)+IF(AND(E387&lt;K385,E386&gt;J385,E387&gt;E386),E387-E386,0)+IF(AND(E387&gt;K386,E386&lt;=J386),L386,0)+IF(AND(E387&gt;=K386,E386&lt;K386,E386&gt;J386),K386-E386,0)+IF(AND(E387&gt;J386,E386&lt;J386,E387&lt;=K386),E387-J386,0)+IF(AND(E387&lt;K386,E386&gt;J386,E387&gt;E386),E387-E386,0))=0,"",SUM(IF(AND(E387&gt;K383,E386&lt;=J383),L383,0)+IF(AND(E387&gt;=K383,E386&lt;K383,E386&gt;J383),K383-E386,0)+IF(AND(E387&gt;J383,E386&lt;=J383,E387&lt;K383),E387-J383,0)+IF(AND(E387&lt;K383,E386&gt;J383,E387&gt;E386),E387-E386,0)+IF(AND(E387&gt;K384,E386&lt;=J384),L384,0)+IF(AND(E387&gt;=K384,E386&lt;K384,E386&gt;J384),K384-E386,0)+IF(AND(E387&gt;J384,E386&lt;=J384,E387&lt;K384),E387-J384,0)+IF(AND(E387&lt;K384,E386&gt;J384,E387&gt;E386),E387-E386,0)+IF(AND(E387&gt;K385,E386&lt;=J385),L385,0)+IF(AND(E387&gt;=K385,E386&lt;K385,E386&gt;J385),K385-E386,0)+IF(AND(E387&gt;J385,E386&lt;J385,E387&lt;=K385),E387-J385,0)+IF(AND(E387&lt;K385,E386&gt;J385,E387&gt;E386),E387-E386,0)+IF(AND(E387&gt;K386,E386&lt;=J386),L386,0)+IF(AND(E387&gt;=K386,E386&lt;K386,E386&gt;J386),K386-E386,0)+IF(AND(E387&gt;J386,E386&lt;J386,E387&lt;=K386),E387-J386,0)+IF(AND(E387&lt;K386,E386&gt;J386,E387&gt;E386),E387-E386,0)))</f>
        <v/>
      </c>
      <c r="O387" s="323">
        <f t="shared" si="222"/>
        <v>0</v>
      </c>
      <c r="P387" s="324" t="str">
        <f t="shared" si="217"/>
        <v/>
      </c>
      <c r="Q387" s="325" t="str">
        <f t="shared" si="196"/>
        <v/>
      </c>
      <c r="R387" s="323" t="str">
        <f t="shared" si="178"/>
        <v/>
      </c>
      <c r="S387" s="323" t="str">
        <f t="shared" si="223"/>
        <v/>
      </c>
      <c r="T387" s="323" t="str">
        <f t="shared" si="179"/>
        <v/>
      </c>
      <c r="U387" s="323" t="str">
        <f t="shared" si="180"/>
        <v/>
      </c>
      <c r="V387" s="322" t="str">
        <f t="shared" si="192"/>
        <v/>
      </c>
      <c r="W387" s="323" t="str">
        <f t="shared" si="218"/>
        <v/>
      </c>
      <c r="X387" s="323" t="str">
        <f t="shared" si="219"/>
        <v/>
      </c>
      <c r="Y387" s="323" t="str">
        <f t="shared" si="181"/>
        <v/>
      </c>
      <c r="Z387" s="323" t="str">
        <f t="shared" si="209"/>
        <v/>
      </c>
      <c r="AA387" s="326" t="str">
        <f t="shared" si="182"/>
        <v/>
      </c>
      <c r="AB387" s="323" t="str">
        <f t="shared" si="189"/>
        <v/>
      </c>
      <c r="AC387" s="327"/>
      <c r="AD387" s="328" t="str">
        <f t="shared" si="183"/>
        <v/>
      </c>
      <c r="AE387" s="328" t="str">
        <f t="shared" si="183"/>
        <v/>
      </c>
      <c r="AF387" s="328" t="str">
        <f t="shared" si="184"/>
        <v/>
      </c>
      <c r="AG387" s="328" t="str">
        <f t="shared" si="185"/>
        <v/>
      </c>
      <c r="AH387" s="328" t="str">
        <f t="shared" si="220"/>
        <v/>
      </c>
      <c r="AI387" s="328" t="str">
        <f t="shared" si="221"/>
        <v/>
      </c>
      <c r="AJ387" s="329" t="str">
        <f t="shared" si="186"/>
        <v/>
      </c>
      <c r="AK387" s="329" t="str" cm="1">
        <f t="array" ref="AK387">IF(OR(E387="", H387=""), "",
  IFERROR(
     (
      INDEX($AM$3:$AM$22, MATCH(E387, $AL$3:$AL$22, 1)) +
      (E387 - INDEX($AL$3:$AL$22, MATCH(E387, $AL$3:$AL$22, 1))) *
      (INDEX($AM$3:$AM$22, MATCH(E387, $AL$3:$AL$22, 1)+1) - INDEX($AM$3:$AM$22, MATCH(E387, $AL$3:$AL$22, 1))) /
      (INDEX($AL$3:$AL$22, MATCH(E387, $AL$3:$AL$22, 1)+1) - INDEX($AL$3:$AL$22, MATCH(E387, $AL$3:$AL$22, 1)))
    ) - H387,
    ""
  )
)</f>
        <v/>
      </c>
      <c r="AL387" s="341"/>
      <c r="AM387" s="342"/>
      <c r="AN387" s="343"/>
    </row>
    <row r="388" spans="1:40" s="315" customFormat="1" ht="15" customHeight="1" x14ac:dyDescent="0.35">
      <c r="A388" s="297">
        <f t="shared" si="213"/>
        <v>3</v>
      </c>
      <c r="B388" s="298">
        <f t="shared" si="213"/>
        <v>19</v>
      </c>
      <c r="C388" s="299" t="str">
        <f t="shared" si="214"/>
        <v/>
      </c>
      <c r="D388" s="300"/>
      <c r="E388" s="301" t="str">
        <f t="shared" si="194"/>
        <v/>
      </c>
      <c r="F388" s="302"/>
      <c r="G388" s="302"/>
      <c r="H388" s="303" t="str">
        <f t="shared" si="215"/>
        <v/>
      </c>
      <c r="I388" s="304" t="str">
        <f t="shared" si="216"/>
        <v/>
      </c>
      <c r="J388" s="302" t="str">
        <f t="shared" si="211"/>
        <v/>
      </c>
      <c r="K388" s="304" t="str">
        <f t="shared" si="195"/>
        <v/>
      </c>
      <c r="L388" s="302"/>
      <c r="M388" s="305"/>
      <c r="N388" s="304" t="str">
        <f t="shared" si="224"/>
        <v/>
      </c>
      <c r="O388" s="304">
        <f t="shared" si="222"/>
        <v>0</v>
      </c>
      <c r="P388" s="306" t="str">
        <f t="shared" si="217"/>
        <v/>
      </c>
      <c r="Q388" s="307" t="str">
        <f t="shared" si="196"/>
        <v/>
      </c>
      <c r="R388" s="304" t="str">
        <f t="shared" si="178"/>
        <v/>
      </c>
      <c r="S388" s="304" t="str">
        <f t="shared" si="223"/>
        <v/>
      </c>
      <c r="T388" s="304" t="str">
        <f t="shared" si="179"/>
        <v/>
      </c>
      <c r="U388" s="304" t="str">
        <f t="shared" si="180"/>
        <v/>
      </c>
      <c r="V388" s="303" t="str">
        <f t="shared" si="192"/>
        <v/>
      </c>
      <c r="W388" s="304" t="str">
        <f t="shared" si="218"/>
        <v/>
      </c>
      <c r="X388" s="304" t="str">
        <f t="shared" si="219"/>
        <v/>
      </c>
      <c r="Y388" s="304" t="str">
        <f t="shared" si="181"/>
        <v/>
      </c>
      <c r="Z388" s="304" t="str">
        <f t="shared" si="209"/>
        <v/>
      </c>
      <c r="AA388" s="308" t="str">
        <f t="shared" si="182"/>
        <v/>
      </c>
      <c r="AB388" s="304" t="str">
        <f t="shared" si="189"/>
        <v/>
      </c>
      <c r="AC388" s="309"/>
      <c r="AD388" s="310" t="str">
        <f t="shared" si="183"/>
        <v/>
      </c>
      <c r="AE388" s="310" t="str">
        <f t="shared" si="183"/>
        <v/>
      </c>
      <c r="AF388" s="310" t="str">
        <f t="shared" si="184"/>
        <v/>
      </c>
      <c r="AG388" s="310" t="str">
        <f t="shared" si="185"/>
        <v/>
      </c>
      <c r="AH388" s="310" t="str">
        <f t="shared" si="220"/>
        <v/>
      </c>
      <c r="AI388" s="310" t="str">
        <f t="shared" si="221"/>
        <v/>
      </c>
      <c r="AJ388" s="311" t="str">
        <f t="shared" si="186"/>
        <v/>
      </c>
      <c r="AK388" s="311" t="str" cm="1">
        <f t="array" ref="AK388">IF(OR(E388="", H388=""), "",
  IFERROR(
     (
      INDEX($AM$3:$AM$22, MATCH(E388, $AL$3:$AL$22, 1)) +
      (E388 - INDEX($AL$3:$AL$22, MATCH(E388, $AL$3:$AL$22, 1))) *
      (INDEX($AM$3:$AM$22, MATCH(E388, $AL$3:$AL$22, 1)+1) - INDEX($AM$3:$AM$22, MATCH(E388, $AL$3:$AL$22, 1))) /
      (INDEX($AL$3:$AL$22, MATCH(E388, $AL$3:$AL$22, 1)+1) - INDEX($AL$3:$AL$22, MATCH(E388, $AL$3:$AL$22, 1)))
    ) - H388,
    ""
  )
)</f>
        <v/>
      </c>
      <c r="AL388" s="338"/>
      <c r="AM388" s="339"/>
      <c r="AN388" s="340"/>
    </row>
    <row r="389" spans="1:40" s="315" customFormat="1" ht="15" customHeight="1" x14ac:dyDescent="0.35">
      <c r="A389" s="316">
        <f t="shared" si="213"/>
        <v>3</v>
      </c>
      <c r="B389" s="317">
        <f t="shared" si="213"/>
        <v>19</v>
      </c>
      <c r="C389" s="318" t="str">
        <f t="shared" si="214"/>
        <v/>
      </c>
      <c r="D389" s="319"/>
      <c r="E389" s="320" t="str">
        <f t="shared" si="194"/>
        <v/>
      </c>
      <c r="F389" s="321"/>
      <c r="G389" s="321"/>
      <c r="H389" s="322" t="str">
        <f t="shared" si="215"/>
        <v/>
      </c>
      <c r="I389" s="323" t="str">
        <f t="shared" si="216"/>
        <v/>
      </c>
      <c r="J389" s="321" t="str">
        <f t="shared" si="211"/>
        <v/>
      </c>
      <c r="K389" s="323" t="str">
        <f t="shared" si="195"/>
        <v/>
      </c>
      <c r="L389" s="321"/>
      <c r="M389" s="333"/>
      <c r="N389" s="323" t="str">
        <f t="shared" si="224"/>
        <v/>
      </c>
      <c r="O389" s="323">
        <f t="shared" si="222"/>
        <v>0</v>
      </c>
      <c r="P389" s="324" t="str">
        <f t="shared" si="217"/>
        <v/>
      </c>
      <c r="Q389" s="325" t="str">
        <f t="shared" si="196"/>
        <v/>
      </c>
      <c r="R389" s="323" t="str">
        <f t="shared" si="178"/>
        <v/>
      </c>
      <c r="S389" s="323" t="str">
        <f t="shared" si="223"/>
        <v/>
      </c>
      <c r="T389" s="323" t="str">
        <f t="shared" si="179"/>
        <v/>
      </c>
      <c r="U389" s="323" t="str">
        <f t="shared" si="180"/>
        <v/>
      </c>
      <c r="V389" s="322" t="str">
        <f t="shared" si="192"/>
        <v/>
      </c>
      <c r="W389" s="323" t="str">
        <f t="shared" si="218"/>
        <v/>
      </c>
      <c r="X389" s="323" t="str">
        <f t="shared" si="219"/>
        <v/>
      </c>
      <c r="Y389" s="323" t="str">
        <f t="shared" si="181"/>
        <v/>
      </c>
      <c r="Z389" s="323" t="str">
        <f t="shared" si="209"/>
        <v/>
      </c>
      <c r="AA389" s="326" t="str">
        <f t="shared" si="182"/>
        <v/>
      </c>
      <c r="AB389" s="323" t="str">
        <f t="shared" si="189"/>
        <v/>
      </c>
      <c r="AC389" s="327"/>
      <c r="AD389" s="328" t="str">
        <f t="shared" si="183"/>
        <v/>
      </c>
      <c r="AE389" s="328" t="str">
        <f t="shared" si="183"/>
        <v/>
      </c>
      <c r="AF389" s="328" t="str">
        <f t="shared" si="184"/>
        <v/>
      </c>
      <c r="AG389" s="328" t="str">
        <f t="shared" si="185"/>
        <v/>
      </c>
      <c r="AH389" s="328" t="str">
        <f t="shared" si="220"/>
        <v/>
      </c>
      <c r="AI389" s="328" t="str">
        <f t="shared" si="221"/>
        <v/>
      </c>
      <c r="AJ389" s="329" t="str">
        <f t="shared" si="186"/>
        <v/>
      </c>
      <c r="AK389" s="329" t="str" cm="1">
        <f t="array" ref="AK389">IF(OR(E389="", H389=""), "",
  IFERROR(
     (
      INDEX($AM$3:$AM$22, MATCH(E389, $AL$3:$AL$22, 1)) +
      (E389 - INDEX($AL$3:$AL$22, MATCH(E389, $AL$3:$AL$22, 1))) *
      (INDEX($AM$3:$AM$22, MATCH(E389, $AL$3:$AL$22, 1)+1) - INDEX($AM$3:$AM$22, MATCH(E389, $AL$3:$AL$22, 1))) /
      (INDEX($AL$3:$AL$22, MATCH(E389, $AL$3:$AL$22, 1)+1) - INDEX($AL$3:$AL$22, MATCH(E389, $AL$3:$AL$22, 1)))
    ) - H389,
    ""
  )
)</f>
        <v/>
      </c>
      <c r="AL389" s="341"/>
      <c r="AM389" s="342"/>
      <c r="AN389" s="343"/>
    </row>
    <row r="390" spans="1:40" s="315" customFormat="1" ht="15" customHeight="1" x14ac:dyDescent="0.35">
      <c r="A390" s="297">
        <f t="shared" si="213"/>
        <v>3</v>
      </c>
      <c r="B390" s="298">
        <f t="shared" si="213"/>
        <v>19</v>
      </c>
      <c r="C390" s="299" t="str">
        <f t="shared" si="214"/>
        <v/>
      </c>
      <c r="D390" s="300"/>
      <c r="E390" s="301" t="str">
        <f t="shared" si="194"/>
        <v/>
      </c>
      <c r="F390" s="302"/>
      <c r="G390" s="302"/>
      <c r="H390" s="303" t="str">
        <f t="shared" si="215"/>
        <v/>
      </c>
      <c r="I390" s="304" t="str">
        <f t="shared" si="216"/>
        <v/>
      </c>
      <c r="J390" s="302" t="str">
        <f t="shared" si="211"/>
        <v/>
      </c>
      <c r="K390" s="304" t="str">
        <f t="shared" si="195"/>
        <v/>
      </c>
      <c r="L390" s="302"/>
      <c r="M390" s="305"/>
      <c r="N390" s="304" t="str">
        <f t="shared" si="224"/>
        <v/>
      </c>
      <c r="O390" s="304">
        <f t="shared" si="222"/>
        <v>0</v>
      </c>
      <c r="P390" s="306" t="str">
        <f t="shared" si="217"/>
        <v/>
      </c>
      <c r="Q390" s="307" t="str">
        <f t="shared" si="196"/>
        <v/>
      </c>
      <c r="R390" s="304" t="str">
        <f t="shared" ref="R390:R453" si="225">IF(V390="","",(SIN($AD$2)-SIN(AD390))*1719/($X$2-H390))</f>
        <v/>
      </c>
      <c r="S390" s="304" t="str">
        <f t="shared" si="223"/>
        <v/>
      </c>
      <c r="T390" s="304" t="str">
        <f t="shared" ref="T390:T453" si="226">IF(V390="","",H390+(COS((AG390+AD390)/2))*B390)</f>
        <v/>
      </c>
      <c r="U390" s="304" t="str">
        <f t="shared" ref="U390:U453" si="227">IF(V390="","",(SIN($AD$2)-SIN(AG390))*1719/($X$2-T390))</f>
        <v/>
      </c>
      <c r="V390" s="303" t="str">
        <f t="shared" si="192"/>
        <v/>
      </c>
      <c r="W390" s="304" t="str">
        <f t="shared" si="218"/>
        <v/>
      </c>
      <c r="X390" s="304" t="str">
        <f t="shared" si="219"/>
        <v/>
      </c>
      <c r="Y390" s="304" t="str">
        <f t="shared" ref="Y390:Y453" si="228">IF(W390="","",IF(F390="","",AH390*30/AI390))</f>
        <v/>
      </c>
      <c r="Z390" s="304" t="str">
        <f t="shared" si="209"/>
        <v/>
      </c>
      <c r="AA390" s="308" t="str">
        <f t="shared" ref="AA390:AA453" si="229">+IF(Z390="","",IF(N390="",0,N390/AI390))</f>
        <v/>
      </c>
      <c r="AB390" s="304" t="str">
        <f t="shared" si="189"/>
        <v/>
      </c>
      <c r="AC390" s="309"/>
      <c r="AD390" s="310" t="str">
        <f t="shared" ref="AD390:AE453" si="230">IF(F390&gt;0,RADIANS(F390),"")</f>
        <v/>
      </c>
      <c r="AE390" s="310" t="str">
        <f t="shared" si="230"/>
        <v/>
      </c>
      <c r="AF390" s="310" t="str">
        <f t="shared" ref="AF390:AF453" si="231">IF(F390="","",2/RADIANS(I390)*TAN(RADIANS(I390)/2))</f>
        <v/>
      </c>
      <c r="AG390" s="310" t="str">
        <f t="shared" ref="AG390:AG453" si="232">IF(S390="","",RADIANS(S390))</f>
        <v/>
      </c>
      <c r="AH390" s="310" t="str">
        <f t="shared" si="220"/>
        <v/>
      </c>
      <c r="AI390" s="310" t="str">
        <f t="shared" si="221"/>
        <v/>
      </c>
      <c r="AJ390" s="311" t="str">
        <f t="shared" si="186"/>
        <v/>
      </c>
      <c r="AK390" s="311" t="str" cm="1">
        <f t="array" ref="AK390">IF(OR(E390="", H390=""), "",
  IFERROR(
     (
      INDEX($AM$3:$AM$22, MATCH(E390, $AL$3:$AL$22, 1)) +
      (E390 - INDEX($AL$3:$AL$22, MATCH(E390, $AL$3:$AL$22, 1))) *
      (INDEX($AM$3:$AM$22, MATCH(E390, $AL$3:$AL$22, 1)+1) - INDEX($AM$3:$AM$22, MATCH(E390, $AL$3:$AL$22, 1))) /
      (INDEX($AL$3:$AL$22, MATCH(E390, $AL$3:$AL$22, 1)+1) - INDEX($AL$3:$AL$22, MATCH(E390, $AL$3:$AL$22, 1)))
    ) - H390,
    ""
  )
)</f>
        <v/>
      </c>
      <c r="AL390" s="338"/>
      <c r="AM390" s="339"/>
      <c r="AN390" s="340"/>
    </row>
    <row r="391" spans="1:40" s="315" customFormat="1" ht="15" customHeight="1" x14ac:dyDescent="0.35">
      <c r="A391" s="316">
        <f t="shared" si="213"/>
        <v>3</v>
      </c>
      <c r="B391" s="317">
        <f t="shared" si="213"/>
        <v>19</v>
      </c>
      <c r="C391" s="318" t="str">
        <f t="shared" si="214"/>
        <v/>
      </c>
      <c r="D391" s="319"/>
      <c r="E391" s="320" t="str">
        <f t="shared" si="194"/>
        <v/>
      </c>
      <c r="F391" s="321"/>
      <c r="G391" s="321"/>
      <c r="H391" s="322" t="str">
        <f t="shared" si="215"/>
        <v/>
      </c>
      <c r="I391" s="323" t="str">
        <f t="shared" si="216"/>
        <v/>
      </c>
      <c r="J391" s="321" t="str">
        <f t="shared" si="211"/>
        <v/>
      </c>
      <c r="K391" s="323" t="str">
        <f t="shared" si="195"/>
        <v/>
      </c>
      <c r="L391" s="321"/>
      <c r="M391" s="333"/>
      <c r="N391" s="323" t="str">
        <f t="shared" si="224"/>
        <v/>
      </c>
      <c r="O391" s="323">
        <f t="shared" si="222"/>
        <v>0</v>
      </c>
      <c r="P391" s="324" t="str">
        <f t="shared" si="217"/>
        <v/>
      </c>
      <c r="Q391" s="325" t="str">
        <f t="shared" si="196"/>
        <v/>
      </c>
      <c r="R391" s="323" t="str">
        <f t="shared" si="225"/>
        <v/>
      </c>
      <c r="S391" s="323" t="str">
        <f t="shared" si="223"/>
        <v/>
      </c>
      <c r="T391" s="323" t="str">
        <f t="shared" si="226"/>
        <v/>
      </c>
      <c r="U391" s="323" t="str">
        <f t="shared" si="227"/>
        <v/>
      </c>
      <c r="V391" s="322" t="str">
        <f t="shared" si="192"/>
        <v/>
      </c>
      <c r="W391" s="323" t="str">
        <f t="shared" si="218"/>
        <v/>
      </c>
      <c r="X391" s="323" t="str">
        <f t="shared" si="219"/>
        <v/>
      </c>
      <c r="Y391" s="323" t="str">
        <f t="shared" si="228"/>
        <v/>
      </c>
      <c r="Z391" s="323" t="str">
        <f t="shared" si="209"/>
        <v/>
      </c>
      <c r="AA391" s="326" t="str">
        <f t="shared" si="229"/>
        <v/>
      </c>
      <c r="AB391" s="323" t="str">
        <f t="shared" si="189"/>
        <v/>
      </c>
      <c r="AC391" s="327"/>
      <c r="AD391" s="328" t="str">
        <f t="shared" si="230"/>
        <v/>
      </c>
      <c r="AE391" s="328" t="str">
        <f t="shared" si="230"/>
        <v/>
      </c>
      <c r="AF391" s="328" t="str">
        <f t="shared" si="231"/>
        <v/>
      </c>
      <c r="AG391" s="328" t="str">
        <f t="shared" si="232"/>
        <v/>
      </c>
      <c r="AH391" s="328" t="str">
        <f t="shared" si="220"/>
        <v/>
      </c>
      <c r="AI391" s="328" t="str">
        <f t="shared" si="221"/>
        <v/>
      </c>
      <c r="AJ391" s="329" t="str">
        <f t="shared" ref="AJ391:AJ454" si="233">IFERROR(IF(E391="","",IF(E391&lt;$AL$3,AN$4,INDEX(AN$4:AN$22,MATCH(E391,AL$3:AL$22,1)))),"")</f>
        <v/>
      </c>
      <c r="AK391" s="329" t="str" cm="1">
        <f t="array" ref="AK391">IF(OR(E391="", H391=""), "",
  IFERROR(
     (
      INDEX($AM$3:$AM$22, MATCH(E391, $AL$3:$AL$22, 1)) +
      (E391 - INDEX($AL$3:$AL$22, MATCH(E391, $AL$3:$AL$22, 1))) *
      (INDEX($AM$3:$AM$22, MATCH(E391, $AL$3:$AL$22, 1)+1) - INDEX($AM$3:$AM$22, MATCH(E391, $AL$3:$AL$22, 1))) /
      (INDEX($AL$3:$AL$22, MATCH(E391, $AL$3:$AL$22, 1)+1) - INDEX($AL$3:$AL$22, MATCH(E391, $AL$3:$AL$22, 1)))
    ) - H391,
    ""
  )
)</f>
        <v/>
      </c>
      <c r="AL391" s="341"/>
      <c r="AM391" s="342"/>
      <c r="AN391" s="343"/>
    </row>
    <row r="392" spans="1:40" s="315" customFormat="1" ht="15" customHeight="1" x14ac:dyDescent="0.35">
      <c r="A392" s="297">
        <f t="shared" si="213"/>
        <v>3</v>
      </c>
      <c r="B392" s="298">
        <f t="shared" si="213"/>
        <v>19</v>
      </c>
      <c r="C392" s="299" t="str">
        <f t="shared" si="214"/>
        <v/>
      </c>
      <c r="D392" s="300"/>
      <c r="E392" s="301" t="str">
        <f t="shared" si="194"/>
        <v/>
      </c>
      <c r="F392" s="302"/>
      <c r="G392" s="302"/>
      <c r="H392" s="303" t="str">
        <f t="shared" si="215"/>
        <v/>
      </c>
      <c r="I392" s="304" t="str">
        <f t="shared" si="216"/>
        <v/>
      </c>
      <c r="J392" s="302" t="str">
        <f t="shared" si="211"/>
        <v/>
      </c>
      <c r="K392" s="304" t="str">
        <f t="shared" si="195"/>
        <v/>
      </c>
      <c r="L392" s="302"/>
      <c r="M392" s="305"/>
      <c r="N392" s="304" t="str">
        <f t="shared" si="224"/>
        <v/>
      </c>
      <c r="O392" s="304">
        <f t="shared" si="222"/>
        <v>0</v>
      </c>
      <c r="P392" s="306" t="str">
        <f t="shared" si="217"/>
        <v/>
      </c>
      <c r="Q392" s="307" t="str">
        <f t="shared" si="196"/>
        <v/>
      </c>
      <c r="R392" s="304" t="str">
        <f t="shared" si="225"/>
        <v/>
      </c>
      <c r="S392" s="304" t="str">
        <f t="shared" si="223"/>
        <v/>
      </c>
      <c r="T392" s="304" t="str">
        <f t="shared" si="226"/>
        <v/>
      </c>
      <c r="U392" s="304" t="str">
        <f t="shared" si="227"/>
        <v/>
      </c>
      <c r="V392" s="303" t="str">
        <f t="shared" si="192"/>
        <v/>
      </c>
      <c r="W392" s="304" t="str">
        <f t="shared" si="218"/>
        <v/>
      </c>
      <c r="X392" s="304" t="str">
        <f t="shared" si="219"/>
        <v/>
      </c>
      <c r="Y392" s="304" t="str">
        <f t="shared" si="228"/>
        <v/>
      </c>
      <c r="Z392" s="304" t="str">
        <f t="shared" si="209"/>
        <v/>
      </c>
      <c r="AA392" s="308" t="str">
        <f t="shared" si="229"/>
        <v/>
      </c>
      <c r="AB392" s="304" t="str">
        <f t="shared" si="189"/>
        <v/>
      </c>
      <c r="AC392" s="309"/>
      <c r="AD392" s="310" t="str">
        <f t="shared" si="230"/>
        <v/>
      </c>
      <c r="AE392" s="310" t="str">
        <f t="shared" si="230"/>
        <v/>
      </c>
      <c r="AF392" s="310" t="str">
        <f t="shared" si="231"/>
        <v/>
      </c>
      <c r="AG392" s="310" t="str">
        <f t="shared" si="232"/>
        <v/>
      </c>
      <c r="AH392" s="310" t="str">
        <f t="shared" si="220"/>
        <v/>
      </c>
      <c r="AI392" s="310" t="str">
        <f t="shared" si="221"/>
        <v/>
      </c>
      <c r="AJ392" s="311" t="str">
        <f t="shared" si="233"/>
        <v/>
      </c>
      <c r="AK392" s="311" t="str" cm="1">
        <f t="array" ref="AK392">IF(OR(E392="", H392=""), "",
  IFERROR(
     (
      INDEX($AM$3:$AM$22, MATCH(E392, $AL$3:$AL$22, 1)) +
      (E392 - INDEX($AL$3:$AL$22, MATCH(E392, $AL$3:$AL$22, 1))) *
      (INDEX($AM$3:$AM$22, MATCH(E392, $AL$3:$AL$22, 1)+1) - INDEX($AM$3:$AM$22, MATCH(E392, $AL$3:$AL$22, 1))) /
      (INDEX($AL$3:$AL$22, MATCH(E392, $AL$3:$AL$22, 1)+1) - INDEX($AL$3:$AL$22, MATCH(E392, $AL$3:$AL$22, 1)))
    ) - H392,
    ""
  )
)</f>
        <v/>
      </c>
      <c r="AL392" s="338"/>
      <c r="AM392" s="339"/>
      <c r="AN392" s="340"/>
    </row>
    <row r="393" spans="1:40" s="315" customFormat="1" ht="15" customHeight="1" x14ac:dyDescent="0.35">
      <c r="A393" s="316">
        <f t="shared" si="213"/>
        <v>3</v>
      </c>
      <c r="B393" s="317">
        <f t="shared" si="213"/>
        <v>19</v>
      </c>
      <c r="C393" s="318" t="str">
        <f t="shared" si="214"/>
        <v/>
      </c>
      <c r="D393" s="319"/>
      <c r="E393" s="320" t="str">
        <f t="shared" si="194"/>
        <v/>
      </c>
      <c r="F393" s="321"/>
      <c r="G393" s="321"/>
      <c r="H393" s="322" t="str">
        <f t="shared" si="215"/>
        <v/>
      </c>
      <c r="I393" s="323" t="str">
        <f t="shared" si="216"/>
        <v/>
      </c>
      <c r="J393" s="321" t="str">
        <f t="shared" si="211"/>
        <v/>
      </c>
      <c r="K393" s="323" t="str">
        <f t="shared" si="195"/>
        <v/>
      </c>
      <c r="L393" s="321"/>
      <c r="M393" s="333"/>
      <c r="N393" s="323" t="str">
        <f t="shared" si="224"/>
        <v/>
      </c>
      <c r="O393" s="323">
        <f t="shared" si="222"/>
        <v>0</v>
      </c>
      <c r="P393" s="324" t="str">
        <f t="shared" si="217"/>
        <v/>
      </c>
      <c r="Q393" s="325" t="str">
        <f t="shared" si="196"/>
        <v/>
      </c>
      <c r="R393" s="323" t="str">
        <f t="shared" si="225"/>
        <v/>
      </c>
      <c r="S393" s="323" t="str">
        <f t="shared" si="223"/>
        <v/>
      </c>
      <c r="T393" s="323" t="str">
        <f t="shared" si="226"/>
        <v/>
      </c>
      <c r="U393" s="323" t="str">
        <f t="shared" si="227"/>
        <v/>
      </c>
      <c r="V393" s="322" t="str">
        <f t="shared" si="192"/>
        <v/>
      </c>
      <c r="W393" s="323" t="str">
        <f t="shared" si="218"/>
        <v/>
      </c>
      <c r="X393" s="323" t="str">
        <f t="shared" si="219"/>
        <v/>
      </c>
      <c r="Y393" s="323" t="str">
        <f t="shared" si="228"/>
        <v/>
      </c>
      <c r="Z393" s="323" t="str">
        <f t="shared" si="209"/>
        <v/>
      </c>
      <c r="AA393" s="326" t="str">
        <f t="shared" si="229"/>
        <v/>
      </c>
      <c r="AB393" s="323" t="str">
        <f t="shared" si="189"/>
        <v/>
      </c>
      <c r="AC393" s="327"/>
      <c r="AD393" s="328" t="str">
        <f t="shared" si="230"/>
        <v/>
      </c>
      <c r="AE393" s="328" t="str">
        <f t="shared" si="230"/>
        <v/>
      </c>
      <c r="AF393" s="328" t="str">
        <f t="shared" si="231"/>
        <v/>
      </c>
      <c r="AG393" s="328" t="str">
        <f t="shared" si="232"/>
        <v/>
      </c>
      <c r="AH393" s="328" t="str">
        <f t="shared" si="220"/>
        <v/>
      </c>
      <c r="AI393" s="328" t="str">
        <f t="shared" si="221"/>
        <v/>
      </c>
      <c r="AJ393" s="329" t="str">
        <f t="shared" si="233"/>
        <v/>
      </c>
      <c r="AK393" s="329" t="str" cm="1">
        <f t="array" ref="AK393">IF(OR(E393="", H393=""), "",
  IFERROR(
     (
      INDEX($AM$3:$AM$22, MATCH(E393, $AL$3:$AL$22, 1)) +
      (E393 - INDEX($AL$3:$AL$22, MATCH(E393, $AL$3:$AL$22, 1))) *
      (INDEX($AM$3:$AM$22, MATCH(E393, $AL$3:$AL$22, 1)+1) - INDEX($AM$3:$AM$22, MATCH(E393, $AL$3:$AL$22, 1))) /
      (INDEX($AL$3:$AL$22, MATCH(E393, $AL$3:$AL$22, 1)+1) - INDEX($AL$3:$AL$22, MATCH(E393, $AL$3:$AL$22, 1)))
    ) - H393,
    ""
  )
)</f>
        <v/>
      </c>
      <c r="AL393" s="341"/>
      <c r="AM393" s="342"/>
      <c r="AN393" s="343"/>
    </row>
    <row r="394" spans="1:40" s="315" customFormat="1" ht="15" customHeight="1" x14ac:dyDescent="0.35">
      <c r="A394" s="297">
        <f t="shared" si="213"/>
        <v>3</v>
      </c>
      <c r="B394" s="298">
        <f t="shared" si="213"/>
        <v>19</v>
      </c>
      <c r="C394" s="299" t="str">
        <f t="shared" si="214"/>
        <v/>
      </c>
      <c r="D394" s="300"/>
      <c r="E394" s="301" t="str">
        <f t="shared" si="194"/>
        <v/>
      </c>
      <c r="F394" s="302"/>
      <c r="G394" s="302"/>
      <c r="H394" s="303" t="str">
        <f t="shared" si="215"/>
        <v/>
      </c>
      <c r="I394" s="304" t="str">
        <f t="shared" si="216"/>
        <v/>
      </c>
      <c r="J394" s="302" t="str">
        <f t="shared" si="211"/>
        <v/>
      </c>
      <c r="K394" s="304" t="str">
        <f t="shared" si="195"/>
        <v/>
      </c>
      <c r="L394" s="302"/>
      <c r="M394" s="305"/>
      <c r="N394" s="304" t="str">
        <f t="shared" si="224"/>
        <v/>
      </c>
      <c r="O394" s="304">
        <f t="shared" si="222"/>
        <v>0</v>
      </c>
      <c r="P394" s="306" t="str">
        <f t="shared" si="217"/>
        <v/>
      </c>
      <c r="Q394" s="307" t="str">
        <f t="shared" si="196"/>
        <v/>
      </c>
      <c r="R394" s="304" t="str">
        <f t="shared" si="225"/>
        <v/>
      </c>
      <c r="S394" s="304" t="str">
        <f t="shared" si="223"/>
        <v/>
      </c>
      <c r="T394" s="304" t="str">
        <f t="shared" si="226"/>
        <v/>
      </c>
      <c r="U394" s="304" t="str">
        <f t="shared" si="227"/>
        <v/>
      </c>
      <c r="V394" s="303" t="str">
        <f t="shared" si="192"/>
        <v/>
      </c>
      <c r="W394" s="304" t="str">
        <f t="shared" si="218"/>
        <v/>
      </c>
      <c r="X394" s="304" t="str">
        <f t="shared" si="219"/>
        <v/>
      </c>
      <c r="Y394" s="304" t="str">
        <f t="shared" si="228"/>
        <v/>
      </c>
      <c r="Z394" s="304" t="str">
        <f t="shared" si="209"/>
        <v/>
      </c>
      <c r="AA394" s="308" t="str">
        <f t="shared" si="229"/>
        <v/>
      </c>
      <c r="AB394" s="304" t="str">
        <f t="shared" ref="AB394:AB457" si="234">IF(L394="","",C395-L394)</f>
        <v/>
      </c>
      <c r="AC394" s="309"/>
      <c r="AD394" s="310" t="str">
        <f t="shared" si="230"/>
        <v/>
      </c>
      <c r="AE394" s="310" t="str">
        <f t="shared" si="230"/>
        <v/>
      </c>
      <c r="AF394" s="310" t="str">
        <f t="shared" si="231"/>
        <v/>
      </c>
      <c r="AG394" s="310" t="str">
        <f t="shared" si="232"/>
        <v/>
      </c>
      <c r="AH394" s="310" t="str">
        <f t="shared" si="220"/>
        <v/>
      </c>
      <c r="AI394" s="310" t="str">
        <f t="shared" si="221"/>
        <v/>
      </c>
      <c r="AJ394" s="311" t="str">
        <f t="shared" si="233"/>
        <v/>
      </c>
      <c r="AK394" s="311" t="str" cm="1">
        <f t="array" ref="AK394">IF(OR(E394="", H394=""), "",
  IFERROR(
     (
      INDEX($AM$3:$AM$22, MATCH(E394, $AL$3:$AL$22, 1)) +
      (E394 - INDEX($AL$3:$AL$22, MATCH(E394, $AL$3:$AL$22, 1))) *
      (INDEX($AM$3:$AM$22, MATCH(E394, $AL$3:$AL$22, 1)+1) - INDEX($AM$3:$AM$22, MATCH(E394, $AL$3:$AL$22, 1))) /
      (INDEX($AL$3:$AL$22, MATCH(E394, $AL$3:$AL$22, 1)+1) - INDEX($AL$3:$AL$22, MATCH(E394, $AL$3:$AL$22, 1)))
    ) - H394,
    ""
  )
)</f>
        <v/>
      </c>
      <c r="AL394" s="338"/>
      <c r="AM394" s="339"/>
      <c r="AN394" s="340"/>
    </row>
    <row r="395" spans="1:40" s="315" customFormat="1" ht="15" customHeight="1" x14ac:dyDescent="0.35">
      <c r="A395" s="316">
        <f t="shared" si="213"/>
        <v>3</v>
      </c>
      <c r="B395" s="317">
        <f t="shared" si="213"/>
        <v>19</v>
      </c>
      <c r="C395" s="318" t="str">
        <f t="shared" si="214"/>
        <v/>
      </c>
      <c r="D395" s="319"/>
      <c r="E395" s="320" t="str">
        <f t="shared" si="194"/>
        <v/>
      </c>
      <c r="F395" s="321"/>
      <c r="G395" s="321"/>
      <c r="H395" s="322" t="str">
        <f t="shared" si="215"/>
        <v/>
      </c>
      <c r="I395" s="323" t="str">
        <f t="shared" si="216"/>
        <v/>
      </c>
      <c r="J395" s="321" t="str">
        <f t="shared" si="211"/>
        <v/>
      </c>
      <c r="K395" s="323" t="str">
        <f t="shared" si="195"/>
        <v/>
      </c>
      <c r="L395" s="321"/>
      <c r="M395" s="333"/>
      <c r="N395" s="323" t="str">
        <f t="shared" si="224"/>
        <v/>
      </c>
      <c r="O395" s="323">
        <f t="shared" si="222"/>
        <v>0</v>
      </c>
      <c r="P395" s="324" t="str">
        <f t="shared" si="217"/>
        <v/>
      </c>
      <c r="Q395" s="325" t="str">
        <f t="shared" si="196"/>
        <v/>
      </c>
      <c r="R395" s="323" t="str">
        <f t="shared" si="225"/>
        <v/>
      </c>
      <c r="S395" s="323" t="str">
        <f t="shared" si="223"/>
        <v/>
      </c>
      <c r="T395" s="323" t="str">
        <f t="shared" si="226"/>
        <v/>
      </c>
      <c r="U395" s="323" t="str">
        <f t="shared" si="227"/>
        <v/>
      </c>
      <c r="V395" s="322" t="str">
        <f t="shared" si="192"/>
        <v/>
      </c>
      <c r="W395" s="323" t="str">
        <f t="shared" si="218"/>
        <v/>
      </c>
      <c r="X395" s="323" t="str">
        <f t="shared" si="219"/>
        <v/>
      </c>
      <c r="Y395" s="323" t="str">
        <f t="shared" si="228"/>
        <v/>
      </c>
      <c r="Z395" s="323" t="str">
        <f t="shared" si="209"/>
        <v/>
      </c>
      <c r="AA395" s="326" t="str">
        <f t="shared" si="229"/>
        <v/>
      </c>
      <c r="AB395" s="323" t="str">
        <f t="shared" si="234"/>
        <v/>
      </c>
      <c r="AC395" s="327"/>
      <c r="AD395" s="328" t="str">
        <f t="shared" si="230"/>
        <v/>
      </c>
      <c r="AE395" s="328" t="str">
        <f t="shared" si="230"/>
        <v/>
      </c>
      <c r="AF395" s="328" t="str">
        <f t="shared" si="231"/>
        <v/>
      </c>
      <c r="AG395" s="328" t="str">
        <f t="shared" si="232"/>
        <v/>
      </c>
      <c r="AH395" s="328" t="str">
        <f t="shared" si="220"/>
        <v/>
      </c>
      <c r="AI395" s="328" t="str">
        <f t="shared" si="221"/>
        <v/>
      </c>
      <c r="AJ395" s="329" t="str">
        <f t="shared" si="233"/>
        <v/>
      </c>
      <c r="AK395" s="329" t="str" cm="1">
        <f t="array" ref="AK395">IF(OR(E395="", H395=""), "",
  IFERROR(
     (
      INDEX($AM$3:$AM$22, MATCH(E395, $AL$3:$AL$22, 1)) +
      (E395 - INDEX($AL$3:$AL$22, MATCH(E395, $AL$3:$AL$22, 1))) *
      (INDEX($AM$3:$AM$22, MATCH(E395, $AL$3:$AL$22, 1)+1) - INDEX($AM$3:$AM$22, MATCH(E395, $AL$3:$AL$22, 1))) /
      (INDEX($AL$3:$AL$22, MATCH(E395, $AL$3:$AL$22, 1)+1) - INDEX($AL$3:$AL$22, MATCH(E395, $AL$3:$AL$22, 1)))
    ) - H395,
    ""
  )
)</f>
        <v/>
      </c>
      <c r="AL395" s="341"/>
      <c r="AM395" s="342"/>
      <c r="AN395" s="343"/>
    </row>
    <row r="396" spans="1:40" s="315" customFormat="1" ht="15" customHeight="1" x14ac:dyDescent="0.35">
      <c r="A396" s="297">
        <f t="shared" si="213"/>
        <v>3</v>
      </c>
      <c r="B396" s="298">
        <f t="shared" si="213"/>
        <v>19</v>
      </c>
      <c r="C396" s="299" t="str">
        <f t="shared" si="214"/>
        <v/>
      </c>
      <c r="D396" s="300"/>
      <c r="E396" s="301" t="str">
        <f t="shared" si="194"/>
        <v/>
      </c>
      <c r="F396" s="302"/>
      <c r="G396" s="302"/>
      <c r="H396" s="303" t="str">
        <f t="shared" si="215"/>
        <v/>
      </c>
      <c r="I396" s="304" t="str">
        <f t="shared" si="216"/>
        <v/>
      </c>
      <c r="J396" s="302" t="str">
        <f t="shared" si="211"/>
        <v/>
      </c>
      <c r="K396" s="304" t="str">
        <f t="shared" si="195"/>
        <v/>
      </c>
      <c r="L396" s="302"/>
      <c r="M396" s="305"/>
      <c r="N396" s="304" t="str">
        <f t="shared" si="224"/>
        <v/>
      </c>
      <c r="O396" s="304">
        <f t="shared" si="222"/>
        <v>0</v>
      </c>
      <c r="P396" s="306" t="str">
        <f t="shared" si="217"/>
        <v/>
      </c>
      <c r="Q396" s="307" t="str">
        <f t="shared" si="196"/>
        <v/>
      </c>
      <c r="R396" s="304" t="str">
        <f t="shared" si="225"/>
        <v/>
      </c>
      <c r="S396" s="304" t="str">
        <f t="shared" si="223"/>
        <v/>
      </c>
      <c r="T396" s="304" t="str">
        <f t="shared" si="226"/>
        <v/>
      </c>
      <c r="U396" s="304" t="str">
        <f t="shared" si="227"/>
        <v/>
      </c>
      <c r="V396" s="303" t="str">
        <f t="shared" si="192"/>
        <v/>
      </c>
      <c r="W396" s="304" t="str">
        <f t="shared" si="218"/>
        <v/>
      </c>
      <c r="X396" s="304" t="str">
        <f t="shared" si="219"/>
        <v/>
      </c>
      <c r="Y396" s="304" t="str">
        <f t="shared" si="228"/>
        <v/>
      </c>
      <c r="Z396" s="304" t="str">
        <f t="shared" si="209"/>
        <v/>
      </c>
      <c r="AA396" s="308" t="str">
        <f t="shared" si="229"/>
        <v/>
      </c>
      <c r="AB396" s="304" t="str">
        <f t="shared" si="234"/>
        <v/>
      </c>
      <c r="AC396" s="309"/>
      <c r="AD396" s="310" t="str">
        <f t="shared" si="230"/>
        <v/>
      </c>
      <c r="AE396" s="310" t="str">
        <f t="shared" si="230"/>
        <v/>
      </c>
      <c r="AF396" s="310" t="str">
        <f t="shared" si="231"/>
        <v/>
      </c>
      <c r="AG396" s="310" t="str">
        <f t="shared" si="232"/>
        <v/>
      </c>
      <c r="AH396" s="310" t="str">
        <f t="shared" si="220"/>
        <v/>
      </c>
      <c r="AI396" s="310" t="str">
        <f t="shared" si="221"/>
        <v/>
      </c>
      <c r="AJ396" s="311" t="str">
        <f t="shared" si="233"/>
        <v/>
      </c>
      <c r="AK396" s="311" t="str" cm="1">
        <f t="array" ref="AK396">IF(OR(E396="", H396=""), "",
  IFERROR(
     (
      INDEX($AM$3:$AM$22, MATCH(E396, $AL$3:$AL$22, 1)) +
      (E396 - INDEX($AL$3:$AL$22, MATCH(E396, $AL$3:$AL$22, 1))) *
      (INDEX($AM$3:$AM$22, MATCH(E396, $AL$3:$AL$22, 1)+1) - INDEX($AM$3:$AM$22, MATCH(E396, $AL$3:$AL$22, 1))) /
      (INDEX($AL$3:$AL$22, MATCH(E396, $AL$3:$AL$22, 1)+1) - INDEX($AL$3:$AL$22, MATCH(E396, $AL$3:$AL$22, 1)))
    ) - H396,
    ""
  )
)</f>
        <v/>
      </c>
      <c r="AL396" s="338"/>
      <c r="AM396" s="339"/>
      <c r="AN396" s="340"/>
    </row>
    <row r="397" spans="1:40" s="315" customFormat="1" ht="15" customHeight="1" x14ac:dyDescent="0.35">
      <c r="A397" s="316">
        <f t="shared" si="213"/>
        <v>3</v>
      </c>
      <c r="B397" s="317">
        <f t="shared" si="213"/>
        <v>19</v>
      </c>
      <c r="C397" s="318" t="str">
        <f t="shared" si="214"/>
        <v/>
      </c>
      <c r="D397" s="319"/>
      <c r="E397" s="320" t="str">
        <f t="shared" si="194"/>
        <v/>
      </c>
      <c r="F397" s="321"/>
      <c r="G397" s="321"/>
      <c r="H397" s="322" t="str">
        <f t="shared" si="215"/>
        <v/>
      </c>
      <c r="I397" s="323" t="str">
        <f t="shared" si="216"/>
        <v/>
      </c>
      <c r="J397" s="321" t="str">
        <f t="shared" si="211"/>
        <v/>
      </c>
      <c r="K397" s="323" t="str">
        <f t="shared" si="195"/>
        <v/>
      </c>
      <c r="L397" s="321"/>
      <c r="M397" s="333"/>
      <c r="N397" s="323" t="str">
        <f t="shared" si="224"/>
        <v/>
      </c>
      <c r="O397" s="323">
        <f t="shared" si="222"/>
        <v>0</v>
      </c>
      <c r="P397" s="324" t="str">
        <f t="shared" si="217"/>
        <v/>
      </c>
      <c r="Q397" s="325" t="str">
        <f t="shared" si="196"/>
        <v/>
      </c>
      <c r="R397" s="323" t="str">
        <f t="shared" si="225"/>
        <v/>
      </c>
      <c r="S397" s="323" t="str">
        <f t="shared" si="223"/>
        <v/>
      </c>
      <c r="T397" s="323" t="str">
        <f t="shared" si="226"/>
        <v/>
      </c>
      <c r="U397" s="323" t="str">
        <f t="shared" si="227"/>
        <v/>
      </c>
      <c r="V397" s="322" t="str">
        <f t="shared" ref="V397:V460" si="235">IF(F397="","",IF(N397="",IF(O397="",(F397-F396)/30,AVERAGE(V396,V395,V394)),(F397-F396)/N397))</f>
        <v/>
      </c>
      <c r="W397" s="323" t="str">
        <f t="shared" si="218"/>
        <v/>
      </c>
      <c r="X397" s="323" t="str">
        <f t="shared" si="219"/>
        <v/>
      </c>
      <c r="Y397" s="323" t="str">
        <f t="shared" si="228"/>
        <v/>
      </c>
      <c r="Z397" s="323" t="str">
        <f t="shared" si="209"/>
        <v/>
      </c>
      <c r="AA397" s="326" t="str">
        <f t="shared" si="229"/>
        <v/>
      </c>
      <c r="AB397" s="323" t="str">
        <f t="shared" si="234"/>
        <v/>
      </c>
      <c r="AC397" s="327"/>
      <c r="AD397" s="328" t="str">
        <f t="shared" si="230"/>
        <v/>
      </c>
      <c r="AE397" s="328" t="str">
        <f t="shared" si="230"/>
        <v/>
      </c>
      <c r="AF397" s="328" t="str">
        <f t="shared" si="231"/>
        <v/>
      </c>
      <c r="AG397" s="328" t="str">
        <f t="shared" si="232"/>
        <v/>
      </c>
      <c r="AH397" s="328" t="str">
        <f t="shared" si="220"/>
        <v/>
      </c>
      <c r="AI397" s="328" t="str">
        <f t="shared" si="221"/>
        <v/>
      </c>
      <c r="AJ397" s="329" t="str">
        <f t="shared" si="233"/>
        <v/>
      </c>
      <c r="AK397" s="329" t="str" cm="1">
        <f t="array" ref="AK397">IF(OR(E397="", H397=""), "",
  IFERROR(
     (
      INDEX($AM$3:$AM$22, MATCH(E397, $AL$3:$AL$22, 1)) +
      (E397 - INDEX($AL$3:$AL$22, MATCH(E397, $AL$3:$AL$22, 1))) *
      (INDEX($AM$3:$AM$22, MATCH(E397, $AL$3:$AL$22, 1)+1) - INDEX($AM$3:$AM$22, MATCH(E397, $AL$3:$AL$22, 1))) /
      (INDEX($AL$3:$AL$22, MATCH(E397, $AL$3:$AL$22, 1)+1) - INDEX($AL$3:$AL$22, MATCH(E397, $AL$3:$AL$22, 1)))
    ) - H397,
    ""
  )
)</f>
        <v/>
      </c>
      <c r="AL397" s="341"/>
      <c r="AM397" s="342"/>
      <c r="AN397" s="343"/>
    </row>
    <row r="398" spans="1:40" s="315" customFormat="1" ht="15" customHeight="1" x14ac:dyDescent="0.35">
      <c r="A398" s="297">
        <f t="shared" si="213"/>
        <v>3</v>
      </c>
      <c r="B398" s="298">
        <f t="shared" si="213"/>
        <v>19</v>
      </c>
      <c r="C398" s="299" t="str">
        <f t="shared" si="214"/>
        <v/>
      </c>
      <c r="D398" s="300"/>
      <c r="E398" s="301" t="str">
        <f t="shared" si="194"/>
        <v/>
      </c>
      <c r="F398" s="302"/>
      <c r="G398" s="302"/>
      <c r="H398" s="303" t="str">
        <f t="shared" si="215"/>
        <v/>
      </c>
      <c r="I398" s="304" t="str">
        <f t="shared" si="216"/>
        <v/>
      </c>
      <c r="J398" s="302" t="str">
        <f t="shared" si="211"/>
        <v/>
      </c>
      <c r="K398" s="304" t="str">
        <f t="shared" si="195"/>
        <v/>
      </c>
      <c r="L398" s="302"/>
      <c r="M398" s="305"/>
      <c r="N398" s="304" t="str">
        <f t="shared" si="224"/>
        <v/>
      </c>
      <c r="O398" s="304">
        <f t="shared" si="222"/>
        <v>0</v>
      </c>
      <c r="P398" s="306" t="str">
        <f t="shared" si="217"/>
        <v/>
      </c>
      <c r="Q398" s="307" t="str">
        <f t="shared" si="196"/>
        <v/>
      </c>
      <c r="R398" s="304" t="str">
        <f t="shared" si="225"/>
        <v/>
      </c>
      <c r="S398" s="304" t="str">
        <f t="shared" si="223"/>
        <v/>
      </c>
      <c r="T398" s="304" t="str">
        <f t="shared" si="226"/>
        <v/>
      </c>
      <c r="U398" s="304" t="str">
        <f t="shared" si="227"/>
        <v/>
      </c>
      <c r="V398" s="303" t="str">
        <f t="shared" si="235"/>
        <v/>
      </c>
      <c r="W398" s="304" t="str">
        <f t="shared" si="218"/>
        <v/>
      </c>
      <c r="X398" s="304" t="str">
        <f t="shared" si="219"/>
        <v/>
      </c>
      <c r="Y398" s="304" t="str">
        <f t="shared" si="228"/>
        <v/>
      </c>
      <c r="Z398" s="304" t="str">
        <f t="shared" si="209"/>
        <v/>
      </c>
      <c r="AA398" s="308" t="str">
        <f t="shared" si="229"/>
        <v/>
      </c>
      <c r="AB398" s="304" t="str">
        <f t="shared" si="234"/>
        <v/>
      </c>
      <c r="AC398" s="309"/>
      <c r="AD398" s="310" t="str">
        <f t="shared" si="230"/>
        <v/>
      </c>
      <c r="AE398" s="310" t="str">
        <f t="shared" si="230"/>
        <v/>
      </c>
      <c r="AF398" s="310" t="str">
        <f t="shared" si="231"/>
        <v/>
      </c>
      <c r="AG398" s="310" t="str">
        <f t="shared" si="232"/>
        <v/>
      </c>
      <c r="AH398" s="310" t="str">
        <f t="shared" si="220"/>
        <v/>
      </c>
      <c r="AI398" s="310" t="str">
        <f t="shared" si="221"/>
        <v/>
      </c>
      <c r="AJ398" s="311" t="str">
        <f t="shared" si="233"/>
        <v/>
      </c>
      <c r="AK398" s="311" t="str" cm="1">
        <f t="array" ref="AK398">IF(OR(E398="", H398=""), "",
  IFERROR(
     (
      INDEX($AM$3:$AM$22, MATCH(E398, $AL$3:$AL$22, 1)) +
      (E398 - INDEX($AL$3:$AL$22, MATCH(E398, $AL$3:$AL$22, 1))) *
      (INDEX($AM$3:$AM$22, MATCH(E398, $AL$3:$AL$22, 1)+1) - INDEX($AM$3:$AM$22, MATCH(E398, $AL$3:$AL$22, 1))) /
      (INDEX($AL$3:$AL$22, MATCH(E398, $AL$3:$AL$22, 1)+1) - INDEX($AL$3:$AL$22, MATCH(E398, $AL$3:$AL$22, 1)))
    ) - H398,
    ""
  )
)</f>
        <v/>
      </c>
      <c r="AL398" s="338"/>
      <c r="AM398" s="339"/>
      <c r="AN398" s="340"/>
    </row>
    <row r="399" spans="1:40" s="315" customFormat="1" ht="15" customHeight="1" x14ac:dyDescent="0.35">
      <c r="A399" s="316">
        <f t="shared" si="213"/>
        <v>3</v>
      </c>
      <c r="B399" s="317">
        <f t="shared" si="213"/>
        <v>19</v>
      </c>
      <c r="C399" s="318" t="str">
        <f t="shared" si="214"/>
        <v/>
      </c>
      <c r="D399" s="319"/>
      <c r="E399" s="320" t="str">
        <f t="shared" si="194"/>
        <v/>
      </c>
      <c r="F399" s="321"/>
      <c r="G399" s="321"/>
      <c r="H399" s="322" t="str">
        <f t="shared" si="215"/>
        <v/>
      </c>
      <c r="I399" s="323" t="str">
        <f t="shared" si="216"/>
        <v/>
      </c>
      <c r="J399" s="321" t="str">
        <f t="shared" si="211"/>
        <v/>
      </c>
      <c r="K399" s="323" t="str">
        <f t="shared" si="195"/>
        <v/>
      </c>
      <c r="L399" s="321"/>
      <c r="M399" s="333"/>
      <c r="N399" s="323" t="str">
        <f t="shared" si="224"/>
        <v/>
      </c>
      <c r="O399" s="323">
        <f t="shared" si="222"/>
        <v>0</v>
      </c>
      <c r="P399" s="324" t="str">
        <f t="shared" si="217"/>
        <v/>
      </c>
      <c r="Q399" s="325" t="str">
        <f t="shared" si="196"/>
        <v/>
      </c>
      <c r="R399" s="323" t="str">
        <f t="shared" si="225"/>
        <v/>
      </c>
      <c r="S399" s="323" t="str">
        <f t="shared" si="223"/>
        <v/>
      </c>
      <c r="T399" s="323" t="str">
        <f t="shared" si="226"/>
        <v/>
      </c>
      <c r="U399" s="323" t="str">
        <f t="shared" si="227"/>
        <v/>
      </c>
      <c r="V399" s="322" t="str">
        <f t="shared" si="235"/>
        <v/>
      </c>
      <c r="W399" s="323" t="str">
        <f t="shared" si="218"/>
        <v/>
      </c>
      <c r="X399" s="323" t="str">
        <f t="shared" si="219"/>
        <v/>
      </c>
      <c r="Y399" s="323" t="str">
        <f t="shared" si="228"/>
        <v/>
      </c>
      <c r="Z399" s="323" t="str">
        <f t="shared" si="209"/>
        <v/>
      </c>
      <c r="AA399" s="326" t="str">
        <f t="shared" si="229"/>
        <v/>
      </c>
      <c r="AB399" s="323" t="str">
        <f t="shared" si="234"/>
        <v/>
      </c>
      <c r="AC399" s="327"/>
      <c r="AD399" s="328" t="str">
        <f t="shared" si="230"/>
        <v/>
      </c>
      <c r="AE399" s="328" t="str">
        <f t="shared" si="230"/>
        <v/>
      </c>
      <c r="AF399" s="328" t="str">
        <f t="shared" si="231"/>
        <v/>
      </c>
      <c r="AG399" s="328" t="str">
        <f t="shared" si="232"/>
        <v/>
      </c>
      <c r="AH399" s="328" t="str">
        <f t="shared" si="220"/>
        <v/>
      </c>
      <c r="AI399" s="328" t="str">
        <f t="shared" si="221"/>
        <v/>
      </c>
      <c r="AJ399" s="329" t="str">
        <f t="shared" si="233"/>
        <v/>
      </c>
      <c r="AK399" s="329" t="str" cm="1">
        <f t="array" ref="AK399">IF(OR(E399="", H399=""), "",
  IFERROR(
     (
      INDEX($AM$3:$AM$22, MATCH(E399, $AL$3:$AL$22, 1)) +
      (E399 - INDEX($AL$3:$AL$22, MATCH(E399, $AL$3:$AL$22, 1))) *
      (INDEX($AM$3:$AM$22, MATCH(E399, $AL$3:$AL$22, 1)+1) - INDEX($AM$3:$AM$22, MATCH(E399, $AL$3:$AL$22, 1))) /
      (INDEX($AL$3:$AL$22, MATCH(E399, $AL$3:$AL$22, 1)+1) - INDEX($AL$3:$AL$22, MATCH(E399, $AL$3:$AL$22, 1)))
    ) - H399,
    ""
  )
)</f>
        <v/>
      </c>
      <c r="AL399" s="341"/>
      <c r="AM399" s="342"/>
      <c r="AN399" s="343"/>
    </row>
    <row r="400" spans="1:40" s="315" customFormat="1" ht="15" customHeight="1" x14ac:dyDescent="0.35">
      <c r="A400" s="297">
        <f t="shared" ref="A400:B415" si="236">+A399</f>
        <v>3</v>
      </c>
      <c r="B400" s="298">
        <f t="shared" si="236"/>
        <v>19</v>
      </c>
      <c r="C400" s="299" t="str">
        <f t="shared" si="214"/>
        <v/>
      </c>
      <c r="D400" s="300"/>
      <c r="E400" s="301" t="str">
        <f t="shared" si="194"/>
        <v/>
      </c>
      <c r="F400" s="302"/>
      <c r="G400" s="302"/>
      <c r="H400" s="303" t="str">
        <f t="shared" si="215"/>
        <v/>
      </c>
      <c r="I400" s="304" t="str">
        <f t="shared" si="216"/>
        <v/>
      </c>
      <c r="J400" s="302" t="str">
        <f t="shared" si="211"/>
        <v/>
      </c>
      <c r="K400" s="304" t="str">
        <f t="shared" si="195"/>
        <v/>
      </c>
      <c r="L400" s="302"/>
      <c r="M400" s="305"/>
      <c r="N400" s="304" t="str">
        <f t="shared" si="224"/>
        <v/>
      </c>
      <c r="O400" s="304">
        <f t="shared" si="222"/>
        <v>0</v>
      </c>
      <c r="P400" s="306" t="str">
        <f t="shared" si="217"/>
        <v/>
      </c>
      <c r="Q400" s="307" t="str">
        <f t="shared" si="196"/>
        <v/>
      </c>
      <c r="R400" s="304" t="str">
        <f t="shared" si="225"/>
        <v/>
      </c>
      <c r="S400" s="304" t="str">
        <f t="shared" si="223"/>
        <v/>
      </c>
      <c r="T400" s="304" t="str">
        <f t="shared" si="226"/>
        <v/>
      </c>
      <c r="U400" s="304" t="str">
        <f t="shared" si="227"/>
        <v/>
      </c>
      <c r="V400" s="303" t="str">
        <f t="shared" si="235"/>
        <v/>
      </c>
      <c r="W400" s="304" t="str">
        <f t="shared" si="218"/>
        <v/>
      </c>
      <c r="X400" s="304" t="str">
        <f t="shared" si="219"/>
        <v/>
      </c>
      <c r="Y400" s="304" t="str">
        <f t="shared" si="228"/>
        <v/>
      </c>
      <c r="Z400" s="304" t="str">
        <f t="shared" si="209"/>
        <v/>
      </c>
      <c r="AA400" s="308" t="str">
        <f t="shared" si="229"/>
        <v/>
      </c>
      <c r="AB400" s="304" t="str">
        <f t="shared" si="234"/>
        <v/>
      </c>
      <c r="AC400" s="309"/>
      <c r="AD400" s="310" t="str">
        <f t="shared" si="230"/>
        <v/>
      </c>
      <c r="AE400" s="310" t="str">
        <f t="shared" si="230"/>
        <v/>
      </c>
      <c r="AF400" s="310" t="str">
        <f t="shared" si="231"/>
        <v/>
      </c>
      <c r="AG400" s="310" t="str">
        <f t="shared" si="232"/>
        <v/>
      </c>
      <c r="AH400" s="310" t="str">
        <f t="shared" si="220"/>
        <v/>
      </c>
      <c r="AI400" s="310" t="str">
        <f t="shared" si="221"/>
        <v/>
      </c>
      <c r="AJ400" s="311" t="str">
        <f t="shared" si="233"/>
        <v/>
      </c>
      <c r="AK400" s="311" t="str" cm="1">
        <f t="array" ref="AK400">IF(OR(E400="", H400=""), "",
  IFERROR(
     (
      INDEX($AM$3:$AM$22, MATCH(E400, $AL$3:$AL$22, 1)) +
      (E400 - INDEX($AL$3:$AL$22, MATCH(E400, $AL$3:$AL$22, 1))) *
      (INDEX($AM$3:$AM$22, MATCH(E400, $AL$3:$AL$22, 1)+1) - INDEX($AM$3:$AM$22, MATCH(E400, $AL$3:$AL$22, 1))) /
      (INDEX($AL$3:$AL$22, MATCH(E400, $AL$3:$AL$22, 1)+1) - INDEX($AL$3:$AL$22, MATCH(E400, $AL$3:$AL$22, 1)))
    ) - H400,
    ""
  )
)</f>
        <v/>
      </c>
      <c r="AL400" s="338"/>
      <c r="AM400" s="339"/>
      <c r="AN400" s="340"/>
    </row>
    <row r="401" spans="1:40" x14ac:dyDescent="0.35">
      <c r="A401" s="122">
        <f t="shared" si="236"/>
        <v>3</v>
      </c>
      <c r="B401" s="123">
        <f t="shared" si="236"/>
        <v>19</v>
      </c>
      <c r="C401" s="124" t="str">
        <f t="shared" si="214"/>
        <v/>
      </c>
      <c r="D401" s="125"/>
      <c r="E401" s="124" t="str">
        <f t="shared" si="194"/>
        <v/>
      </c>
      <c r="F401" s="166"/>
      <c r="G401" s="166"/>
      <c r="H401" s="167" t="str">
        <f t="shared" si="215"/>
        <v/>
      </c>
      <c r="I401" s="168" t="str">
        <f t="shared" si="216"/>
        <v/>
      </c>
      <c r="J401" s="166" t="str">
        <f t="shared" si="211"/>
        <v/>
      </c>
      <c r="K401" s="168" t="str">
        <f t="shared" si="195"/>
        <v/>
      </c>
      <c r="L401" s="169"/>
      <c r="M401" s="170"/>
      <c r="N401" s="168" t="str">
        <f t="shared" si="224"/>
        <v/>
      </c>
      <c r="O401" s="168">
        <f t="shared" si="222"/>
        <v>0</v>
      </c>
      <c r="P401" s="171" t="str">
        <f t="shared" si="217"/>
        <v/>
      </c>
      <c r="Q401" s="172" t="str">
        <f t="shared" si="196"/>
        <v/>
      </c>
      <c r="R401" s="168" t="str">
        <f t="shared" si="225"/>
        <v/>
      </c>
      <c r="S401" s="168" t="str">
        <f t="shared" si="223"/>
        <v/>
      </c>
      <c r="T401" s="168" t="str">
        <f t="shared" si="226"/>
        <v/>
      </c>
      <c r="U401" s="168" t="str">
        <f t="shared" si="227"/>
        <v/>
      </c>
      <c r="V401" s="167" t="str">
        <f t="shared" si="235"/>
        <v/>
      </c>
      <c r="W401" s="168" t="str">
        <f t="shared" si="218"/>
        <v/>
      </c>
      <c r="X401" s="168" t="str">
        <f t="shared" si="219"/>
        <v/>
      </c>
      <c r="Y401" s="168" t="str">
        <f t="shared" si="228"/>
        <v/>
      </c>
      <c r="Z401" s="168" t="str">
        <f t="shared" si="209"/>
        <v/>
      </c>
      <c r="AA401" s="173" t="str">
        <f t="shared" si="229"/>
        <v/>
      </c>
      <c r="AB401" s="168" t="str">
        <f t="shared" si="234"/>
        <v/>
      </c>
      <c r="AC401" s="174"/>
      <c r="AD401" s="175" t="str">
        <f t="shared" si="230"/>
        <v/>
      </c>
      <c r="AE401" s="175" t="str">
        <f t="shared" si="230"/>
        <v/>
      </c>
      <c r="AF401" s="175" t="str">
        <f t="shared" si="231"/>
        <v/>
      </c>
      <c r="AG401" s="175" t="str">
        <f t="shared" si="232"/>
        <v/>
      </c>
      <c r="AH401" s="175" t="str">
        <f t="shared" si="220"/>
        <v/>
      </c>
      <c r="AI401" s="175" t="str">
        <f t="shared" si="221"/>
        <v/>
      </c>
      <c r="AJ401" s="176" t="str">
        <f t="shared" si="233"/>
        <v/>
      </c>
      <c r="AK401" s="176" t="str" cm="1">
        <f t="array" ref="AK401">IF(OR(E401="", H401=""), "",
  IFERROR(
     (
      INDEX($AM$3:$AM$22, MATCH(E401, $AL$3:$AL$22, 1)) +
      (E401 - INDEX($AL$3:$AL$22, MATCH(E401, $AL$3:$AL$22, 1))) *
      (INDEX($AM$3:$AM$22, MATCH(E401, $AL$3:$AL$22, 1)+1) - INDEX($AM$3:$AM$22, MATCH(E401, $AL$3:$AL$22, 1))) /
      (INDEX($AL$3:$AL$22, MATCH(E401, $AL$3:$AL$22, 1)+1) - INDEX($AL$3:$AL$22, MATCH(E401, $AL$3:$AL$22, 1)))
    ) - H401,
    ""
  )
)</f>
        <v/>
      </c>
      <c r="AL401" s="135"/>
      <c r="AM401" s="135"/>
      <c r="AN401" s="136"/>
    </row>
    <row r="402" spans="1:40" x14ac:dyDescent="0.35">
      <c r="A402" s="109">
        <f t="shared" si="236"/>
        <v>3</v>
      </c>
      <c r="B402" s="110">
        <f t="shared" si="236"/>
        <v>19</v>
      </c>
      <c r="C402" s="111" t="str">
        <f t="shared" si="214"/>
        <v/>
      </c>
      <c r="D402" s="112"/>
      <c r="E402" s="111" t="str">
        <f t="shared" si="194"/>
        <v/>
      </c>
      <c r="F402" s="112"/>
      <c r="G402" s="112"/>
      <c r="H402" s="113" t="str">
        <f t="shared" si="215"/>
        <v/>
      </c>
      <c r="I402" s="111" t="str">
        <f t="shared" si="216"/>
        <v/>
      </c>
      <c r="J402" s="112" t="str">
        <f t="shared" si="211"/>
        <v/>
      </c>
      <c r="K402" s="111" t="str">
        <f t="shared" si="195"/>
        <v/>
      </c>
      <c r="L402" s="114"/>
      <c r="M402" s="115"/>
      <c r="N402" s="111" t="str">
        <f t="shared" si="224"/>
        <v/>
      </c>
      <c r="O402" s="111">
        <f t="shared" si="222"/>
        <v>0</v>
      </c>
      <c r="P402" s="116" t="str">
        <f t="shared" si="217"/>
        <v/>
      </c>
      <c r="Q402" s="117" t="str">
        <f t="shared" si="196"/>
        <v/>
      </c>
      <c r="R402" s="111" t="str">
        <f t="shared" si="225"/>
        <v/>
      </c>
      <c r="S402" s="111" t="str">
        <f t="shared" si="223"/>
        <v/>
      </c>
      <c r="T402" s="111" t="str">
        <f t="shared" si="226"/>
        <v/>
      </c>
      <c r="U402" s="111" t="str">
        <f t="shared" si="227"/>
        <v/>
      </c>
      <c r="V402" s="113" t="str">
        <f t="shared" si="235"/>
        <v/>
      </c>
      <c r="W402" s="111" t="str">
        <f t="shared" si="218"/>
        <v/>
      </c>
      <c r="X402" s="111" t="str">
        <f t="shared" si="219"/>
        <v/>
      </c>
      <c r="Y402" s="111" t="str">
        <f t="shared" si="228"/>
        <v/>
      </c>
      <c r="Z402" s="111" t="str">
        <f t="shared" si="209"/>
        <v/>
      </c>
      <c r="AA402" s="118" t="str">
        <f t="shared" si="229"/>
        <v/>
      </c>
      <c r="AB402" s="111" t="str">
        <f t="shared" si="234"/>
        <v/>
      </c>
      <c r="AC402" s="119"/>
      <c r="AD402" s="120" t="str">
        <f t="shared" si="230"/>
        <v/>
      </c>
      <c r="AE402" s="120" t="str">
        <f t="shared" si="230"/>
        <v/>
      </c>
      <c r="AF402" s="120" t="str">
        <f t="shared" si="231"/>
        <v/>
      </c>
      <c r="AG402" s="120" t="str">
        <f t="shared" si="232"/>
        <v/>
      </c>
      <c r="AH402" s="120" t="str">
        <f t="shared" si="220"/>
        <v/>
      </c>
      <c r="AI402" s="120" t="str">
        <f t="shared" si="221"/>
        <v/>
      </c>
      <c r="AJ402" s="121" t="str">
        <f t="shared" si="233"/>
        <v/>
      </c>
      <c r="AK402" s="121" t="str" cm="1">
        <f t="array" ref="AK402">IF(OR(E402="", H402=""), "",
  IFERROR(
     (
      INDEX($AM$3:$AM$22, MATCH(E402, $AL$3:$AL$22, 1)) +
      (E402 - INDEX($AL$3:$AL$22, MATCH(E402, $AL$3:$AL$22, 1))) *
      (INDEX($AM$3:$AM$22, MATCH(E402, $AL$3:$AL$22, 1)+1) - INDEX($AM$3:$AM$22, MATCH(E402, $AL$3:$AL$22, 1))) /
      (INDEX($AL$3:$AL$22, MATCH(E402, $AL$3:$AL$22, 1)+1) - INDEX($AL$3:$AL$22, MATCH(E402, $AL$3:$AL$22, 1)))
    ) - H402,
    ""
  )
)</f>
        <v/>
      </c>
      <c r="AL402" s="137"/>
      <c r="AM402" s="137"/>
      <c r="AN402" s="138"/>
    </row>
    <row r="403" spans="1:40" x14ac:dyDescent="0.35">
      <c r="A403" s="122">
        <f t="shared" si="236"/>
        <v>3</v>
      </c>
      <c r="B403" s="123">
        <f t="shared" si="236"/>
        <v>19</v>
      </c>
      <c r="C403" s="124" t="str">
        <f t="shared" si="214"/>
        <v/>
      </c>
      <c r="D403" s="125"/>
      <c r="E403" s="124" t="str">
        <f t="shared" si="194"/>
        <v/>
      </c>
      <c r="F403" s="125"/>
      <c r="G403" s="125"/>
      <c r="H403" s="126" t="str">
        <f t="shared" si="215"/>
        <v/>
      </c>
      <c r="I403" s="124" t="str">
        <f t="shared" si="216"/>
        <v/>
      </c>
      <c r="J403" s="125" t="str">
        <f t="shared" si="211"/>
        <v/>
      </c>
      <c r="K403" s="124" t="str">
        <f t="shared" si="195"/>
        <v/>
      </c>
      <c r="L403" s="127"/>
      <c r="M403" s="134"/>
      <c r="N403" s="124" t="str">
        <f t="shared" si="224"/>
        <v/>
      </c>
      <c r="O403" s="124">
        <f t="shared" si="222"/>
        <v>0</v>
      </c>
      <c r="P403" s="128" t="str">
        <f t="shared" si="217"/>
        <v/>
      </c>
      <c r="Q403" s="129" t="str">
        <f t="shared" si="196"/>
        <v/>
      </c>
      <c r="R403" s="124" t="str">
        <f t="shared" si="225"/>
        <v/>
      </c>
      <c r="S403" s="124" t="str">
        <f t="shared" si="223"/>
        <v/>
      </c>
      <c r="T403" s="124" t="str">
        <f t="shared" si="226"/>
        <v/>
      </c>
      <c r="U403" s="124" t="str">
        <f t="shared" si="227"/>
        <v/>
      </c>
      <c r="V403" s="126" t="str">
        <f t="shared" si="235"/>
        <v/>
      </c>
      <c r="W403" s="124" t="str">
        <f t="shared" si="218"/>
        <v/>
      </c>
      <c r="X403" s="124" t="str">
        <f t="shared" si="219"/>
        <v/>
      </c>
      <c r="Y403" s="124" t="str">
        <f t="shared" si="228"/>
        <v/>
      </c>
      <c r="Z403" s="124" t="str">
        <f t="shared" si="209"/>
        <v/>
      </c>
      <c r="AA403" s="130" t="str">
        <f t="shared" si="229"/>
        <v/>
      </c>
      <c r="AB403" s="124" t="str">
        <f t="shared" si="234"/>
        <v/>
      </c>
      <c r="AC403" s="131"/>
      <c r="AD403" s="132" t="str">
        <f t="shared" si="230"/>
        <v/>
      </c>
      <c r="AE403" s="132" t="str">
        <f t="shared" si="230"/>
        <v/>
      </c>
      <c r="AF403" s="132" t="str">
        <f t="shared" si="231"/>
        <v/>
      </c>
      <c r="AG403" s="132" t="str">
        <f t="shared" si="232"/>
        <v/>
      </c>
      <c r="AH403" s="132" t="str">
        <f t="shared" si="220"/>
        <v/>
      </c>
      <c r="AI403" s="132" t="str">
        <f t="shared" si="221"/>
        <v/>
      </c>
      <c r="AJ403" s="133" t="str">
        <f t="shared" si="233"/>
        <v/>
      </c>
      <c r="AK403" s="133" t="str" cm="1">
        <f t="array" ref="AK403">IF(OR(E403="", H403=""), "",
  IFERROR(
     (
      INDEX($AM$3:$AM$22, MATCH(E403, $AL$3:$AL$22, 1)) +
      (E403 - INDEX($AL$3:$AL$22, MATCH(E403, $AL$3:$AL$22, 1))) *
      (INDEX($AM$3:$AM$22, MATCH(E403, $AL$3:$AL$22, 1)+1) - INDEX($AM$3:$AM$22, MATCH(E403, $AL$3:$AL$22, 1))) /
      (INDEX($AL$3:$AL$22, MATCH(E403, $AL$3:$AL$22, 1)+1) - INDEX($AL$3:$AL$22, MATCH(E403, $AL$3:$AL$22, 1)))
    ) - H403,
    ""
  )
)</f>
        <v/>
      </c>
      <c r="AL403" s="135"/>
      <c r="AM403" s="135"/>
      <c r="AN403" s="136"/>
    </row>
    <row r="404" spans="1:40" x14ac:dyDescent="0.35">
      <c r="A404" s="109">
        <f t="shared" si="236"/>
        <v>3</v>
      </c>
      <c r="B404" s="110">
        <f t="shared" si="236"/>
        <v>19</v>
      </c>
      <c r="C404" s="111" t="str">
        <f t="shared" si="214"/>
        <v/>
      </c>
      <c r="D404" s="112"/>
      <c r="E404" s="111" t="str">
        <f t="shared" si="194"/>
        <v/>
      </c>
      <c r="F404" s="112"/>
      <c r="G404" s="112"/>
      <c r="H404" s="113" t="str">
        <f t="shared" si="215"/>
        <v/>
      </c>
      <c r="I404" s="111" t="str">
        <f t="shared" si="216"/>
        <v/>
      </c>
      <c r="J404" s="112" t="str">
        <f t="shared" si="211"/>
        <v/>
      </c>
      <c r="K404" s="111" t="str">
        <f t="shared" si="195"/>
        <v/>
      </c>
      <c r="L404" s="114"/>
      <c r="M404" s="115"/>
      <c r="N404" s="111" t="str">
        <f t="shared" si="224"/>
        <v/>
      </c>
      <c r="O404" s="111">
        <f t="shared" si="222"/>
        <v>0</v>
      </c>
      <c r="P404" s="116" t="str">
        <f t="shared" si="217"/>
        <v/>
      </c>
      <c r="Q404" s="117" t="str">
        <f t="shared" si="196"/>
        <v/>
      </c>
      <c r="R404" s="111" t="str">
        <f t="shared" si="225"/>
        <v/>
      </c>
      <c r="S404" s="111" t="str">
        <f t="shared" si="223"/>
        <v/>
      </c>
      <c r="T404" s="111" t="str">
        <f t="shared" si="226"/>
        <v/>
      </c>
      <c r="U404" s="111" t="str">
        <f t="shared" si="227"/>
        <v/>
      </c>
      <c r="V404" s="113" t="str">
        <f t="shared" si="235"/>
        <v/>
      </c>
      <c r="W404" s="111" t="str">
        <f t="shared" si="218"/>
        <v/>
      </c>
      <c r="X404" s="111" t="str">
        <f t="shared" si="219"/>
        <v/>
      </c>
      <c r="Y404" s="111" t="str">
        <f t="shared" si="228"/>
        <v/>
      </c>
      <c r="Z404" s="111" t="str">
        <f t="shared" si="209"/>
        <v/>
      </c>
      <c r="AA404" s="118" t="str">
        <f t="shared" si="229"/>
        <v/>
      </c>
      <c r="AB404" s="111" t="str">
        <f t="shared" si="234"/>
        <v/>
      </c>
      <c r="AC404" s="119"/>
      <c r="AD404" s="120" t="str">
        <f t="shared" si="230"/>
        <v/>
      </c>
      <c r="AE404" s="120" t="str">
        <f t="shared" si="230"/>
        <v/>
      </c>
      <c r="AF404" s="120" t="str">
        <f t="shared" si="231"/>
        <v/>
      </c>
      <c r="AG404" s="120" t="str">
        <f t="shared" si="232"/>
        <v/>
      </c>
      <c r="AH404" s="120" t="str">
        <f t="shared" si="220"/>
        <v/>
      </c>
      <c r="AI404" s="120" t="str">
        <f t="shared" si="221"/>
        <v/>
      </c>
      <c r="AJ404" s="121" t="str">
        <f t="shared" si="233"/>
        <v/>
      </c>
      <c r="AK404" s="121" t="str" cm="1">
        <f t="array" ref="AK404">IF(OR(E404="", H404=""), "",
  IFERROR(
     (
      INDEX($AM$3:$AM$22, MATCH(E404, $AL$3:$AL$22, 1)) +
      (E404 - INDEX($AL$3:$AL$22, MATCH(E404, $AL$3:$AL$22, 1))) *
      (INDEX($AM$3:$AM$22, MATCH(E404, $AL$3:$AL$22, 1)+1) - INDEX($AM$3:$AM$22, MATCH(E404, $AL$3:$AL$22, 1))) /
      (INDEX($AL$3:$AL$22, MATCH(E404, $AL$3:$AL$22, 1)+1) - INDEX($AL$3:$AL$22, MATCH(E404, $AL$3:$AL$22, 1)))
    ) - H404,
    ""
  )
)</f>
        <v/>
      </c>
      <c r="AL404" s="137"/>
      <c r="AM404" s="137"/>
      <c r="AN404" s="138"/>
    </row>
    <row r="405" spans="1:40" x14ac:dyDescent="0.35">
      <c r="A405" s="122">
        <f t="shared" si="236"/>
        <v>3</v>
      </c>
      <c r="B405" s="123">
        <f t="shared" si="236"/>
        <v>19</v>
      </c>
      <c r="C405" s="124" t="str">
        <f t="shared" si="214"/>
        <v/>
      </c>
      <c r="D405" s="125"/>
      <c r="E405" s="124" t="str">
        <f t="shared" si="194"/>
        <v/>
      </c>
      <c r="F405" s="125"/>
      <c r="G405" s="125"/>
      <c r="H405" s="126" t="str">
        <f t="shared" si="215"/>
        <v/>
      </c>
      <c r="I405" s="124" t="str">
        <f t="shared" si="216"/>
        <v/>
      </c>
      <c r="J405" s="125" t="str">
        <f t="shared" si="211"/>
        <v/>
      </c>
      <c r="K405" s="124" t="str">
        <f t="shared" si="195"/>
        <v/>
      </c>
      <c r="L405" s="127"/>
      <c r="M405" s="134"/>
      <c r="N405" s="124" t="str">
        <f t="shared" si="224"/>
        <v/>
      </c>
      <c r="O405" s="124">
        <f t="shared" si="222"/>
        <v>0</v>
      </c>
      <c r="P405" s="128" t="str">
        <f t="shared" si="217"/>
        <v/>
      </c>
      <c r="Q405" s="129" t="str">
        <f t="shared" si="196"/>
        <v/>
      </c>
      <c r="R405" s="124" t="str">
        <f t="shared" si="225"/>
        <v/>
      </c>
      <c r="S405" s="124" t="str">
        <f t="shared" si="223"/>
        <v/>
      </c>
      <c r="T405" s="124" t="str">
        <f t="shared" si="226"/>
        <v/>
      </c>
      <c r="U405" s="124" t="str">
        <f t="shared" si="227"/>
        <v/>
      </c>
      <c r="V405" s="126" t="str">
        <f t="shared" si="235"/>
        <v/>
      </c>
      <c r="W405" s="124" t="str">
        <f t="shared" si="218"/>
        <v/>
      </c>
      <c r="X405" s="124" t="str">
        <f t="shared" si="219"/>
        <v/>
      </c>
      <c r="Y405" s="124" t="str">
        <f t="shared" si="228"/>
        <v/>
      </c>
      <c r="Z405" s="124" t="str">
        <f t="shared" si="209"/>
        <v/>
      </c>
      <c r="AA405" s="130" t="str">
        <f t="shared" si="229"/>
        <v/>
      </c>
      <c r="AB405" s="124" t="str">
        <f t="shared" si="234"/>
        <v/>
      </c>
      <c r="AC405" s="131"/>
      <c r="AD405" s="132" t="str">
        <f t="shared" si="230"/>
        <v/>
      </c>
      <c r="AE405" s="132" t="str">
        <f t="shared" si="230"/>
        <v/>
      </c>
      <c r="AF405" s="132" t="str">
        <f t="shared" si="231"/>
        <v/>
      </c>
      <c r="AG405" s="132" t="str">
        <f t="shared" si="232"/>
        <v/>
      </c>
      <c r="AH405" s="132" t="str">
        <f t="shared" si="220"/>
        <v/>
      </c>
      <c r="AI405" s="132" t="str">
        <f t="shared" si="221"/>
        <v/>
      </c>
      <c r="AJ405" s="133" t="str">
        <f t="shared" si="233"/>
        <v/>
      </c>
      <c r="AK405" s="133" t="str" cm="1">
        <f t="array" ref="AK405">IF(OR(E405="", H405=""), "",
  IFERROR(
     (
      INDEX($AM$3:$AM$22, MATCH(E405, $AL$3:$AL$22, 1)) +
      (E405 - INDEX($AL$3:$AL$22, MATCH(E405, $AL$3:$AL$22, 1))) *
      (INDEX($AM$3:$AM$22, MATCH(E405, $AL$3:$AL$22, 1)+1) - INDEX($AM$3:$AM$22, MATCH(E405, $AL$3:$AL$22, 1))) /
      (INDEX($AL$3:$AL$22, MATCH(E405, $AL$3:$AL$22, 1)+1) - INDEX($AL$3:$AL$22, MATCH(E405, $AL$3:$AL$22, 1)))
    ) - H405,
    ""
  )
)</f>
        <v/>
      </c>
      <c r="AL405" s="135"/>
      <c r="AM405" s="135"/>
      <c r="AN405" s="136"/>
    </row>
    <row r="406" spans="1:40" x14ac:dyDescent="0.35">
      <c r="A406" s="109">
        <f t="shared" si="236"/>
        <v>3</v>
      </c>
      <c r="B406" s="110">
        <f t="shared" si="236"/>
        <v>19</v>
      </c>
      <c r="C406" s="111" t="str">
        <f t="shared" si="214"/>
        <v/>
      </c>
      <c r="D406" s="112"/>
      <c r="E406" s="111" t="str">
        <f t="shared" si="194"/>
        <v/>
      </c>
      <c r="F406" s="112"/>
      <c r="G406" s="112"/>
      <c r="H406" s="113" t="str">
        <f t="shared" si="215"/>
        <v/>
      </c>
      <c r="I406" s="111" t="str">
        <f t="shared" si="216"/>
        <v/>
      </c>
      <c r="J406" s="112" t="str">
        <f t="shared" si="211"/>
        <v/>
      </c>
      <c r="K406" s="111" t="str">
        <f t="shared" si="195"/>
        <v/>
      </c>
      <c r="L406" s="114"/>
      <c r="M406" s="115"/>
      <c r="N406" s="111" t="str">
        <f t="shared" si="224"/>
        <v/>
      </c>
      <c r="O406" s="111">
        <f t="shared" si="222"/>
        <v>0</v>
      </c>
      <c r="P406" s="116" t="str">
        <f t="shared" si="217"/>
        <v/>
      </c>
      <c r="Q406" s="117" t="str">
        <f t="shared" si="196"/>
        <v/>
      </c>
      <c r="R406" s="111" t="str">
        <f t="shared" si="225"/>
        <v/>
      </c>
      <c r="S406" s="111" t="str">
        <f t="shared" si="223"/>
        <v/>
      </c>
      <c r="T406" s="111" t="str">
        <f t="shared" si="226"/>
        <v/>
      </c>
      <c r="U406" s="111" t="str">
        <f t="shared" si="227"/>
        <v/>
      </c>
      <c r="V406" s="113" t="str">
        <f t="shared" si="235"/>
        <v/>
      </c>
      <c r="W406" s="111" t="str">
        <f t="shared" si="218"/>
        <v/>
      </c>
      <c r="X406" s="111" t="str">
        <f t="shared" si="219"/>
        <v/>
      </c>
      <c r="Y406" s="111" t="str">
        <f t="shared" si="228"/>
        <v/>
      </c>
      <c r="Z406" s="111" t="str">
        <f t="shared" si="209"/>
        <v/>
      </c>
      <c r="AA406" s="118" t="str">
        <f t="shared" si="229"/>
        <v/>
      </c>
      <c r="AB406" s="111" t="str">
        <f t="shared" si="234"/>
        <v/>
      </c>
      <c r="AC406" s="119"/>
      <c r="AD406" s="120" t="str">
        <f t="shared" si="230"/>
        <v/>
      </c>
      <c r="AE406" s="120" t="str">
        <f t="shared" si="230"/>
        <v/>
      </c>
      <c r="AF406" s="120" t="str">
        <f t="shared" si="231"/>
        <v/>
      </c>
      <c r="AG406" s="120" t="str">
        <f t="shared" si="232"/>
        <v/>
      </c>
      <c r="AH406" s="120" t="str">
        <f t="shared" si="220"/>
        <v/>
      </c>
      <c r="AI406" s="120" t="str">
        <f t="shared" si="221"/>
        <v/>
      </c>
      <c r="AJ406" s="121" t="str">
        <f t="shared" si="233"/>
        <v/>
      </c>
      <c r="AK406" s="121" t="str" cm="1">
        <f t="array" ref="AK406">IF(OR(E406="", H406=""), "",
  IFERROR(
     (
      INDEX($AM$3:$AM$22, MATCH(E406, $AL$3:$AL$22, 1)) +
      (E406 - INDEX($AL$3:$AL$22, MATCH(E406, $AL$3:$AL$22, 1))) *
      (INDEX($AM$3:$AM$22, MATCH(E406, $AL$3:$AL$22, 1)+1) - INDEX($AM$3:$AM$22, MATCH(E406, $AL$3:$AL$22, 1))) /
      (INDEX($AL$3:$AL$22, MATCH(E406, $AL$3:$AL$22, 1)+1) - INDEX($AL$3:$AL$22, MATCH(E406, $AL$3:$AL$22, 1)))
    ) - H406,
    ""
  )
)</f>
        <v/>
      </c>
      <c r="AL406" s="137"/>
      <c r="AM406" s="137"/>
      <c r="AN406" s="138"/>
    </row>
    <row r="407" spans="1:40" x14ac:dyDescent="0.35">
      <c r="A407" s="122">
        <f t="shared" si="236"/>
        <v>3</v>
      </c>
      <c r="B407" s="123">
        <f t="shared" si="236"/>
        <v>19</v>
      </c>
      <c r="C407" s="124" t="str">
        <f t="shared" si="214"/>
        <v/>
      </c>
      <c r="D407" s="125"/>
      <c r="E407" s="124" t="str">
        <f t="shared" si="194"/>
        <v/>
      </c>
      <c r="F407" s="125"/>
      <c r="G407" s="125"/>
      <c r="H407" s="126" t="str">
        <f t="shared" si="215"/>
        <v/>
      </c>
      <c r="I407" s="124" t="str">
        <f t="shared" si="216"/>
        <v/>
      </c>
      <c r="J407" s="125" t="str">
        <f t="shared" si="211"/>
        <v/>
      </c>
      <c r="K407" s="124" t="str">
        <f t="shared" si="195"/>
        <v/>
      </c>
      <c r="L407" s="127"/>
      <c r="M407" s="134"/>
      <c r="N407" s="124" t="str">
        <f t="shared" si="224"/>
        <v/>
      </c>
      <c r="O407" s="124">
        <f t="shared" si="222"/>
        <v>0</v>
      </c>
      <c r="P407" s="128" t="str">
        <f t="shared" si="217"/>
        <v/>
      </c>
      <c r="Q407" s="129" t="str">
        <f t="shared" si="196"/>
        <v/>
      </c>
      <c r="R407" s="124" t="str">
        <f t="shared" si="225"/>
        <v/>
      </c>
      <c r="S407" s="124" t="str">
        <f t="shared" si="223"/>
        <v/>
      </c>
      <c r="T407" s="124" t="str">
        <f t="shared" si="226"/>
        <v/>
      </c>
      <c r="U407" s="124" t="str">
        <f t="shared" si="227"/>
        <v/>
      </c>
      <c r="V407" s="126" t="str">
        <f t="shared" si="235"/>
        <v/>
      </c>
      <c r="W407" s="124" t="str">
        <f t="shared" si="218"/>
        <v/>
      </c>
      <c r="X407" s="124" t="str">
        <f t="shared" si="219"/>
        <v/>
      </c>
      <c r="Y407" s="124" t="str">
        <f t="shared" si="228"/>
        <v/>
      </c>
      <c r="Z407" s="124" t="str">
        <f t="shared" si="209"/>
        <v/>
      </c>
      <c r="AA407" s="130" t="str">
        <f t="shared" si="229"/>
        <v/>
      </c>
      <c r="AB407" s="124" t="str">
        <f t="shared" si="234"/>
        <v/>
      </c>
      <c r="AC407" s="131"/>
      <c r="AD407" s="132" t="str">
        <f t="shared" si="230"/>
        <v/>
      </c>
      <c r="AE407" s="132" t="str">
        <f t="shared" si="230"/>
        <v/>
      </c>
      <c r="AF407" s="132" t="str">
        <f t="shared" si="231"/>
        <v/>
      </c>
      <c r="AG407" s="132" t="str">
        <f t="shared" si="232"/>
        <v/>
      </c>
      <c r="AH407" s="132" t="str">
        <f t="shared" si="220"/>
        <v/>
      </c>
      <c r="AI407" s="132" t="str">
        <f t="shared" si="221"/>
        <v/>
      </c>
      <c r="AJ407" s="133" t="str">
        <f t="shared" si="233"/>
        <v/>
      </c>
      <c r="AK407" s="133" t="str" cm="1">
        <f t="array" ref="AK407">IF(OR(E407="", H407=""), "",
  IFERROR(
     (
      INDEX($AM$3:$AM$22, MATCH(E407, $AL$3:$AL$22, 1)) +
      (E407 - INDEX($AL$3:$AL$22, MATCH(E407, $AL$3:$AL$22, 1))) *
      (INDEX($AM$3:$AM$22, MATCH(E407, $AL$3:$AL$22, 1)+1) - INDEX($AM$3:$AM$22, MATCH(E407, $AL$3:$AL$22, 1))) /
      (INDEX($AL$3:$AL$22, MATCH(E407, $AL$3:$AL$22, 1)+1) - INDEX($AL$3:$AL$22, MATCH(E407, $AL$3:$AL$22, 1)))
    ) - H407,
    ""
  )
)</f>
        <v/>
      </c>
      <c r="AL407" s="135"/>
      <c r="AM407" s="135"/>
      <c r="AN407" s="136"/>
    </row>
    <row r="408" spans="1:40" x14ac:dyDescent="0.35">
      <c r="A408" s="109">
        <f t="shared" si="236"/>
        <v>3</v>
      </c>
      <c r="B408" s="110">
        <f t="shared" si="236"/>
        <v>19</v>
      </c>
      <c r="C408" s="111" t="str">
        <f t="shared" si="214"/>
        <v/>
      </c>
      <c r="D408" s="112"/>
      <c r="E408" s="111" t="str">
        <f t="shared" ref="E408:E471" si="237">IF(D408&gt;0,D408-B408,"")</f>
        <v/>
      </c>
      <c r="F408" s="112"/>
      <c r="G408" s="112"/>
      <c r="H408" s="113" t="str">
        <f t="shared" si="215"/>
        <v/>
      </c>
      <c r="I408" s="111" t="str">
        <f t="shared" si="216"/>
        <v/>
      </c>
      <c r="J408" s="112" t="str">
        <f t="shared" si="211"/>
        <v/>
      </c>
      <c r="K408" s="111" t="str">
        <f t="shared" ref="K408:K471" si="238">IF(L408="","",J408+L408)</f>
        <v/>
      </c>
      <c r="L408" s="114"/>
      <c r="M408" s="115"/>
      <c r="N408" s="111" t="str">
        <f t="shared" si="224"/>
        <v/>
      </c>
      <c r="O408" s="111">
        <f t="shared" si="222"/>
        <v>0</v>
      </c>
      <c r="P408" s="116" t="str">
        <f t="shared" si="217"/>
        <v/>
      </c>
      <c r="Q408" s="117" t="str">
        <f t="shared" ref="Q408:Q471" si="239">IF(ISNUMBER(P408),(IF(Y408&gt;0,"R","L")),"")</f>
        <v/>
      </c>
      <c r="R408" s="111" t="str">
        <f t="shared" si="225"/>
        <v/>
      </c>
      <c r="S408" s="111" t="str">
        <f t="shared" si="223"/>
        <v/>
      </c>
      <c r="T408" s="111" t="str">
        <f t="shared" si="226"/>
        <v/>
      </c>
      <c r="U408" s="111" t="str">
        <f t="shared" si="227"/>
        <v/>
      </c>
      <c r="V408" s="113" t="str">
        <f t="shared" si="235"/>
        <v/>
      </c>
      <c r="W408" s="111" t="str">
        <f t="shared" si="218"/>
        <v/>
      </c>
      <c r="X408" s="111" t="str">
        <f t="shared" si="219"/>
        <v/>
      </c>
      <c r="Y408" s="111" t="str">
        <f t="shared" si="228"/>
        <v/>
      </c>
      <c r="Z408" s="111" t="str">
        <f t="shared" si="209"/>
        <v/>
      </c>
      <c r="AA408" s="118" t="str">
        <f t="shared" si="229"/>
        <v/>
      </c>
      <c r="AB408" s="111" t="str">
        <f t="shared" si="234"/>
        <v/>
      </c>
      <c r="AC408" s="119"/>
      <c r="AD408" s="120" t="str">
        <f t="shared" si="230"/>
        <v/>
      </c>
      <c r="AE408" s="120" t="str">
        <f t="shared" si="230"/>
        <v/>
      </c>
      <c r="AF408" s="120" t="str">
        <f t="shared" si="231"/>
        <v/>
      </c>
      <c r="AG408" s="120" t="str">
        <f t="shared" si="232"/>
        <v/>
      </c>
      <c r="AH408" s="120" t="str">
        <f t="shared" si="220"/>
        <v/>
      </c>
      <c r="AI408" s="120" t="str">
        <f t="shared" si="221"/>
        <v/>
      </c>
      <c r="AJ408" s="121" t="str">
        <f t="shared" si="233"/>
        <v/>
      </c>
      <c r="AK408" s="121" t="str" cm="1">
        <f t="array" ref="AK408">IF(OR(E408="", H408=""), "",
  IFERROR(
     (
      INDEX($AM$3:$AM$22, MATCH(E408, $AL$3:$AL$22, 1)) +
      (E408 - INDEX($AL$3:$AL$22, MATCH(E408, $AL$3:$AL$22, 1))) *
      (INDEX($AM$3:$AM$22, MATCH(E408, $AL$3:$AL$22, 1)+1) - INDEX($AM$3:$AM$22, MATCH(E408, $AL$3:$AL$22, 1))) /
      (INDEX($AL$3:$AL$22, MATCH(E408, $AL$3:$AL$22, 1)+1) - INDEX($AL$3:$AL$22, MATCH(E408, $AL$3:$AL$22, 1)))
    ) - H408,
    ""
  )
)</f>
        <v/>
      </c>
      <c r="AL408" s="137"/>
      <c r="AM408" s="137"/>
      <c r="AN408" s="138"/>
    </row>
    <row r="409" spans="1:40" x14ac:dyDescent="0.35">
      <c r="A409" s="122">
        <f t="shared" si="236"/>
        <v>3</v>
      </c>
      <c r="B409" s="123">
        <f t="shared" si="236"/>
        <v>19</v>
      </c>
      <c r="C409" s="124" t="str">
        <f t="shared" si="214"/>
        <v/>
      </c>
      <c r="D409" s="125"/>
      <c r="E409" s="124" t="str">
        <f t="shared" si="237"/>
        <v/>
      </c>
      <c r="F409" s="125"/>
      <c r="G409" s="125"/>
      <c r="H409" s="126" t="str">
        <f t="shared" si="215"/>
        <v/>
      </c>
      <c r="I409" s="124" t="str">
        <f t="shared" si="216"/>
        <v/>
      </c>
      <c r="J409" s="125" t="str">
        <f t="shared" si="211"/>
        <v/>
      </c>
      <c r="K409" s="124" t="str">
        <f t="shared" si="238"/>
        <v/>
      </c>
      <c r="L409" s="127"/>
      <c r="M409" s="134"/>
      <c r="N409" s="124" t="str">
        <f t="shared" si="224"/>
        <v/>
      </c>
      <c r="O409" s="124">
        <f t="shared" si="222"/>
        <v>0</v>
      </c>
      <c r="P409" s="128" t="str">
        <f t="shared" si="217"/>
        <v/>
      </c>
      <c r="Q409" s="129" t="str">
        <f t="shared" si="239"/>
        <v/>
      </c>
      <c r="R409" s="124" t="str">
        <f t="shared" si="225"/>
        <v/>
      </c>
      <c r="S409" s="124" t="str">
        <f t="shared" si="223"/>
        <v/>
      </c>
      <c r="T409" s="124" t="str">
        <f t="shared" si="226"/>
        <v/>
      </c>
      <c r="U409" s="124" t="str">
        <f t="shared" si="227"/>
        <v/>
      </c>
      <c r="V409" s="126" t="str">
        <f t="shared" si="235"/>
        <v/>
      </c>
      <c r="W409" s="124" t="str">
        <f t="shared" si="218"/>
        <v/>
      </c>
      <c r="X409" s="124" t="str">
        <f t="shared" si="219"/>
        <v/>
      </c>
      <c r="Y409" s="124" t="str">
        <f t="shared" si="228"/>
        <v/>
      </c>
      <c r="Z409" s="124" t="str">
        <f t="shared" si="209"/>
        <v/>
      </c>
      <c r="AA409" s="130" t="str">
        <f t="shared" si="229"/>
        <v/>
      </c>
      <c r="AB409" s="124" t="str">
        <f t="shared" si="234"/>
        <v/>
      </c>
      <c r="AC409" s="131"/>
      <c r="AD409" s="132" t="str">
        <f t="shared" si="230"/>
        <v/>
      </c>
      <c r="AE409" s="132" t="str">
        <f t="shared" si="230"/>
        <v/>
      </c>
      <c r="AF409" s="132" t="str">
        <f t="shared" si="231"/>
        <v/>
      </c>
      <c r="AG409" s="132" t="str">
        <f t="shared" si="232"/>
        <v/>
      </c>
      <c r="AH409" s="132" t="str">
        <f t="shared" si="220"/>
        <v/>
      </c>
      <c r="AI409" s="132" t="str">
        <f t="shared" si="221"/>
        <v/>
      </c>
      <c r="AJ409" s="133" t="str">
        <f t="shared" si="233"/>
        <v/>
      </c>
      <c r="AK409" s="133" t="str" cm="1">
        <f t="array" ref="AK409">IF(OR(E409="", H409=""), "",
  IFERROR(
     (
      INDEX($AM$3:$AM$22, MATCH(E409, $AL$3:$AL$22, 1)) +
      (E409 - INDEX($AL$3:$AL$22, MATCH(E409, $AL$3:$AL$22, 1))) *
      (INDEX($AM$3:$AM$22, MATCH(E409, $AL$3:$AL$22, 1)+1) - INDEX($AM$3:$AM$22, MATCH(E409, $AL$3:$AL$22, 1))) /
      (INDEX($AL$3:$AL$22, MATCH(E409, $AL$3:$AL$22, 1)+1) - INDEX($AL$3:$AL$22, MATCH(E409, $AL$3:$AL$22, 1)))
    ) - H409,
    ""
  )
)</f>
        <v/>
      </c>
      <c r="AL409" s="135"/>
      <c r="AM409" s="135"/>
      <c r="AN409" s="136"/>
    </row>
    <row r="410" spans="1:40" x14ac:dyDescent="0.35">
      <c r="A410" s="109">
        <f t="shared" si="236"/>
        <v>3</v>
      </c>
      <c r="B410" s="110">
        <f t="shared" si="236"/>
        <v>19</v>
      </c>
      <c r="C410" s="111" t="str">
        <f t="shared" si="214"/>
        <v/>
      </c>
      <c r="D410" s="112"/>
      <c r="E410" s="111" t="str">
        <f t="shared" si="237"/>
        <v/>
      </c>
      <c r="F410" s="112"/>
      <c r="G410" s="112"/>
      <c r="H410" s="113" t="str">
        <f t="shared" si="215"/>
        <v/>
      </c>
      <c r="I410" s="111" t="str">
        <f t="shared" si="216"/>
        <v/>
      </c>
      <c r="J410" s="112" t="str">
        <f t="shared" si="211"/>
        <v/>
      </c>
      <c r="K410" s="111" t="str">
        <f t="shared" si="238"/>
        <v/>
      </c>
      <c r="L410" s="114"/>
      <c r="M410" s="115"/>
      <c r="N410" s="111" t="str">
        <f t="shared" si="224"/>
        <v/>
      </c>
      <c r="O410" s="111">
        <f t="shared" si="222"/>
        <v>0</v>
      </c>
      <c r="P410" s="116" t="str">
        <f t="shared" si="217"/>
        <v/>
      </c>
      <c r="Q410" s="117" t="str">
        <f t="shared" si="239"/>
        <v/>
      </c>
      <c r="R410" s="111" t="str">
        <f t="shared" si="225"/>
        <v/>
      </c>
      <c r="S410" s="111" t="str">
        <f t="shared" si="223"/>
        <v/>
      </c>
      <c r="T410" s="111" t="str">
        <f t="shared" si="226"/>
        <v/>
      </c>
      <c r="U410" s="111" t="str">
        <f t="shared" si="227"/>
        <v/>
      </c>
      <c r="V410" s="113" t="str">
        <f t="shared" si="235"/>
        <v/>
      </c>
      <c r="W410" s="111" t="str">
        <f t="shared" si="218"/>
        <v/>
      </c>
      <c r="X410" s="111" t="str">
        <f t="shared" si="219"/>
        <v/>
      </c>
      <c r="Y410" s="111" t="str">
        <f t="shared" si="228"/>
        <v/>
      </c>
      <c r="Z410" s="111" t="str">
        <f t="shared" si="209"/>
        <v/>
      </c>
      <c r="AA410" s="118" t="str">
        <f t="shared" si="229"/>
        <v/>
      </c>
      <c r="AB410" s="111" t="str">
        <f t="shared" si="234"/>
        <v/>
      </c>
      <c r="AC410" s="119"/>
      <c r="AD410" s="120" t="str">
        <f t="shared" si="230"/>
        <v/>
      </c>
      <c r="AE410" s="120" t="str">
        <f t="shared" si="230"/>
        <v/>
      </c>
      <c r="AF410" s="120" t="str">
        <f t="shared" si="231"/>
        <v/>
      </c>
      <c r="AG410" s="120" t="str">
        <f t="shared" si="232"/>
        <v/>
      </c>
      <c r="AH410" s="120" t="str">
        <f t="shared" si="220"/>
        <v/>
      </c>
      <c r="AI410" s="120" t="str">
        <f t="shared" si="221"/>
        <v/>
      </c>
      <c r="AJ410" s="121" t="str">
        <f t="shared" si="233"/>
        <v/>
      </c>
      <c r="AK410" s="121" t="str" cm="1">
        <f t="array" ref="AK410">IF(OR(E410="", H410=""), "",
  IFERROR(
     (
      INDEX($AM$3:$AM$22, MATCH(E410, $AL$3:$AL$22, 1)) +
      (E410 - INDEX($AL$3:$AL$22, MATCH(E410, $AL$3:$AL$22, 1))) *
      (INDEX($AM$3:$AM$22, MATCH(E410, $AL$3:$AL$22, 1)+1) - INDEX($AM$3:$AM$22, MATCH(E410, $AL$3:$AL$22, 1))) /
      (INDEX($AL$3:$AL$22, MATCH(E410, $AL$3:$AL$22, 1)+1) - INDEX($AL$3:$AL$22, MATCH(E410, $AL$3:$AL$22, 1)))
    ) - H410,
    ""
  )
)</f>
        <v/>
      </c>
      <c r="AL410" s="137"/>
      <c r="AM410" s="137"/>
      <c r="AN410" s="138"/>
    </row>
    <row r="411" spans="1:40" x14ac:dyDescent="0.35">
      <c r="A411" s="122">
        <f t="shared" si="236"/>
        <v>3</v>
      </c>
      <c r="B411" s="123">
        <f t="shared" si="236"/>
        <v>19</v>
      </c>
      <c r="C411" s="124" t="str">
        <f t="shared" si="214"/>
        <v/>
      </c>
      <c r="D411" s="125"/>
      <c r="E411" s="124" t="str">
        <f t="shared" si="237"/>
        <v/>
      </c>
      <c r="F411" s="125"/>
      <c r="G411" s="125"/>
      <c r="H411" s="126" t="str">
        <f t="shared" si="215"/>
        <v/>
      </c>
      <c r="I411" s="124" t="str">
        <f t="shared" si="216"/>
        <v/>
      </c>
      <c r="J411" s="125" t="str">
        <f t="shared" si="211"/>
        <v/>
      </c>
      <c r="K411" s="124" t="str">
        <f t="shared" si="238"/>
        <v/>
      </c>
      <c r="L411" s="127"/>
      <c r="M411" s="134"/>
      <c r="N411" s="124" t="str">
        <f t="shared" si="224"/>
        <v/>
      </c>
      <c r="O411" s="124">
        <f t="shared" si="222"/>
        <v>0</v>
      </c>
      <c r="P411" s="128" t="str">
        <f t="shared" si="217"/>
        <v/>
      </c>
      <c r="Q411" s="129" t="str">
        <f t="shared" si="239"/>
        <v/>
      </c>
      <c r="R411" s="124" t="str">
        <f t="shared" si="225"/>
        <v/>
      </c>
      <c r="S411" s="124" t="str">
        <f t="shared" si="223"/>
        <v/>
      </c>
      <c r="T411" s="124" t="str">
        <f t="shared" si="226"/>
        <v/>
      </c>
      <c r="U411" s="124" t="str">
        <f t="shared" si="227"/>
        <v/>
      </c>
      <c r="V411" s="126" t="str">
        <f t="shared" si="235"/>
        <v/>
      </c>
      <c r="W411" s="124" t="str">
        <f t="shared" si="218"/>
        <v/>
      </c>
      <c r="X411" s="124" t="str">
        <f t="shared" si="219"/>
        <v/>
      </c>
      <c r="Y411" s="124" t="str">
        <f t="shared" si="228"/>
        <v/>
      </c>
      <c r="Z411" s="124" t="str">
        <f t="shared" si="209"/>
        <v/>
      </c>
      <c r="AA411" s="130" t="str">
        <f t="shared" si="229"/>
        <v/>
      </c>
      <c r="AB411" s="124" t="str">
        <f t="shared" si="234"/>
        <v/>
      </c>
      <c r="AC411" s="131"/>
      <c r="AD411" s="132" t="str">
        <f t="shared" si="230"/>
        <v/>
      </c>
      <c r="AE411" s="132" t="str">
        <f t="shared" si="230"/>
        <v/>
      </c>
      <c r="AF411" s="132" t="str">
        <f t="shared" si="231"/>
        <v/>
      </c>
      <c r="AG411" s="132" t="str">
        <f t="shared" si="232"/>
        <v/>
      </c>
      <c r="AH411" s="132" t="str">
        <f t="shared" si="220"/>
        <v/>
      </c>
      <c r="AI411" s="132" t="str">
        <f t="shared" si="221"/>
        <v/>
      </c>
      <c r="AJ411" s="133" t="str">
        <f t="shared" si="233"/>
        <v/>
      </c>
      <c r="AK411" s="133" t="str" cm="1">
        <f t="array" ref="AK411">IF(OR(E411="", H411=""), "",
  IFERROR(
     (
      INDEX($AM$3:$AM$22, MATCH(E411, $AL$3:$AL$22, 1)) +
      (E411 - INDEX($AL$3:$AL$22, MATCH(E411, $AL$3:$AL$22, 1))) *
      (INDEX($AM$3:$AM$22, MATCH(E411, $AL$3:$AL$22, 1)+1) - INDEX($AM$3:$AM$22, MATCH(E411, $AL$3:$AL$22, 1))) /
      (INDEX($AL$3:$AL$22, MATCH(E411, $AL$3:$AL$22, 1)+1) - INDEX($AL$3:$AL$22, MATCH(E411, $AL$3:$AL$22, 1)))
    ) - H411,
    ""
  )
)</f>
        <v/>
      </c>
      <c r="AL411" s="135"/>
      <c r="AM411" s="135"/>
      <c r="AN411" s="136"/>
    </row>
    <row r="412" spans="1:40" x14ac:dyDescent="0.35">
      <c r="A412" s="109">
        <f t="shared" si="236"/>
        <v>3</v>
      </c>
      <c r="B412" s="110">
        <f t="shared" si="236"/>
        <v>19</v>
      </c>
      <c r="C412" s="111" t="str">
        <f t="shared" si="214"/>
        <v/>
      </c>
      <c r="D412" s="112"/>
      <c r="E412" s="111" t="str">
        <f t="shared" si="237"/>
        <v/>
      </c>
      <c r="F412" s="112"/>
      <c r="G412" s="112"/>
      <c r="H412" s="113" t="str">
        <f t="shared" si="215"/>
        <v/>
      </c>
      <c r="I412" s="111" t="str">
        <f t="shared" si="216"/>
        <v/>
      </c>
      <c r="J412" s="112" t="str">
        <f t="shared" si="211"/>
        <v/>
      </c>
      <c r="K412" s="111" t="str">
        <f t="shared" si="238"/>
        <v/>
      </c>
      <c r="L412" s="114"/>
      <c r="M412" s="115"/>
      <c r="N412" s="111" t="str">
        <f t="shared" si="224"/>
        <v/>
      </c>
      <c r="O412" s="111">
        <f t="shared" si="222"/>
        <v>0</v>
      </c>
      <c r="P412" s="116" t="str">
        <f t="shared" si="217"/>
        <v/>
      </c>
      <c r="Q412" s="117" t="str">
        <f t="shared" si="239"/>
        <v/>
      </c>
      <c r="R412" s="111" t="str">
        <f t="shared" si="225"/>
        <v/>
      </c>
      <c r="S412" s="111" t="str">
        <f t="shared" si="223"/>
        <v/>
      </c>
      <c r="T412" s="111" t="str">
        <f t="shared" si="226"/>
        <v/>
      </c>
      <c r="U412" s="111" t="str">
        <f t="shared" si="227"/>
        <v/>
      </c>
      <c r="V412" s="113" t="str">
        <f t="shared" si="235"/>
        <v/>
      </c>
      <c r="W412" s="111" t="str">
        <f t="shared" si="218"/>
        <v/>
      </c>
      <c r="X412" s="111" t="str">
        <f t="shared" si="219"/>
        <v/>
      </c>
      <c r="Y412" s="111" t="str">
        <f t="shared" si="228"/>
        <v/>
      </c>
      <c r="Z412" s="111" t="str">
        <f t="shared" si="209"/>
        <v/>
      </c>
      <c r="AA412" s="118" t="str">
        <f t="shared" si="229"/>
        <v/>
      </c>
      <c r="AB412" s="111" t="str">
        <f t="shared" si="234"/>
        <v/>
      </c>
      <c r="AC412" s="119"/>
      <c r="AD412" s="120" t="str">
        <f t="shared" si="230"/>
        <v/>
      </c>
      <c r="AE412" s="120" t="str">
        <f t="shared" si="230"/>
        <v/>
      </c>
      <c r="AF412" s="120" t="str">
        <f t="shared" si="231"/>
        <v/>
      </c>
      <c r="AG412" s="120" t="str">
        <f t="shared" si="232"/>
        <v/>
      </c>
      <c r="AH412" s="120" t="str">
        <f t="shared" si="220"/>
        <v/>
      </c>
      <c r="AI412" s="120" t="str">
        <f t="shared" si="221"/>
        <v/>
      </c>
      <c r="AJ412" s="121" t="str">
        <f t="shared" si="233"/>
        <v/>
      </c>
      <c r="AK412" s="121" t="str" cm="1">
        <f t="array" ref="AK412">IF(OR(E412="", H412=""), "",
  IFERROR(
     (
      INDEX($AM$3:$AM$22, MATCH(E412, $AL$3:$AL$22, 1)) +
      (E412 - INDEX($AL$3:$AL$22, MATCH(E412, $AL$3:$AL$22, 1))) *
      (INDEX($AM$3:$AM$22, MATCH(E412, $AL$3:$AL$22, 1)+1) - INDEX($AM$3:$AM$22, MATCH(E412, $AL$3:$AL$22, 1))) /
      (INDEX($AL$3:$AL$22, MATCH(E412, $AL$3:$AL$22, 1)+1) - INDEX($AL$3:$AL$22, MATCH(E412, $AL$3:$AL$22, 1)))
    ) - H412,
    ""
  )
)</f>
        <v/>
      </c>
      <c r="AL412" s="137"/>
      <c r="AM412" s="137"/>
      <c r="AN412" s="138"/>
    </row>
    <row r="413" spans="1:40" x14ac:dyDescent="0.35">
      <c r="A413" s="122">
        <f t="shared" si="236"/>
        <v>3</v>
      </c>
      <c r="B413" s="123">
        <f t="shared" si="236"/>
        <v>19</v>
      </c>
      <c r="C413" s="124" t="str">
        <f t="shared" si="214"/>
        <v/>
      </c>
      <c r="D413" s="125"/>
      <c r="E413" s="124" t="str">
        <f t="shared" si="237"/>
        <v/>
      </c>
      <c r="F413" s="125"/>
      <c r="G413" s="125"/>
      <c r="H413" s="126" t="str">
        <f t="shared" si="215"/>
        <v/>
      </c>
      <c r="I413" s="124" t="str">
        <f t="shared" si="216"/>
        <v/>
      </c>
      <c r="J413" s="125" t="str">
        <f t="shared" si="211"/>
        <v/>
      </c>
      <c r="K413" s="124" t="str">
        <f t="shared" si="238"/>
        <v/>
      </c>
      <c r="L413" s="127"/>
      <c r="M413" s="134"/>
      <c r="N413" s="124" t="str">
        <f t="shared" si="224"/>
        <v/>
      </c>
      <c r="O413" s="124">
        <f t="shared" si="222"/>
        <v>0</v>
      </c>
      <c r="P413" s="128" t="str">
        <f t="shared" si="217"/>
        <v/>
      </c>
      <c r="Q413" s="129" t="str">
        <f t="shared" si="239"/>
        <v/>
      </c>
      <c r="R413" s="124" t="str">
        <f t="shared" si="225"/>
        <v/>
      </c>
      <c r="S413" s="124" t="str">
        <f t="shared" si="223"/>
        <v/>
      </c>
      <c r="T413" s="124" t="str">
        <f t="shared" si="226"/>
        <v/>
      </c>
      <c r="U413" s="124" t="str">
        <f t="shared" si="227"/>
        <v/>
      </c>
      <c r="V413" s="126" t="str">
        <f t="shared" si="235"/>
        <v/>
      </c>
      <c r="W413" s="124" t="str">
        <f t="shared" si="218"/>
        <v/>
      </c>
      <c r="X413" s="124" t="str">
        <f t="shared" si="219"/>
        <v/>
      </c>
      <c r="Y413" s="124" t="str">
        <f t="shared" si="228"/>
        <v/>
      </c>
      <c r="Z413" s="124" t="str">
        <f t="shared" ref="Z413:Z476" si="240">IF(V413="","",IF(N413="",I413,AI413/N413*I413))</f>
        <v/>
      </c>
      <c r="AA413" s="130" t="str">
        <f t="shared" si="229"/>
        <v/>
      </c>
      <c r="AB413" s="124" t="str">
        <f t="shared" si="234"/>
        <v/>
      </c>
      <c r="AC413" s="131"/>
      <c r="AD413" s="132" t="str">
        <f t="shared" si="230"/>
        <v/>
      </c>
      <c r="AE413" s="132" t="str">
        <f t="shared" si="230"/>
        <v/>
      </c>
      <c r="AF413" s="132" t="str">
        <f t="shared" si="231"/>
        <v/>
      </c>
      <c r="AG413" s="132" t="str">
        <f t="shared" si="232"/>
        <v/>
      </c>
      <c r="AH413" s="132" t="str">
        <f t="shared" si="220"/>
        <v/>
      </c>
      <c r="AI413" s="132" t="str">
        <f t="shared" si="221"/>
        <v/>
      </c>
      <c r="AJ413" s="133" t="str">
        <f t="shared" si="233"/>
        <v/>
      </c>
      <c r="AK413" s="133" t="str" cm="1">
        <f t="array" ref="AK413">IF(OR(E413="", H413=""), "",
  IFERROR(
     (
      INDEX($AM$3:$AM$22, MATCH(E413, $AL$3:$AL$22, 1)) +
      (E413 - INDEX($AL$3:$AL$22, MATCH(E413, $AL$3:$AL$22, 1))) *
      (INDEX($AM$3:$AM$22, MATCH(E413, $AL$3:$AL$22, 1)+1) - INDEX($AM$3:$AM$22, MATCH(E413, $AL$3:$AL$22, 1))) /
      (INDEX($AL$3:$AL$22, MATCH(E413, $AL$3:$AL$22, 1)+1) - INDEX($AL$3:$AL$22, MATCH(E413, $AL$3:$AL$22, 1)))
    ) - H413,
    ""
  )
)</f>
        <v/>
      </c>
      <c r="AL413" s="135"/>
      <c r="AM413" s="135"/>
      <c r="AN413" s="136"/>
    </row>
    <row r="414" spans="1:40" x14ac:dyDescent="0.35">
      <c r="A414" s="109">
        <f t="shared" si="236"/>
        <v>3</v>
      </c>
      <c r="B414" s="110">
        <f t="shared" si="236"/>
        <v>19</v>
      </c>
      <c r="C414" s="111" t="str">
        <f t="shared" si="214"/>
        <v/>
      </c>
      <c r="D414" s="112"/>
      <c r="E414" s="111" t="str">
        <f t="shared" si="237"/>
        <v/>
      </c>
      <c r="F414" s="112"/>
      <c r="G414" s="112"/>
      <c r="H414" s="113" t="str">
        <f t="shared" si="215"/>
        <v/>
      </c>
      <c r="I414" s="111" t="str">
        <f t="shared" si="216"/>
        <v/>
      </c>
      <c r="J414" s="112" t="str">
        <f t="shared" si="211"/>
        <v/>
      </c>
      <c r="K414" s="111" t="str">
        <f t="shared" si="238"/>
        <v/>
      </c>
      <c r="L414" s="114"/>
      <c r="M414" s="115"/>
      <c r="N414" s="111" t="str">
        <f t="shared" si="224"/>
        <v/>
      </c>
      <c r="O414" s="111">
        <f t="shared" si="222"/>
        <v>0</v>
      </c>
      <c r="P414" s="116" t="str">
        <f t="shared" si="217"/>
        <v/>
      </c>
      <c r="Q414" s="117" t="str">
        <f t="shared" si="239"/>
        <v/>
      </c>
      <c r="R414" s="111" t="str">
        <f t="shared" si="225"/>
        <v/>
      </c>
      <c r="S414" s="111" t="str">
        <f t="shared" si="223"/>
        <v/>
      </c>
      <c r="T414" s="111" t="str">
        <f t="shared" si="226"/>
        <v/>
      </c>
      <c r="U414" s="111" t="str">
        <f t="shared" si="227"/>
        <v/>
      </c>
      <c r="V414" s="113" t="str">
        <f t="shared" si="235"/>
        <v/>
      </c>
      <c r="W414" s="111" t="str">
        <f t="shared" si="218"/>
        <v/>
      </c>
      <c r="X414" s="111" t="str">
        <f t="shared" si="219"/>
        <v/>
      </c>
      <c r="Y414" s="111" t="str">
        <f t="shared" si="228"/>
        <v/>
      </c>
      <c r="Z414" s="111" t="str">
        <f t="shared" si="240"/>
        <v/>
      </c>
      <c r="AA414" s="118" t="str">
        <f t="shared" si="229"/>
        <v/>
      </c>
      <c r="AB414" s="111" t="str">
        <f t="shared" si="234"/>
        <v/>
      </c>
      <c r="AC414" s="119"/>
      <c r="AD414" s="120" t="str">
        <f t="shared" si="230"/>
        <v/>
      </c>
      <c r="AE414" s="120" t="str">
        <f t="shared" si="230"/>
        <v/>
      </c>
      <c r="AF414" s="120" t="str">
        <f t="shared" si="231"/>
        <v/>
      </c>
      <c r="AG414" s="120" t="str">
        <f t="shared" si="232"/>
        <v/>
      </c>
      <c r="AH414" s="120" t="str">
        <f t="shared" si="220"/>
        <v/>
      </c>
      <c r="AI414" s="120" t="str">
        <f t="shared" si="221"/>
        <v/>
      </c>
      <c r="AJ414" s="121" t="str">
        <f t="shared" si="233"/>
        <v/>
      </c>
      <c r="AK414" s="121" t="str" cm="1">
        <f t="array" ref="AK414">IF(OR(E414="", H414=""), "",
  IFERROR(
     (
      INDEX($AM$3:$AM$22, MATCH(E414, $AL$3:$AL$22, 1)) +
      (E414 - INDEX($AL$3:$AL$22, MATCH(E414, $AL$3:$AL$22, 1))) *
      (INDEX($AM$3:$AM$22, MATCH(E414, $AL$3:$AL$22, 1)+1) - INDEX($AM$3:$AM$22, MATCH(E414, $AL$3:$AL$22, 1))) /
      (INDEX($AL$3:$AL$22, MATCH(E414, $AL$3:$AL$22, 1)+1) - INDEX($AL$3:$AL$22, MATCH(E414, $AL$3:$AL$22, 1)))
    ) - H414,
    ""
  )
)</f>
        <v/>
      </c>
      <c r="AL414" s="137"/>
      <c r="AM414" s="137"/>
      <c r="AN414" s="138"/>
    </row>
    <row r="415" spans="1:40" x14ac:dyDescent="0.35">
      <c r="A415" s="122">
        <f t="shared" si="236"/>
        <v>3</v>
      </c>
      <c r="B415" s="123">
        <f t="shared" si="236"/>
        <v>19</v>
      </c>
      <c r="C415" s="124" t="str">
        <f t="shared" si="214"/>
        <v/>
      </c>
      <c r="D415" s="125"/>
      <c r="E415" s="124" t="str">
        <f t="shared" si="237"/>
        <v/>
      </c>
      <c r="F415" s="125"/>
      <c r="G415" s="125"/>
      <c r="H415" s="126" t="str">
        <f t="shared" si="215"/>
        <v/>
      </c>
      <c r="I415" s="124" t="str">
        <f t="shared" si="216"/>
        <v/>
      </c>
      <c r="J415" s="125" t="str">
        <f t="shared" si="211"/>
        <v/>
      </c>
      <c r="K415" s="124" t="str">
        <f t="shared" si="238"/>
        <v/>
      </c>
      <c r="L415" s="127"/>
      <c r="M415" s="134"/>
      <c r="N415" s="124" t="str">
        <f t="shared" si="224"/>
        <v/>
      </c>
      <c r="O415" s="124">
        <f t="shared" si="222"/>
        <v>0</v>
      </c>
      <c r="P415" s="128" t="str">
        <f t="shared" si="217"/>
        <v/>
      </c>
      <c r="Q415" s="129" t="str">
        <f t="shared" si="239"/>
        <v/>
      </c>
      <c r="R415" s="124" t="str">
        <f t="shared" si="225"/>
        <v/>
      </c>
      <c r="S415" s="124" t="str">
        <f t="shared" si="223"/>
        <v/>
      </c>
      <c r="T415" s="124" t="str">
        <f t="shared" si="226"/>
        <v/>
      </c>
      <c r="U415" s="124" t="str">
        <f t="shared" si="227"/>
        <v/>
      </c>
      <c r="V415" s="126" t="str">
        <f t="shared" si="235"/>
        <v/>
      </c>
      <c r="W415" s="124" t="str">
        <f t="shared" si="218"/>
        <v/>
      </c>
      <c r="X415" s="124" t="str">
        <f t="shared" si="219"/>
        <v/>
      </c>
      <c r="Y415" s="124" t="str">
        <f t="shared" si="228"/>
        <v/>
      </c>
      <c r="Z415" s="124" t="str">
        <f t="shared" si="240"/>
        <v/>
      </c>
      <c r="AA415" s="130" t="str">
        <f t="shared" si="229"/>
        <v/>
      </c>
      <c r="AB415" s="124" t="str">
        <f t="shared" si="234"/>
        <v/>
      </c>
      <c r="AC415" s="131"/>
      <c r="AD415" s="132" t="str">
        <f t="shared" si="230"/>
        <v/>
      </c>
      <c r="AE415" s="132" t="str">
        <f t="shared" si="230"/>
        <v/>
      </c>
      <c r="AF415" s="132" t="str">
        <f t="shared" si="231"/>
        <v/>
      </c>
      <c r="AG415" s="132" t="str">
        <f t="shared" si="232"/>
        <v/>
      </c>
      <c r="AH415" s="132" t="str">
        <f t="shared" si="220"/>
        <v/>
      </c>
      <c r="AI415" s="132" t="str">
        <f t="shared" si="221"/>
        <v/>
      </c>
      <c r="AJ415" s="133" t="str">
        <f t="shared" si="233"/>
        <v/>
      </c>
      <c r="AK415" s="133" t="str" cm="1">
        <f t="array" ref="AK415">IF(OR(E415="", H415=""), "",
  IFERROR(
     (
      INDEX($AM$3:$AM$22, MATCH(E415, $AL$3:$AL$22, 1)) +
      (E415 - INDEX($AL$3:$AL$22, MATCH(E415, $AL$3:$AL$22, 1))) *
      (INDEX($AM$3:$AM$22, MATCH(E415, $AL$3:$AL$22, 1)+1) - INDEX($AM$3:$AM$22, MATCH(E415, $AL$3:$AL$22, 1))) /
      (INDEX($AL$3:$AL$22, MATCH(E415, $AL$3:$AL$22, 1)+1) - INDEX($AL$3:$AL$22, MATCH(E415, $AL$3:$AL$22, 1)))
    ) - H415,
    ""
  )
)</f>
        <v/>
      </c>
      <c r="AL415" s="135"/>
      <c r="AM415" s="135"/>
      <c r="AN415" s="136"/>
    </row>
    <row r="416" spans="1:40" x14ac:dyDescent="0.35">
      <c r="A416" s="109">
        <f t="shared" ref="A416:B431" si="241">+A415</f>
        <v>3</v>
      </c>
      <c r="B416" s="110">
        <f t="shared" si="241"/>
        <v>19</v>
      </c>
      <c r="C416" s="111" t="str">
        <f t="shared" si="214"/>
        <v/>
      </c>
      <c r="D416" s="112"/>
      <c r="E416" s="111" t="str">
        <f t="shared" si="237"/>
        <v/>
      </c>
      <c r="F416" s="112"/>
      <c r="G416" s="112"/>
      <c r="H416" s="113" t="str">
        <f t="shared" si="215"/>
        <v/>
      </c>
      <c r="I416" s="111" t="str">
        <f t="shared" si="216"/>
        <v/>
      </c>
      <c r="J416" s="112" t="str">
        <f t="shared" si="211"/>
        <v/>
      </c>
      <c r="K416" s="111" t="str">
        <f t="shared" si="238"/>
        <v/>
      </c>
      <c r="L416" s="114"/>
      <c r="M416" s="115"/>
      <c r="N416" s="111" t="str">
        <f t="shared" si="224"/>
        <v/>
      </c>
      <c r="O416" s="111">
        <f t="shared" si="222"/>
        <v>0</v>
      </c>
      <c r="P416" s="116" t="str">
        <f t="shared" si="217"/>
        <v/>
      </c>
      <c r="Q416" s="117" t="str">
        <f t="shared" si="239"/>
        <v/>
      </c>
      <c r="R416" s="111" t="str">
        <f t="shared" si="225"/>
        <v/>
      </c>
      <c r="S416" s="111" t="str">
        <f t="shared" si="223"/>
        <v/>
      </c>
      <c r="T416" s="111" t="str">
        <f t="shared" si="226"/>
        <v/>
      </c>
      <c r="U416" s="111" t="str">
        <f t="shared" si="227"/>
        <v/>
      </c>
      <c r="V416" s="113" t="str">
        <f t="shared" si="235"/>
        <v/>
      </c>
      <c r="W416" s="111" t="str">
        <f t="shared" si="218"/>
        <v/>
      </c>
      <c r="X416" s="111" t="str">
        <f t="shared" si="219"/>
        <v/>
      </c>
      <c r="Y416" s="111" t="str">
        <f t="shared" si="228"/>
        <v/>
      </c>
      <c r="Z416" s="111" t="str">
        <f t="shared" si="240"/>
        <v/>
      </c>
      <c r="AA416" s="118" t="str">
        <f t="shared" si="229"/>
        <v/>
      </c>
      <c r="AB416" s="111" t="str">
        <f t="shared" si="234"/>
        <v/>
      </c>
      <c r="AC416" s="119"/>
      <c r="AD416" s="120" t="str">
        <f t="shared" si="230"/>
        <v/>
      </c>
      <c r="AE416" s="120" t="str">
        <f t="shared" si="230"/>
        <v/>
      </c>
      <c r="AF416" s="120" t="str">
        <f t="shared" si="231"/>
        <v/>
      </c>
      <c r="AG416" s="120" t="str">
        <f t="shared" si="232"/>
        <v/>
      </c>
      <c r="AH416" s="120" t="str">
        <f t="shared" si="220"/>
        <v/>
      </c>
      <c r="AI416" s="120" t="str">
        <f t="shared" si="221"/>
        <v/>
      </c>
      <c r="AJ416" s="121" t="str">
        <f t="shared" si="233"/>
        <v/>
      </c>
      <c r="AK416" s="121" t="str" cm="1">
        <f t="array" ref="AK416">IF(OR(E416="", H416=""), "",
  IFERROR(
     (
      INDEX($AM$3:$AM$22, MATCH(E416, $AL$3:$AL$22, 1)) +
      (E416 - INDEX($AL$3:$AL$22, MATCH(E416, $AL$3:$AL$22, 1))) *
      (INDEX($AM$3:$AM$22, MATCH(E416, $AL$3:$AL$22, 1)+1) - INDEX($AM$3:$AM$22, MATCH(E416, $AL$3:$AL$22, 1))) /
      (INDEX($AL$3:$AL$22, MATCH(E416, $AL$3:$AL$22, 1)+1) - INDEX($AL$3:$AL$22, MATCH(E416, $AL$3:$AL$22, 1)))
    ) - H416,
    ""
  )
)</f>
        <v/>
      </c>
      <c r="AL416" s="137"/>
      <c r="AM416" s="137"/>
      <c r="AN416" s="138"/>
    </row>
    <row r="417" spans="1:40" x14ac:dyDescent="0.35">
      <c r="A417" s="122">
        <f t="shared" si="241"/>
        <v>3</v>
      </c>
      <c r="B417" s="123">
        <f t="shared" si="241"/>
        <v>19</v>
      </c>
      <c r="C417" s="124" t="str">
        <f t="shared" si="214"/>
        <v/>
      </c>
      <c r="D417" s="125"/>
      <c r="E417" s="124" t="str">
        <f t="shared" si="237"/>
        <v/>
      </c>
      <c r="F417" s="125"/>
      <c r="G417" s="125"/>
      <c r="H417" s="126" t="str">
        <f t="shared" si="215"/>
        <v/>
      </c>
      <c r="I417" s="124" t="str">
        <f t="shared" si="216"/>
        <v/>
      </c>
      <c r="J417" s="125" t="str">
        <f t="shared" si="211"/>
        <v/>
      </c>
      <c r="K417" s="124" t="str">
        <f t="shared" si="238"/>
        <v/>
      </c>
      <c r="L417" s="127"/>
      <c r="M417" s="134"/>
      <c r="N417" s="124" t="str">
        <f t="shared" si="224"/>
        <v/>
      </c>
      <c r="O417" s="124">
        <f t="shared" si="222"/>
        <v>0</v>
      </c>
      <c r="P417" s="128" t="str">
        <f t="shared" si="217"/>
        <v/>
      </c>
      <c r="Q417" s="129" t="str">
        <f t="shared" si="239"/>
        <v/>
      </c>
      <c r="R417" s="124" t="str">
        <f t="shared" si="225"/>
        <v/>
      </c>
      <c r="S417" s="124" t="str">
        <f t="shared" si="223"/>
        <v/>
      </c>
      <c r="T417" s="124" t="str">
        <f t="shared" si="226"/>
        <v/>
      </c>
      <c r="U417" s="124" t="str">
        <f t="shared" si="227"/>
        <v/>
      </c>
      <c r="V417" s="126" t="str">
        <f t="shared" si="235"/>
        <v/>
      </c>
      <c r="W417" s="124" t="str">
        <f t="shared" si="218"/>
        <v/>
      </c>
      <c r="X417" s="124" t="str">
        <f t="shared" si="219"/>
        <v/>
      </c>
      <c r="Y417" s="124" t="str">
        <f t="shared" si="228"/>
        <v/>
      </c>
      <c r="Z417" s="124" t="str">
        <f t="shared" si="240"/>
        <v/>
      </c>
      <c r="AA417" s="130" t="str">
        <f t="shared" si="229"/>
        <v/>
      </c>
      <c r="AB417" s="124" t="str">
        <f t="shared" si="234"/>
        <v/>
      </c>
      <c r="AC417" s="131"/>
      <c r="AD417" s="132" t="str">
        <f t="shared" si="230"/>
        <v/>
      </c>
      <c r="AE417" s="132" t="str">
        <f t="shared" si="230"/>
        <v/>
      </c>
      <c r="AF417" s="132" t="str">
        <f t="shared" si="231"/>
        <v/>
      </c>
      <c r="AG417" s="132" t="str">
        <f t="shared" si="232"/>
        <v/>
      </c>
      <c r="AH417" s="132" t="str">
        <f t="shared" si="220"/>
        <v/>
      </c>
      <c r="AI417" s="132" t="str">
        <f t="shared" si="221"/>
        <v/>
      </c>
      <c r="AJ417" s="133" t="str">
        <f t="shared" si="233"/>
        <v/>
      </c>
      <c r="AK417" s="133" t="str" cm="1">
        <f t="array" ref="AK417">IF(OR(E417="", H417=""), "",
  IFERROR(
     (
      INDEX($AM$3:$AM$22, MATCH(E417, $AL$3:$AL$22, 1)) +
      (E417 - INDEX($AL$3:$AL$22, MATCH(E417, $AL$3:$AL$22, 1))) *
      (INDEX($AM$3:$AM$22, MATCH(E417, $AL$3:$AL$22, 1)+1) - INDEX($AM$3:$AM$22, MATCH(E417, $AL$3:$AL$22, 1))) /
      (INDEX($AL$3:$AL$22, MATCH(E417, $AL$3:$AL$22, 1)+1) - INDEX($AL$3:$AL$22, MATCH(E417, $AL$3:$AL$22, 1)))
    ) - H417,
    ""
  )
)</f>
        <v/>
      </c>
      <c r="AL417" s="135"/>
      <c r="AM417" s="135"/>
      <c r="AN417" s="136"/>
    </row>
    <row r="418" spans="1:40" x14ac:dyDescent="0.35">
      <c r="A418" s="109">
        <f t="shared" si="241"/>
        <v>3</v>
      </c>
      <c r="B418" s="110">
        <f t="shared" si="241"/>
        <v>19</v>
      </c>
      <c r="C418" s="111" t="str">
        <f t="shared" si="214"/>
        <v/>
      </c>
      <c r="D418" s="112"/>
      <c r="E418" s="111" t="str">
        <f t="shared" si="237"/>
        <v/>
      </c>
      <c r="F418" s="112"/>
      <c r="G418" s="112"/>
      <c r="H418" s="113" t="str">
        <f t="shared" si="215"/>
        <v/>
      </c>
      <c r="I418" s="111" t="str">
        <f t="shared" si="216"/>
        <v/>
      </c>
      <c r="J418" s="112" t="str">
        <f t="shared" si="211"/>
        <v/>
      </c>
      <c r="K418" s="111" t="str">
        <f t="shared" si="238"/>
        <v/>
      </c>
      <c r="L418" s="114"/>
      <c r="M418" s="115"/>
      <c r="N418" s="111" t="str">
        <f t="shared" si="224"/>
        <v/>
      </c>
      <c r="O418" s="111">
        <f t="shared" si="222"/>
        <v>0</v>
      </c>
      <c r="P418" s="116" t="str">
        <f t="shared" si="217"/>
        <v/>
      </c>
      <c r="Q418" s="117" t="str">
        <f t="shared" si="239"/>
        <v/>
      </c>
      <c r="R418" s="111" t="str">
        <f t="shared" si="225"/>
        <v/>
      </c>
      <c r="S418" s="111" t="str">
        <f t="shared" si="223"/>
        <v/>
      </c>
      <c r="T418" s="111" t="str">
        <f t="shared" si="226"/>
        <v/>
      </c>
      <c r="U418" s="111" t="str">
        <f t="shared" si="227"/>
        <v/>
      </c>
      <c r="V418" s="113" t="str">
        <f t="shared" si="235"/>
        <v/>
      </c>
      <c r="W418" s="111" t="str">
        <f t="shared" si="218"/>
        <v/>
      </c>
      <c r="X418" s="111" t="str">
        <f t="shared" si="219"/>
        <v/>
      </c>
      <c r="Y418" s="111" t="str">
        <f t="shared" si="228"/>
        <v/>
      </c>
      <c r="Z418" s="111" t="str">
        <f t="shared" si="240"/>
        <v/>
      </c>
      <c r="AA418" s="118" t="str">
        <f t="shared" si="229"/>
        <v/>
      </c>
      <c r="AB418" s="111" t="str">
        <f t="shared" si="234"/>
        <v/>
      </c>
      <c r="AC418" s="119"/>
      <c r="AD418" s="120" t="str">
        <f t="shared" si="230"/>
        <v/>
      </c>
      <c r="AE418" s="120" t="str">
        <f t="shared" si="230"/>
        <v/>
      </c>
      <c r="AF418" s="120" t="str">
        <f t="shared" si="231"/>
        <v/>
      </c>
      <c r="AG418" s="120" t="str">
        <f t="shared" si="232"/>
        <v/>
      </c>
      <c r="AH418" s="120" t="str">
        <f t="shared" si="220"/>
        <v/>
      </c>
      <c r="AI418" s="120" t="str">
        <f t="shared" si="221"/>
        <v/>
      </c>
      <c r="AJ418" s="121" t="str">
        <f t="shared" si="233"/>
        <v/>
      </c>
      <c r="AK418" s="121" t="str" cm="1">
        <f t="array" ref="AK418">IF(OR(E418="", H418=""), "",
  IFERROR(
     (
      INDEX($AM$3:$AM$22, MATCH(E418, $AL$3:$AL$22, 1)) +
      (E418 - INDEX($AL$3:$AL$22, MATCH(E418, $AL$3:$AL$22, 1))) *
      (INDEX($AM$3:$AM$22, MATCH(E418, $AL$3:$AL$22, 1)+1) - INDEX($AM$3:$AM$22, MATCH(E418, $AL$3:$AL$22, 1))) /
      (INDEX($AL$3:$AL$22, MATCH(E418, $AL$3:$AL$22, 1)+1) - INDEX($AL$3:$AL$22, MATCH(E418, $AL$3:$AL$22, 1)))
    ) - H418,
    ""
  )
)</f>
        <v/>
      </c>
      <c r="AL418" s="137"/>
      <c r="AM418" s="137"/>
      <c r="AN418" s="138"/>
    </row>
    <row r="419" spans="1:40" x14ac:dyDescent="0.35">
      <c r="A419" s="122">
        <f t="shared" si="241"/>
        <v>3</v>
      </c>
      <c r="B419" s="123">
        <f t="shared" si="241"/>
        <v>19</v>
      </c>
      <c r="C419" s="124" t="str">
        <f t="shared" si="214"/>
        <v/>
      </c>
      <c r="D419" s="125"/>
      <c r="E419" s="124" t="str">
        <f t="shared" si="237"/>
        <v/>
      </c>
      <c r="F419" s="125"/>
      <c r="G419" s="125"/>
      <c r="H419" s="126" t="str">
        <f t="shared" si="215"/>
        <v/>
      </c>
      <c r="I419" s="124" t="str">
        <f t="shared" si="216"/>
        <v/>
      </c>
      <c r="J419" s="125" t="str">
        <f t="shared" si="211"/>
        <v/>
      </c>
      <c r="K419" s="124" t="str">
        <f t="shared" si="238"/>
        <v/>
      </c>
      <c r="L419" s="127"/>
      <c r="M419" s="134"/>
      <c r="N419" s="124" t="str">
        <f t="shared" si="224"/>
        <v/>
      </c>
      <c r="O419" s="124">
        <f t="shared" si="222"/>
        <v>0</v>
      </c>
      <c r="P419" s="128" t="str">
        <f t="shared" si="217"/>
        <v/>
      </c>
      <c r="Q419" s="129" t="str">
        <f t="shared" si="239"/>
        <v/>
      </c>
      <c r="R419" s="124" t="str">
        <f t="shared" si="225"/>
        <v/>
      </c>
      <c r="S419" s="124" t="str">
        <f t="shared" si="223"/>
        <v/>
      </c>
      <c r="T419" s="124" t="str">
        <f t="shared" si="226"/>
        <v/>
      </c>
      <c r="U419" s="124" t="str">
        <f t="shared" si="227"/>
        <v/>
      </c>
      <c r="V419" s="126" t="str">
        <f t="shared" si="235"/>
        <v/>
      </c>
      <c r="W419" s="124" t="str">
        <f t="shared" si="218"/>
        <v/>
      </c>
      <c r="X419" s="124" t="str">
        <f t="shared" si="219"/>
        <v/>
      </c>
      <c r="Y419" s="124" t="str">
        <f t="shared" si="228"/>
        <v/>
      </c>
      <c r="Z419" s="124" t="str">
        <f t="shared" si="240"/>
        <v/>
      </c>
      <c r="AA419" s="130" t="str">
        <f t="shared" si="229"/>
        <v/>
      </c>
      <c r="AB419" s="124" t="str">
        <f t="shared" si="234"/>
        <v/>
      </c>
      <c r="AC419" s="131"/>
      <c r="AD419" s="132" t="str">
        <f t="shared" si="230"/>
        <v/>
      </c>
      <c r="AE419" s="132" t="str">
        <f t="shared" si="230"/>
        <v/>
      </c>
      <c r="AF419" s="132" t="str">
        <f t="shared" si="231"/>
        <v/>
      </c>
      <c r="AG419" s="132" t="str">
        <f t="shared" si="232"/>
        <v/>
      </c>
      <c r="AH419" s="132" t="str">
        <f t="shared" si="220"/>
        <v/>
      </c>
      <c r="AI419" s="132" t="str">
        <f t="shared" si="221"/>
        <v/>
      </c>
      <c r="AJ419" s="133" t="str">
        <f t="shared" si="233"/>
        <v/>
      </c>
      <c r="AK419" s="133" t="str" cm="1">
        <f t="array" ref="AK419">IF(OR(E419="", H419=""), "",
  IFERROR(
     (
      INDEX($AM$3:$AM$22, MATCH(E419, $AL$3:$AL$22, 1)) +
      (E419 - INDEX($AL$3:$AL$22, MATCH(E419, $AL$3:$AL$22, 1))) *
      (INDEX($AM$3:$AM$22, MATCH(E419, $AL$3:$AL$22, 1)+1) - INDEX($AM$3:$AM$22, MATCH(E419, $AL$3:$AL$22, 1))) /
      (INDEX($AL$3:$AL$22, MATCH(E419, $AL$3:$AL$22, 1)+1) - INDEX($AL$3:$AL$22, MATCH(E419, $AL$3:$AL$22, 1)))
    ) - H419,
    ""
  )
)</f>
        <v/>
      </c>
      <c r="AL419" s="135"/>
      <c r="AM419" s="135"/>
      <c r="AN419" s="136"/>
    </row>
    <row r="420" spans="1:40" x14ac:dyDescent="0.35">
      <c r="A420" s="109">
        <f t="shared" si="241"/>
        <v>3</v>
      </c>
      <c r="B420" s="110">
        <f t="shared" si="241"/>
        <v>19</v>
      </c>
      <c r="C420" s="111" t="str">
        <f t="shared" si="214"/>
        <v/>
      </c>
      <c r="D420" s="112"/>
      <c r="E420" s="111" t="str">
        <f t="shared" si="237"/>
        <v/>
      </c>
      <c r="F420" s="112"/>
      <c r="G420" s="112"/>
      <c r="H420" s="113" t="str">
        <f t="shared" si="215"/>
        <v/>
      </c>
      <c r="I420" s="111" t="str">
        <f t="shared" si="216"/>
        <v/>
      </c>
      <c r="J420" s="112" t="str">
        <f t="shared" si="211"/>
        <v/>
      </c>
      <c r="K420" s="111" t="str">
        <f t="shared" si="238"/>
        <v/>
      </c>
      <c r="L420" s="114"/>
      <c r="M420" s="115"/>
      <c r="N420" s="111" t="str">
        <f t="shared" si="224"/>
        <v/>
      </c>
      <c r="O420" s="111">
        <f t="shared" si="222"/>
        <v>0</v>
      </c>
      <c r="P420" s="116" t="str">
        <f t="shared" si="217"/>
        <v/>
      </c>
      <c r="Q420" s="117" t="str">
        <f t="shared" si="239"/>
        <v/>
      </c>
      <c r="R420" s="111" t="str">
        <f t="shared" si="225"/>
        <v/>
      </c>
      <c r="S420" s="111" t="str">
        <f t="shared" si="223"/>
        <v/>
      </c>
      <c r="T420" s="111" t="str">
        <f t="shared" si="226"/>
        <v/>
      </c>
      <c r="U420" s="111" t="str">
        <f t="shared" si="227"/>
        <v/>
      </c>
      <c r="V420" s="113" t="str">
        <f t="shared" si="235"/>
        <v/>
      </c>
      <c r="W420" s="111" t="str">
        <f t="shared" si="218"/>
        <v/>
      </c>
      <c r="X420" s="111" t="str">
        <f t="shared" si="219"/>
        <v/>
      </c>
      <c r="Y420" s="111" t="str">
        <f t="shared" si="228"/>
        <v/>
      </c>
      <c r="Z420" s="111" t="str">
        <f t="shared" si="240"/>
        <v/>
      </c>
      <c r="AA420" s="118" t="str">
        <f t="shared" si="229"/>
        <v/>
      </c>
      <c r="AB420" s="111" t="str">
        <f t="shared" si="234"/>
        <v/>
      </c>
      <c r="AC420" s="119"/>
      <c r="AD420" s="120" t="str">
        <f t="shared" si="230"/>
        <v/>
      </c>
      <c r="AE420" s="120" t="str">
        <f t="shared" si="230"/>
        <v/>
      </c>
      <c r="AF420" s="120" t="str">
        <f t="shared" si="231"/>
        <v/>
      </c>
      <c r="AG420" s="120" t="str">
        <f t="shared" si="232"/>
        <v/>
      </c>
      <c r="AH420" s="120" t="str">
        <f t="shared" si="220"/>
        <v/>
      </c>
      <c r="AI420" s="120" t="str">
        <f t="shared" si="221"/>
        <v/>
      </c>
      <c r="AJ420" s="121" t="str">
        <f t="shared" si="233"/>
        <v/>
      </c>
      <c r="AK420" s="121" t="str" cm="1">
        <f t="array" ref="AK420">IF(OR(E420="", H420=""), "",
  IFERROR(
     (
      INDEX($AM$3:$AM$22, MATCH(E420, $AL$3:$AL$22, 1)) +
      (E420 - INDEX($AL$3:$AL$22, MATCH(E420, $AL$3:$AL$22, 1))) *
      (INDEX($AM$3:$AM$22, MATCH(E420, $AL$3:$AL$22, 1)+1) - INDEX($AM$3:$AM$22, MATCH(E420, $AL$3:$AL$22, 1))) /
      (INDEX($AL$3:$AL$22, MATCH(E420, $AL$3:$AL$22, 1)+1) - INDEX($AL$3:$AL$22, MATCH(E420, $AL$3:$AL$22, 1)))
    ) - H420,
    ""
  )
)</f>
        <v/>
      </c>
      <c r="AL420" s="137"/>
      <c r="AM420" s="137"/>
      <c r="AN420" s="138"/>
    </row>
    <row r="421" spans="1:40" x14ac:dyDescent="0.35">
      <c r="A421" s="122">
        <f t="shared" si="241"/>
        <v>3</v>
      </c>
      <c r="B421" s="123">
        <f t="shared" si="241"/>
        <v>19</v>
      </c>
      <c r="C421" s="124" t="str">
        <f t="shared" si="214"/>
        <v/>
      </c>
      <c r="D421" s="125"/>
      <c r="E421" s="124" t="str">
        <f t="shared" si="237"/>
        <v/>
      </c>
      <c r="F421" s="125"/>
      <c r="G421" s="125"/>
      <c r="H421" s="126" t="str">
        <f t="shared" si="215"/>
        <v/>
      </c>
      <c r="I421" s="124" t="str">
        <f t="shared" si="216"/>
        <v/>
      </c>
      <c r="J421" s="125" t="str">
        <f t="shared" si="211"/>
        <v/>
      </c>
      <c r="K421" s="124" t="str">
        <f t="shared" si="238"/>
        <v/>
      </c>
      <c r="L421" s="127"/>
      <c r="M421" s="134"/>
      <c r="N421" s="124" t="str">
        <f t="shared" si="224"/>
        <v/>
      </c>
      <c r="O421" s="124">
        <f t="shared" si="222"/>
        <v>0</v>
      </c>
      <c r="P421" s="128" t="str">
        <f t="shared" si="217"/>
        <v/>
      </c>
      <c r="Q421" s="129" t="str">
        <f t="shared" si="239"/>
        <v/>
      </c>
      <c r="R421" s="124" t="str">
        <f t="shared" si="225"/>
        <v/>
      </c>
      <c r="S421" s="124" t="str">
        <f t="shared" si="223"/>
        <v/>
      </c>
      <c r="T421" s="124" t="str">
        <f t="shared" si="226"/>
        <v/>
      </c>
      <c r="U421" s="124" t="str">
        <f t="shared" si="227"/>
        <v/>
      </c>
      <c r="V421" s="126" t="str">
        <f t="shared" si="235"/>
        <v/>
      </c>
      <c r="W421" s="124" t="str">
        <f t="shared" si="218"/>
        <v/>
      </c>
      <c r="X421" s="124" t="str">
        <f t="shared" si="219"/>
        <v/>
      </c>
      <c r="Y421" s="124" t="str">
        <f t="shared" si="228"/>
        <v/>
      </c>
      <c r="Z421" s="124" t="str">
        <f t="shared" si="240"/>
        <v/>
      </c>
      <c r="AA421" s="130" t="str">
        <f t="shared" si="229"/>
        <v/>
      </c>
      <c r="AB421" s="124" t="str">
        <f t="shared" si="234"/>
        <v/>
      </c>
      <c r="AC421" s="131"/>
      <c r="AD421" s="132" t="str">
        <f t="shared" si="230"/>
        <v/>
      </c>
      <c r="AE421" s="132" t="str">
        <f t="shared" si="230"/>
        <v/>
      </c>
      <c r="AF421" s="132" t="str">
        <f t="shared" si="231"/>
        <v/>
      </c>
      <c r="AG421" s="132" t="str">
        <f t="shared" si="232"/>
        <v/>
      </c>
      <c r="AH421" s="132" t="str">
        <f t="shared" si="220"/>
        <v/>
      </c>
      <c r="AI421" s="132" t="str">
        <f t="shared" si="221"/>
        <v/>
      </c>
      <c r="AJ421" s="133" t="str">
        <f t="shared" si="233"/>
        <v/>
      </c>
      <c r="AK421" s="133" t="str" cm="1">
        <f t="array" ref="AK421">IF(OR(E421="", H421=""), "",
  IFERROR(
     (
      INDEX($AM$3:$AM$22, MATCH(E421, $AL$3:$AL$22, 1)) +
      (E421 - INDEX($AL$3:$AL$22, MATCH(E421, $AL$3:$AL$22, 1))) *
      (INDEX($AM$3:$AM$22, MATCH(E421, $AL$3:$AL$22, 1)+1) - INDEX($AM$3:$AM$22, MATCH(E421, $AL$3:$AL$22, 1))) /
      (INDEX($AL$3:$AL$22, MATCH(E421, $AL$3:$AL$22, 1)+1) - INDEX($AL$3:$AL$22, MATCH(E421, $AL$3:$AL$22, 1)))
    ) - H421,
    ""
  )
)</f>
        <v/>
      </c>
      <c r="AL421" s="135"/>
      <c r="AM421" s="135"/>
      <c r="AN421" s="136"/>
    </row>
    <row r="422" spans="1:40" x14ac:dyDescent="0.35">
      <c r="A422" s="109">
        <f t="shared" si="241"/>
        <v>3</v>
      </c>
      <c r="B422" s="110">
        <f t="shared" si="241"/>
        <v>19</v>
      </c>
      <c r="C422" s="111" t="str">
        <f t="shared" si="214"/>
        <v/>
      </c>
      <c r="D422" s="112"/>
      <c r="E422" s="111" t="str">
        <f t="shared" si="237"/>
        <v/>
      </c>
      <c r="F422" s="112"/>
      <c r="G422" s="112"/>
      <c r="H422" s="113" t="str">
        <f t="shared" si="215"/>
        <v/>
      </c>
      <c r="I422" s="111" t="str">
        <f t="shared" si="216"/>
        <v/>
      </c>
      <c r="J422" s="112" t="str">
        <f t="shared" si="211"/>
        <v/>
      </c>
      <c r="K422" s="111" t="str">
        <f t="shared" si="238"/>
        <v/>
      </c>
      <c r="L422" s="114"/>
      <c r="M422" s="115"/>
      <c r="N422" s="111" t="str">
        <f t="shared" si="224"/>
        <v/>
      </c>
      <c r="O422" s="111">
        <f t="shared" si="222"/>
        <v>0</v>
      </c>
      <c r="P422" s="116" t="str">
        <f t="shared" si="217"/>
        <v/>
      </c>
      <c r="Q422" s="117" t="str">
        <f t="shared" si="239"/>
        <v/>
      </c>
      <c r="R422" s="111" t="str">
        <f t="shared" si="225"/>
        <v/>
      </c>
      <c r="S422" s="111" t="str">
        <f t="shared" si="223"/>
        <v/>
      </c>
      <c r="T422" s="111" t="str">
        <f t="shared" si="226"/>
        <v/>
      </c>
      <c r="U422" s="111" t="str">
        <f t="shared" si="227"/>
        <v/>
      </c>
      <c r="V422" s="113" t="str">
        <f t="shared" si="235"/>
        <v/>
      </c>
      <c r="W422" s="111" t="str">
        <f t="shared" si="218"/>
        <v/>
      </c>
      <c r="X422" s="111" t="str">
        <f t="shared" si="219"/>
        <v/>
      </c>
      <c r="Y422" s="111" t="str">
        <f t="shared" si="228"/>
        <v/>
      </c>
      <c r="Z422" s="111" t="str">
        <f t="shared" si="240"/>
        <v/>
      </c>
      <c r="AA422" s="118" t="str">
        <f t="shared" si="229"/>
        <v/>
      </c>
      <c r="AB422" s="111" t="str">
        <f t="shared" si="234"/>
        <v/>
      </c>
      <c r="AC422" s="119"/>
      <c r="AD422" s="120" t="str">
        <f t="shared" si="230"/>
        <v/>
      </c>
      <c r="AE422" s="120" t="str">
        <f t="shared" si="230"/>
        <v/>
      </c>
      <c r="AF422" s="120" t="str">
        <f t="shared" si="231"/>
        <v/>
      </c>
      <c r="AG422" s="120" t="str">
        <f t="shared" si="232"/>
        <v/>
      </c>
      <c r="AH422" s="120" t="str">
        <f t="shared" si="220"/>
        <v/>
      </c>
      <c r="AI422" s="120" t="str">
        <f t="shared" si="221"/>
        <v/>
      </c>
      <c r="AJ422" s="121" t="str">
        <f t="shared" si="233"/>
        <v/>
      </c>
      <c r="AK422" s="121" t="str" cm="1">
        <f t="array" ref="AK422">IF(OR(E422="", H422=""), "",
  IFERROR(
     (
      INDEX($AM$3:$AM$22, MATCH(E422, $AL$3:$AL$22, 1)) +
      (E422 - INDEX($AL$3:$AL$22, MATCH(E422, $AL$3:$AL$22, 1))) *
      (INDEX($AM$3:$AM$22, MATCH(E422, $AL$3:$AL$22, 1)+1) - INDEX($AM$3:$AM$22, MATCH(E422, $AL$3:$AL$22, 1))) /
      (INDEX($AL$3:$AL$22, MATCH(E422, $AL$3:$AL$22, 1)+1) - INDEX($AL$3:$AL$22, MATCH(E422, $AL$3:$AL$22, 1)))
    ) - H422,
    ""
  )
)</f>
        <v/>
      </c>
      <c r="AL422" s="137"/>
      <c r="AM422" s="137"/>
      <c r="AN422" s="138"/>
    </row>
    <row r="423" spans="1:40" x14ac:dyDescent="0.35">
      <c r="A423" s="122">
        <f t="shared" si="241"/>
        <v>3</v>
      </c>
      <c r="B423" s="123">
        <f t="shared" si="241"/>
        <v>19</v>
      </c>
      <c r="C423" s="124" t="str">
        <f t="shared" si="214"/>
        <v/>
      </c>
      <c r="D423" s="125"/>
      <c r="E423" s="124" t="str">
        <f t="shared" si="237"/>
        <v/>
      </c>
      <c r="F423" s="125"/>
      <c r="G423" s="125"/>
      <c r="H423" s="126" t="str">
        <f t="shared" si="215"/>
        <v/>
      </c>
      <c r="I423" s="124" t="str">
        <f t="shared" si="216"/>
        <v/>
      </c>
      <c r="J423" s="125" t="str">
        <f t="shared" si="211"/>
        <v/>
      </c>
      <c r="K423" s="124" t="str">
        <f t="shared" si="238"/>
        <v/>
      </c>
      <c r="L423" s="127"/>
      <c r="M423" s="134"/>
      <c r="N423" s="124" t="str">
        <f t="shared" si="224"/>
        <v/>
      </c>
      <c r="O423" s="124">
        <f t="shared" si="222"/>
        <v>0</v>
      </c>
      <c r="P423" s="128" t="str">
        <f t="shared" si="217"/>
        <v/>
      </c>
      <c r="Q423" s="129" t="str">
        <f t="shared" si="239"/>
        <v/>
      </c>
      <c r="R423" s="124" t="str">
        <f t="shared" si="225"/>
        <v/>
      </c>
      <c r="S423" s="124" t="str">
        <f t="shared" si="223"/>
        <v/>
      </c>
      <c r="T423" s="124" t="str">
        <f t="shared" si="226"/>
        <v/>
      </c>
      <c r="U423" s="124" t="str">
        <f t="shared" si="227"/>
        <v/>
      </c>
      <c r="V423" s="126" t="str">
        <f t="shared" si="235"/>
        <v/>
      </c>
      <c r="W423" s="124" t="str">
        <f t="shared" si="218"/>
        <v/>
      </c>
      <c r="X423" s="124" t="str">
        <f t="shared" si="219"/>
        <v/>
      </c>
      <c r="Y423" s="124" t="str">
        <f t="shared" si="228"/>
        <v/>
      </c>
      <c r="Z423" s="124" t="str">
        <f t="shared" si="240"/>
        <v/>
      </c>
      <c r="AA423" s="130" t="str">
        <f t="shared" si="229"/>
        <v/>
      </c>
      <c r="AB423" s="124" t="str">
        <f t="shared" si="234"/>
        <v/>
      </c>
      <c r="AC423" s="131"/>
      <c r="AD423" s="132" t="str">
        <f t="shared" si="230"/>
        <v/>
      </c>
      <c r="AE423" s="132" t="str">
        <f t="shared" si="230"/>
        <v/>
      </c>
      <c r="AF423" s="132" t="str">
        <f t="shared" si="231"/>
        <v/>
      </c>
      <c r="AG423" s="132" t="str">
        <f t="shared" si="232"/>
        <v/>
      </c>
      <c r="AH423" s="132" t="str">
        <f t="shared" si="220"/>
        <v/>
      </c>
      <c r="AI423" s="132" t="str">
        <f t="shared" si="221"/>
        <v/>
      </c>
      <c r="AJ423" s="133" t="str">
        <f t="shared" si="233"/>
        <v/>
      </c>
      <c r="AK423" s="133" t="str" cm="1">
        <f t="array" ref="AK423">IF(OR(E423="", H423=""), "",
  IFERROR(
     (
      INDEX($AM$3:$AM$22, MATCH(E423, $AL$3:$AL$22, 1)) +
      (E423 - INDEX($AL$3:$AL$22, MATCH(E423, $AL$3:$AL$22, 1))) *
      (INDEX($AM$3:$AM$22, MATCH(E423, $AL$3:$AL$22, 1)+1) - INDEX($AM$3:$AM$22, MATCH(E423, $AL$3:$AL$22, 1))) /
      (INDEX($AL$3:$AL$22, MATCH(E423, $AL$3:$AL$22, 1)+1) - INDEX($AL$3:$AL$22, MATCH(E423, $AL$3:$AL$22, 1)))
    ) - H423,
    ""
  )
)</f>
        <v/>
      </c>
      <c r="AL423" s="135"/>
      <c r="AM423" s="135"/>
      <c r="AN423" s="136"/>
    </row>
    <row r="424" spans="1:40" x14ac:dyDescent="0.35">
      <c r="A424" s="109">
        <f t="shared" si="241"/>
        <v>3</v>
      </c>
      <c r="B424" s="110">
        <f t="shared" si="241"/>
        <v>19</v>
      </c>
      <c r="C424" s="111" t="str">
        <f t="shared" si="214"/>
        <v/>
      </c>
      <c r="D424" s="112"/>
      <c r="E424" s="111" t="str">
        <f t="shared" si="237"/>
        <v/>
      </c>
      <c r="F424" s="112"/>
      <c r="G424" s="112"/>
      <c r="H424" s="113" t="str">
        <f t="shared" si="215"/>
        <v/>
      </c>
      <c r="I424" s="111" t="str">
        <f t="shared" si="216"/>
        <v/>
      </c>
      <c r="J424" s="112" t="str">
        <f t="shared" si="211"/>
        <v/>
      </c>
      <c r="K424" s="111" t="str">
        <f t="shared" si="238"/>
        <v/>
      </c>
      <c r="L424" s="114"/>
      <c r="M424" s="115"/>
      <c r="N424" s="111" t="str">
        <f t="shared" si="224"/>
        <v/>
      </c>
      <c r="O424" s="111">
        <f t="shared" si="222"/>
        <v>0</v>
      </c>
      <c r="P424" s="116" t="str">
        <f t="shared" si="217"/>
        <v/>
      </c>
      <c r="Q424" s="117" t="str">
        <f t="shared" si="239"/>
        <v/>
      </c>
      <c r="R424" s="111" t="str">
        <f t="shared" si="225"/>
        <v/>
      </c>
      <c r="S424" s="111" t="str">
        <f t="shared" si="223"/>
        <v/>
      </c>
      <c r="T424" s="111" t="str">
        <f t="shared" si="226"/>
        <v/>
      </c>
      <c r="U424" s="111" t="str">
        <f t="shared" si="227"/>
        <v/>
      </c>
      <c r="V424" s="113" t="str">
        <f t="shared" si="235"/>
        <v/>
      </c>
      <c r="W424" s="111" t="str">
        <f t="shared" si="218"/>
        <v/>
      </c>
      <c r="X424" s="111" t="str">
        <f t="shared" si="219"/>
        <v/>
      </c>
      <c r="Y424" s="111" t="str">
        <f t="shared" si="228"/>
        <v/>
      </c>
      <c r="Z424" s="111" t="str">
        <f t="shared" si="240"/>
        <v/>
      </c>
      <c r="AA424" s="118" t="str">
        <f t="shared" si="229"/>
        <v/>
      </c>
      <c r="AB424" s="111" t="str">
        <f t="shared" si="234"/>
        <v/>
      </c>
      <c r="AC424" s="119"/>
      <c r="AD424" s="120" t="str">
        <f t="shared" si="230"/>
        <v/>
      </c>
      <c r="AE424" s="120" t="str">
        <f t="shared" si="230"/>
        <v/>
      </c>
      <c r="AF424" s="120" t="str">
        <f t="shared" si="231"/>
        <v/>
      </c>
      <c r="AG424" s="120" t="str">
        <f t="shared" si="232"/>
        <v/>
      </c>
      <c r="AH424" s="120" t="str">
        <f t="shared" si="220"/>
        <v/>
      </c>
      <c r="AI424" s="120" t="str">
        <f t="shared" si="221"/>
        <v/>
      </c>
      <c r="AJ424" s="121" t="str">
        <f t="shared" si="233"/>
        <v/>
      </c>
      <c r="AK424" s="121" t="str" cm="1">
        <f t="array" ref="AK424">IF(OR(E424="", H424=""), "",
  IFERROR(
     (
      INDEX($AM$3:$AM$22, MATCH(E424, $AL$3:$AL$22, 1)) +
      (E424 - INDEX($AL$3:$AL$22, MATCH(E424, $AL$3:$AL$22, 1))) *
      (INDEX($AM$3:$AM$22, MATCH(E424, $AL$3:$AL$22, 1)+1) - INDEX($AM$3:$AM$22, MATCH(E424, $AL$3:$AL$22, 1))) /
      (INDEX($AL$3:$AL$22, MATCH(E424, $AL$3:$AL$22, 1)+1) - INDEX($AL$3:$AL$22, MATCH(E424, $AL$3:$AL$22, 1)))
    ) - H424,
    ""
  )
)</f>
        <v/>
      </c>
      <c r="AL424" s="137"/>
      <c r="AM424" s="137"/>
      <c r="AN424" s="138"/>
    </row>
    <row r="425" spans="1:40" x14ac:dyDescent="0.35">
      <c r="A425" s="122">
        <f t="shared" si="241"/>
        <v>3</v>
      </c>
      <c r="B425" s="123">
        <f t="shared" si="241"/>
        <v>19</v>
      </c>
      <c r="C425" s="124" t="str">
        <f t="shared" si="214"/>
        <v/>
      </c>
      <c r="D425" s="125"/>
      <c r="E425" s="124" t="str">
        <f t="shared" si="237"/>
        <v/>
      </c>
      <c r="F425" s="125"/>
      <c r="G425" s="125"/>
      <c r="H425" s="126" t="str">
        <f t="shared" si="215"/>
        <v/>
      </c>
      <c r="I425" s="124" t="str">
        <f t="shared" si="216"/>
        <v/>
      </c>
      <c r="J425" s="125" t="str">
        <f t="shared" si="211"/>
        <v/>
      </c>
      <c r="K425" s="124" t="str">
        <f t="shared" si="238"/>
        <v/>
      </c>
      <c r="L425" s="127"/>
      <c r="M425" s="134"/>
      <c r="N425" s="124" t="str">
        <f t="shared" si="224"/>
        <v/>
      </c>
      <c r="O425" s="124">
        <f t="shared" si="222"/>
        <v>0</v>
      </c>
      <c r="P425" s="128" t="str">
        <f t="shared" si="217"/>
        <v/>
      </c>
      <c r="Q425" s="129" t="str">
        <f t="shared" si="239"/>
        <v/>
      </c>
      <c r="R425" s="124" t="str">
        <f t="shared" si="225"/>
        <v/>
      </c>
      <c r="S425" s="124" t="str">
        <f t="shared" si="223"/>
        <v/>
      </c>
      <c r="T425" s="124" t="str">
        <f t="shared" si="226"/>
        <v/>
      </c>
      <c r="U425" s="124" t="str">
        <f t="shared" si="227"/>
        <v/>
      </c>
      <c r="V425" s="126" t="str">
        <f t="shared" si="235"/>
        <v/>
      </c>
      <c r="W425" s="124" t="str">
        <f t="shared" si="218"/>
        <v/>
      </c>
      <c r="X425" s="124" t="str">
        <f t="shared" si="219"/>
        <v/>
      </c>
      <c r="Y425" s="124" t="str">
        <f t="shared" si="228"/>
        <v/>
      </c>
      <c r="Z425" s="124" t="str">
        <f t="shared" si="240"/>
        <v/>
      </c>
      <c r="AA425" s="130" t="str">
        <f t="shared" si="229"/>
        <v/>
      </c>
      <c r="AB425" s="124" t="str">
        <f t="shared" si="234"/>
        <v/>
      </c>
      <c r="AC425" s="131"/>
      <c r="AD425" s="132" t="str">
        <f t="shared" si="230"/>
        <v/>
      </c>
      <c r="AE425" s="132" t="str">
        <f t="shared" si="230"/>
        <v/>
      </c>
      <c r="AF425" s="132" t="str">
        <f t="shared" si="231"/>
        <v/>
      </c>
      <c r="AG425" s="132" t="str">
        <f t="shared" si="232"/>
        <v/>
      </c>
      <c r="AH425" s="132" t="str">
        <f t="shared" si="220"/>
        <v/>
      </c>
      <c r="AI425" s="132" t="str">
        <f t="shared" si="221"/>
        <v/>
      </c>
      <c r="AJ425" s="133" t="str">
        <f t="shared" si="233"/>
        <v/>
      </c>
      <c r="AK425" s="133" t="str" cm="1">
        <f t="array" ref="AK425">IF(OR(E425="", H425=""), "",
  IFERROR(
     (
      INDEX($AM$3:$AM$22, MATCH(E425, $AL$3:$AL$22, 1)) +
      (E425 - INDEX($AL$3:$AL$22, MATCH(E425, $AL$3:$AL$22, 1))) *
      (INDEX($AM$3:$AM$22, MATCH(E425, $AL$3:$AL$22, 1)+1) - INDEX($AM$3:$AM$22, MATCH(E425, $AL$3:$AL$22, 1))) /
      (INDEX($AL$3:$AL$22, MATCH(E425, $AL$3:$AL$22, 1)+1) - INDEX($AL$3:$AL$22, MATCH(E425, $AL$3:$AL$22, 1)))
    ) - H425,
    ""
  )
)</f>
        <v/>
      </c>
      <c r="AL425" s="135"/>
      <c r="AM425" s="135"/>
      <c r="AN425" s="136"/>
    </row>
    <row r="426" spans="1:40" x14ac:dyDescent="0.35">
      <c r="A426" s="109">
        <f t="shared" si="241"/>
        <v>3</v>
      </c>
      <c r="B426" s="110">
        <f t="shared" si="241"/>
        <v>19</v>
      </c>
      <c r="C426" s="111" t="str">
        <f t="shared" si="214"/>
        <v/>
      </c>
      <c r="D426" s="112"/>
      <c r="E426" s="111" t="str">
        <f t="shared" si="237"/>
        <v/>
      </c>
      <c r="F426" s="112"/>
      <c r="G426" s="112"/>
      <c r="H426" s="113" t="str">
        <f t="shared" si="215"/>
        <v/>
      </c>
      <c r="I426" s="111" t="str">
        <f t="shared" si="216"/>
        <v/>
      </c>
      <c r="J426" s="112" t="str">
        <f t="shared" si="211"/>
        <v/>
      </c>
      <c r="K426" s="111" t="str">
        <f t="shared" si="238"/>
        <v/>
      </c>
      <c r="L426" s="114"/>
      <c r="M426" s="115"/>
      <c r="N426" s="111" t="str">
        <f t="shared" si="224"/>
        <v/>
      </c>
      <c r="O426" s="111">
        <f t="shared" si="222"/>
        <v>0</v>
      </c>
      <c r="P426" s="116" t="str">
        <f t="shared" si="217"/>
        <v/>
      </c>
      <c r="Q426" s="117" t="str">
        <f t="shared" si="239"/>
        <v/>
      </c>
      <c r="R426" s="111" t="str">
        <f t="shared" si="225"/>
        <v/>
      </c>
      <c r="S426" s="111" t="str">
        <f t="shared" si="223"/>
        <v/>
      </c>
      <c r="T426" s="111" t="str">
        <f t="shared" si="226"/>
        <v/>
      </c>
      <c r="U426" s="111" t="str">
        <f t="shared" si="227"/>
        <v/>
      </c>
      <c r="V426" s="113" t="str">
        <f t="shared" si="235"/>
        <v/>
      </c>
      <c r="W426" s="111" t="str">
        <f t="shared" si="218"/>
        <v/>
      </c>
      <c r="X426" s="111" t="str">
        <f t="shared" si="219"/>
        <v/>
      </c>
      <c r="Y426" s="111" t="str">
        <f t="shared" si="228"/>
        <v/>
      </c>
      <c r="Z426" s="111" t="str">
        <f t="shared" si="240"/>
        <v/>
      </c>
      <c r="AA426" s="118" t="str">
        <f t="shared" si="229"/>
        <v/>
      </c>
      <c r="AB426" s="111" t="str">
        <f t="shared" si="234"/>
        <v/>
      </c>
      <c r="AC426" s="119"/>
      <c r="AD426" s="120" t="str">
        <f t="shared" si="230"/>
        <v/>
      </c>
      <c r="AE426" s="120" t="str">
        <f t="shared" si="230"/>
        <v/>
      </c>
      <c r="AF426" s="120" t="str">
        <f t="shared" si="231"/>
        <v/>
      </c>
      <c r="AG426" s="120" t="str">
        <f t="shared" si="232"/>
        <v/>
      </c>
      <c r="AH426" s="120" t="str">
        <f t="shared" si="220"/>
        <v/>
      </c>
      <c r="AI426" s="120" t="str">
        <f t="shared" si="221"/>
        <v/>
      </c>
      <c r="AJ426" s="121" t="str">
        <f t="shared" si="233"/>
        <v/>
      </c>
      <c r="AK426" s="121" t="str" cm="1">
        <f t="array" ref="AK426">IF(OR(E426="", H426=""), "",
  IFERROR(
     (
      INDEX($AM$3:$AM$22, MATCH(E426, $AL$3:$AL$22, 1)) +
      (E426 - INDEX($AL$3:$AL$22, MATCH(E426, $AL$3:$AL$22, 1))) *
      (INDEX($AM$3:$AM$22, MATCH(E426, $AL$3:$AL$22, 1)+1) - INDEX($AM$3:$AM$22, MATCH(E426, $AL$3:$AL$22, 1))) /
      (INDEX($AL$3:$AL$22, MATCH(E426, $AL$3:$AL$22, 1)+1) - INDEX($AL$3:$AL$22, MATCH(E426, $AL$3:$AL$22, 1)))
    ) - H426,
    ""
  )
)</f>
        <v/>
      </c>
      <c r="AL426" s="137"/>
      <c r="AM426" s="137"/>
      <c r="AN426" s="138"/>
    </row>
    <row r="427" spans="1:40" x14ac:dyDescent="0.35">
      <c r="A427" s="122">
        <f t="shared" si="241"/>
        <v>3</v>
      </c>
      <c r="B427" s="123">
        <f t="shared" si="241"/>
        <v>19</v>
      </c>
      <c r="C427" s="124" t="str">
        <f t="shared" si="214"/>
        <v/>
      </c>
      <c r="D427" s="125"/>
      <c r="E427" s="124" t="str">
        <f t="shared" si="237"/>
        <v/>
      </c>
      <c r="F427" s="125"/>
      <c r="G427" s="125"/>
      <c r="H427" s="126" t="str">
        <f t="shared" si="215"/>
        <v/>
      </c>
      <c r="I427" s="124" t="str">
        <f t="shared" si="216"/>
        <v/>
      </c>
      <c r="J427" s="125" t="str">
        <f t="shared" si="211"/>
        <v/>
      </c>
      <c r="K427" s="124" t="str">
        <f t="shared" si="238"/>
        <v/>
      </c>
      <c r="L427" s="127"/>
      <c r="M427" s="134"/>
      <c r="N427" s="124" t="str">
        <f t="shared" si="224"/>
        <v/>
      </c>
      <c r="O427" s="124">
        <f t="shared" si="222"/>
        <v>0</v>
      </c>
      <c r="P427" s="128" t="str">
        <f t="shared" si="217"/>
        <v/>
      </c>
      <c r="Q427" s="129" t="str">
        <f t="shared" si="239"/>
        <v/>
      </c>
      <c r="R427" s="124" t="str">
        <f t="shared" si="225"/>
        <v/>
      </c>
      <c r="S427" s="124" t="str">
        <f t="shared" si="223"/>
        <v/>
      </c>
      <c r="T427" s="124" t="str">
        <f t="shared" si="226"/>
        <v/>
      </c>
      <c r="U427" s="124" t="str">
        <f t="shared" si="227"/>
        <v/>
      </c>
      <c r="V427" s="126" t="str">
        <f t="shared" si="235"/>
        <v/>
      </c>
      <c r="W427" s="124" t="str">
        <f t="shared" si="218"/>
        <v/>
      </c>
      <c r="X427" s="124" t="str">
        <f t="shared" si="219"/>
        <v/>
      </c>
      <c r="Y427" s="124" t="str">
        <f t="shared" si="228"/>
        <v/>
      </c>
      <c r="Z427" s="124" t="str">
        <f t="shared" si="240"/>
        <v/>
      </c>
      <c r="AA427" s="130" t="str">
        <f t="shared" si="229"/>
        <v/>
      </c>
      <c r="AB427" s="124" t="str">
        <f t="shared" si="234"/>
        <v/>
      </c>
      <c r="AC427" s="131"/>
      <c r="AD427" s="132" t="str">
        <f t="shared" si="230"/>
        <v/>
      </c>
      <c r="AE427" s="132" t="str">
        <f t="shared" si="230"/>
        <v/>
      </c>
      <c r="AF427" s="132" t="str">
        <f t="shared" si="231"/>
        <v/>
      </c>
      <c r="AG427" s="132" t="str">
        <f t="shared" si="232"/>
        <v/>
      </c>
      <c r="AH427" s="132" t="str">
        <f t="shared" si="220"/>
        <v/>
      </c>
      <c r="AI427" s="132" t="str">
        <f t="shared" si="221"/>
        <v/>
      </c>
      <c r="AJ427" s="133" t="str">
        <f t="shared" si="233"/>
        <v/>
      </c>
      <c r="AK427" s="133" t="str" cm="1">
        <f t="array" ref="AK427">IF(OR(E427="", H427=""), "",
  IFERROR(
     (
      INDEX($AM$3:$AM$22, MATCH(E427, $AL$3:$AL$22, 1)) +
      (E427 - INDEX($AL$3:$AL$22, MATCH(E427, $AL$3:$AL$22, 1))) *
      (INDEX($AM$3:$AM$22, MATCH(E427, $AL$3:$AL$22, 1)+1) - INDEX($AM$3:$AM$22, MATCH(E427, $AL$3:$AL$22, 1))) /
      (INDEX($AL$3:$AL$22, MATCH(E427, $AL$3:$AL$22, 1)+1) - INDEX($AL$3:$AL$22, MATCH(E427, $AL$3:$AL$22, 1)))
    ) - H427,
    ""
  )
)</f>
        <v/>
      </c>
      <c r="AL427" s="135"/>
      <c r="AM427" s="135"/>
      <c r="AN427" s="136"/>
    </row>
    <row r="428" spans="1:40" x14ac:dyDescent="0.35">
      <c r="A428" s="109">
        <f t="shared" si="241"/>
        <v>3</v>
      </c>
      <c r="B428" s="110">
        <f t="shared" si="241"/>
        <v>19</v>
      </c>
      <c r="C428" s="111" t="str">
        <f t="shared" si="214"/>
        <v/>
      </c>
      <c r="D428" s="112"/>
      <c r="E428" s="111" t="str">
        <f t="shared" si="237"/>
        <v/>
      </c>
      <c r="F428" s="112"/>
      <c r="G428" s="112"/>
      <c r="H428" s="113" t="str">
        <f t="shared" si="215"/>
        <v/>
      </c>
      <c r="I428" s="111" t="str">
        <f t="shared" si="216"/>
        <v/>
      </c>
      <c r="J428" s="112" t="str">
        <f t="shared" si="211"/>
        <v/>
      </c>
      <c r="K428" s="111" t="str">
        <f t="shared" si="238"/>
        <v/>
      </c>
      <c r="L428" s="114"/>
      <c r="M428" s="115"/>
      <c r="N428" s="111" t="str">
        <f t="shared" si="224"/>
        <v/>
      </c>
      <c r="O428" s="111">
        <f t="shared" si="222"/>
        <v>0</v>
      </c>
      <c r="P428" s="116" t="str">
        <f t="shared" si="217"/>
        <v/>
      </c>
      <c r="Q428" s="117" t="str">
        <f t="shared" si="239"/>
        <v/>
      </c>
      <c r="R428" s="111" t="str">
        <f t="shared" si="225"/>
        <v/>
      </c>
      <c r="S428" s="111" t="str">
        <f t="shared" si="223"/>
        <v/>
      </c>
      <c r="T428" s="111" t="str">
        <f t="shared" si="226"/>
        <v/>
      </c>
      <c r="U428" s="111" t="str">
        <f t="shared" si="227"/>
        <v/>
      </c>
      <c r="V428" s="113" t="str">
        <f t="shared" si="235"/>
        <v/>
      </c>
      <c r="W428" s="111" t="str">
        <f t="shared" si="218"/>
        <v/>
      </c>
      <c r="X428" s="111" t="str">
        <f t="shared" si="219"/>
        <v/>
      </c>
      <c r="Y428" s="111" t="str">
        <f t="shared" si="228"/>
        <v/>
      </c>
      <c r="Z428" s="111" t="str">
        <f t="shared" si="240"/>
        <v/>
      </c>
      <c r="AA428" s="118" t="str">
        <f t="shared" si="229"/>
        <v/>
      </c>
      <c r="AB428" s="111" t="str">
        <f t="shared" si="234"/>
        <v/>
      </c>
      <c r="AC428" s="119"/>
      <c r="AD428" s="120" t="str">
        <f t="shared" si="230"/>
        <v/>
      </c>
      <c r="AE428" s="120" t="str">
        <f t="shared" si="230"/>
        <v/>
      </c>
      <c r="AF428" s="120" t="str">
        <f t="shared" si="231"/>
        <v/>
      </c>
      <c r="AG428" s="120" t="str">
        <f t="shared" si="232"/>
        <v/>
      </c>
      <c r="AH428" s="120" t="str">
        <f t="shared" si="220"/>
        <v/>
      </c>
      <c r="AI428" s="120" t="str">
        <f t="shared" si="221"/>
        <v/>
      </c>
      <c r="AJ428" s="121" t="str">
        <f t="shared" si="233"/>
        <v/>
      </c>
      <c r="AK428" s="121" t="str" cm="1">
        <f t="array" ref="AK428">IF(OR(E428="", H428=""), "",
  IFERROR(
     (
      INDEX($AM$3:$AM$22, MATCH(E428, $AL$3:$AL$22, 1)) +
      (E428 - INDEX($AL$3:$AL$22, MATCH(E428, $AL$3:$AL$22, 1))) *
      (INDEX($AM$3:$AM$22, MATCH(E428, $AL$3:$AL$22, 1)+1) - INDEX($AM$3:$AM$22, MATCH(E428, $AL$3:$AL$22, 1))) /
      (INDEX($AL$3:$AL$22, MATCH(E428, $AL$3:$AL$22, 1)+1) - INDEX($AL$3:$AL$22, MATCH(E428, $AL$3:$AL$22, 1)))
    ) - H428,
    ""
  )
)</f>
        <v/>
      </c>
      <c r="AL428" s="137"/>
      <c r="AM428" s="137"/>
      <c r="AN428" s="138"/>
    </row>
    <row r="429" spans="1:40" x14ac:dyDescent="0.35">
      <c r="A429" s="122">
        <f t="shared" si="241"/>
        <v>3</v>
      </c>
      <c r="B429" s="123">
        <f t="shared" si="241"/>
        <v>19</v>
      </c>
      <c r="C429" s="124" t="str">
        <f t="shared" si="214"/>
        <v/>
      </c>
      <c r="D429" s="125"/>
      <c r="E429" s="124" t="str">
        <f t="shared" si="237"/>
        <v/>
      </c>
      <c r="F429" s="125"/>
      <c r="G429" s="125"/>
      <c r="H429" s="126" t="str">
        <f t="shared" si="215"/>
        <v/>
      </c>
      <c r="I429" s="124" t="str">
        <f t="shared" si="216"/>
        <v/>
      </c>
      <c r="J429" s="125" t="str">
        <f t="shared" si="211"/>
        <v/>
      </c>
      <c r="K429" s="124" t="str">
        <f t="shared" si="238"/>
        <v/>
      </c>
      <c r="L429" s="127"/>
      <c r="M429" s="134"/>
      <c r="N429" s="124" t="str">
        <f t="shared" si="224"/>
        <v/>
      </c>
      <c r="O429" s="124">
        <f t="shared" si="222"/>
        <v>0</v>
      </c>
      <c r="P429" s="128" t="str">
        <f t="shared" si="217"/>
        <v/>
      </c>
      <c r="Q429" s="129" t="str">
        <f t="shared" si="239"/>
        <v/>
      </c>
      <c r="R429" s="124" t="str">
        <f t="shared" si="225"/>
        <v/>
      </c>
      <c r="S429" s="124" t="str">
        <f t="shared" si="223"/>
        <v/>
      </c>
      <c r="T429" s="124" t="str">
        <f t="shared" si="226"/>
        <v/>
      </c>
      <c r="U429" s="124" t="str">
        <f t="shared" si="227"/>
        <v/>
      </c>
      <c r="V429" s="126" t="str">
        <f t="shared" si="235"/>
        <v/>
      </c>
      <c r="W429" s="124" t="str">
        <f t="shared" si="218"/>
        <v/>
      </c>
      <c r="X429" s="124" t="str">
        <f t="shared" si="219"/>
        <v/>
      </c>
      <c r="Y429" s="124" t="str">
        <f t="shared" si="228"/>
        <v/>
      </c>
      <c r="Z429" s="124" t="str">
        <f t="shared" si="240"/>
        <v/>
      </c>
      <c r="AA429" s="130" t="str">
        <f t="shared" si="229"/>
        <v/>
      </c>
      <c r="AB429" s="124" t="str">
        <f t="shared" si="234"/>
        <v/>
      </c>
      <c r="AC429" s="131"/>
      <c r="AD429" s="132" t="str">
        <f t="shared" si="230"/>
        <v/>
      </c>
      <c r="AE429" s="132" t="str">
        <f t="shared" si="230"/>
        <v/>
      </c>
      <c r="AF429" s="132" t="str">
        <f t="shared" si="231"/>
        <v/>
      </c>
      <c r="AG429" s="132" t="str">
        <f t="shared" si="232"/>
        <v/>
      </c>
      <c r="AH429" s="132" t="str">
        <f t="shared" si="220"/>
        <v/>
      </c>
      <c r="AI429" s="132" t="str">
        <f t="shared" si="221"/>
        <v/>
      </c>
      <c r="AJ429" s="133" t="str">
        <f t="shared" si="233"/>
        <v/>
      </c>
      <c r="AK429" s="133" t="str" cm="1">
        <f t="array" ref="AK429">IF(OR(E429="", H429=""), "",
  IFERROR(
     (
      INDEX($AM$3:$AM$22, MATCH(E429, $AL$3:$AL$22, 1)) +
      (E429 - INDEX($AL$3:$AL$22, MATCH(E429, $AL$3:$AL$22, 1))) *
      (INDEX($AM$3:$AM$22, MATCH(E429, $AL$3:$AL$22, 1)+1) - INDEX($AM$3:$AM$22, MATCH(E429, $AL$3:$AL$22, 1))) /
      (INDEX($AL$3:$AL$22, MATCH(E429, $AL$3:$AL$22, 1)+1) - INDEX($AL$3:$AL$22, MATCH(E429, $AL$3:$AL$22, 1)))
    ) - H429,
    ""
  )
)</f>
        <v/>
      </c>
      <c r="AL429" s="135"/>
      <c r="AM429" s="135"/>
      <c r="AN429" s="136"/>
    </row>
    <row r="430" spans="1:40" x14ac:dyDescent="0.35">
      <c r="A430" s="109">
        <f t="shared" si="241"/>
        <v>3</v>
      </c>
      <c r="B430" s="110">
        <f t="shared" si="241"/>
        <v>19</v>
      </c>
      <c r="C430" s="111" t="str">
        <f t="shared" si="214"/>
        <v/>
      </c>
      <c r="D430" s="112"/>
      <c r="E430" s="111" t="str">
        <f t="shared" si="237"/>
        <v/>
      </c>
      <c r="F430" s="112"/>
      <c r="G430" s="112"/>
      <c r="H430" s="113" t="str">
        <f t="shared" si="215"/>
        <v/>
      </c>
      <c r="I430" s="111" t="str">
        <f t="shared" si="216"/>
        <v/>
      </c>
      <c r="J430" s="112" t="str">
        <f t="shared" si="211"/>
        <v/>
      </c>
      <c r="K430" s="111" t="str">
        <f t="shared" si="238"/>
        <v/>
      </c>
      <c r="L430" s="114"/>
      <c r="M430" s="115"/>
      <c r="N430" s="111" t="str">
        <f t="shared" si="224"/>
        <v/>
      </c>
      <c r="O430" s="111">
        <f t="shared" si="222"/>
        <v>0</v>
      </c>
      <c r="P430" s="116" t="str">
        <f t="shared" si="217"/>
        <v/>
      </c>
      <c r="Q430" s="117" t="str">
        <f t="shared" si="239"/>
        <v/>
      </c>
      <c r="R430" s="111" t="str">
        <f t="shared" si="225"/>
        <v/>
      </c>
      <c r="S430" s="111" t="str">
        <f t="shared" si="223"/>
        <v/>
      </c>
      <c r="T430" s="111" t="str">
        <f t="shared" si="226"/>
        <v/>
      </c>
      <c r="U430" s="111" t="str">
        <f t="shared" si="227"/>
        <v/>
      </c>
      <c r="V430" s="113" t="str">
        <f t="shared" si="235"/>
        <v/>
      </c>
      <c r="W430" s="111" t="str">
        <f t="shared" si="218"/>
        <v/>
      </c>
      <c r="X430" s="111" t="str">
        <f t="shared" si="219"/>
        <v/>
      </c>
      <c r="Y430" s="111" t="str">
        <f t="shared" si="228"/>
        <v/>
      </c>
      <c r="Z430" s="111" t="str">
        <f t="shared" si="240"/>
        <v/>
      </c>
      <c r="AA430" s="118" t="str">
        <f t="shared" si="229"/>
        <v/>
      </c>
      <c r="AB430" s="111" t="str">
        <f t="shared" si="234"/>
        <v/>
      </c>
      <c r="AC430" s="119"/>
      <c r="AD430" s="120" t="str">
        <f t="shared" si="230"/>
        <v/>
      </c>
      <c r="AE430" s="120" t="str">
        <f t="shared" si="230"/>
        <v/>
      </c>
      <c r="AF430" s="120" t="str">
        <f t="shared" si="231"/>
        <v/>
      </c>
      <c r="AG430" s="120" t="str">
        <f t="shared" si="232"/>
        <v/>
      </c>
      <c r="AH430" s="120" t="str">
        <f t="shared" si="220"/>
        <v/>
      </c>
      <c r="AI430" s="120" t="str">
        <f t="shared" si="221"/>
        <v/>
      </c>
      <c r="AJ430" s="121" t="str">
        <f t="shared" si="233"/>
        <v/>
      </c>
      <c r="AK430" s="121" t="str" cm="1">
        <f t="array" ref="AK430">IF(OR(E430="", H430=""), "",
  IFERROR(
     (
      INDEX($AM$3:$AM$22, MATCH(E430, $AL$3:$AL$22, 1)) +
      (E430 - INDEX($AL$3:$AL$22, MATCH(E430, $AL$3:$AL$22, 1))) *
      (INDEX($AM$3:$AM$22, MATCH(E430, $AL$3:$AL$22, 1)+1) - INDEX($AM$3:$AM$22, MATCH(E430, $AL$3:$AL$22, 1))) /
      (INDEX($AL$3:$AL$22, MATCH(E430, $AL$3:$AL$22, 1)+1) - INDEX($AL$3:$AL$22, MATCH(E430, $AL$3:$AL$22, 1)))
    ) - H430,
    ""
  )
)</f>
        <v/>
      </c>
      <c r="AL430" s="137"/>
      <c r="AM430" s="137"/>
      <c r="AN430" s="138"/>
    </row>
    <row r="431" spans="1:40" x14ac:dyDescent="0.35">
      <c r="A431" s="122">
        <f t="shared" si="241"/>
        <v>3</v>
      </c>
      <c r="B431" s="123">
        <f t="shared" si="241"/>
        <v>19</v>
      </c>
      <c r="C431" s="124" t="str">
        <f t="shared" si="214"/>
        <v/>
      </c>
      <c r="D431" s="125"/>
      <c r="E431" s="124" t="str">
        <f t="shared" si="237"/>
        <v/>
      </c>
      <c r="F431" s="125"/>
      <c r="G431" s="125"/>
      <c r="H431" s="126" t="str">
        <f t="shared" si="215"/>
        <v/>
      </c>
      <c r="I431" s="124" t="str">
        <f t="shared" si="216"/>
        <v/>
      </c>
      <c r="J431" s="125" t="str">
        <f t="shared" si="211"/>
        <v/>
      </c>
      <c r="K431" s="124" t="str">
        <f t="shared" si="238"/>
        <v/>
      </c>
      <c r="L431" s="127"/>
      <c r="M431" s="134"/>
      <c r="N431" s="124" t="str">
        <f t="shared" si="224"/>
        <v/>
      </c>
      <c r="O431" s="124">
        <f t="shared" si="222"/>
        <v>0</v>
      </c>
      <c r="P431" s="128" t="str">
        <f t="shared" si="217"/>
        <v/>
      </c>
      <c r="Q431" s="129" t="str">
        <f t="shared" si="239"/>
        <v/>
      </c>
      <c r="R431" s="124" t="str">
        <f t="shared" si="225"/>
        <v/>
      </c>
      <c r="S431" s="124" t="str">
        <f t="shared" si="223"/>
        <v/>
      </c>
      <c r="T431" s="124" t="str">
        <f t="shared" si="226"/>
        <v/>
      </c>
      <c r="U431" s="124" t="str">
        <f t="shared" si="227"/>
        <v/>
      </c>
      <c r="V431" s="126" t="str">
        <f t="shared" si="235"/>
        <v/>
      </c>
      <c r="W431" s="124" t="str">
        <f t="shared" si="218"/>
        <v/>
      </c>
      <c r="X431" s="124" t="str">
        <f t="shared" si="219"/>
        <v/>
      </c>
      <c r="Y431" s="124" t="str">
        <f t="shared" si="228"/>
        <v/>
      </c>
      <c r="Z431" s="124" t="str">
        <f t="shared" si="240"/>
        <v/>
      </c>
      <c r="AA431" s="130" t="str">
        <f t="shared" si="229"/>
        <v/>
      </c>
      <c r="AB431" s="124" t="str">
        <f t="shared" si="234"/>
        <v/>
      </c>
      <c r="AC431" s="131"/>
      <c r="AD431" s="132" t="str">
        <f t="shared" si="230"/>
        <v/>
      </c>
      <c r="AE431" s="132" t="str">
        <f t="shared" si="230"/>
        <v/>
      </c>
      <c r="AF431" s="132" t="str">
        <f t="shared" si="231"/>
        <v/>
      </c>
      <c r="AG431" s="132" t="str">
        <f t="shared" si="232"/>
        <v/>
      </c>
      <c r="AH431" s="132" t="str">
        <f t="shared" si="220"/>
        <v/>
      </c>
      <c r="AI431" s="132" t="str">
        <f t="shared" si="221"/>
        <v/>
      </c>
      <c r="AJ431" s="133" t="str">
        <f t="shared" si="233"/>
        <v/>
      </c>
      <c r="AK431" s="133" t="str" cm="1">
        <f t="array" ref="AK431">IF(OR(E431="", H431=""), "",
  IFERROR(
     (
      INDEX($AM$3:$AM$22, MATCH(E431, $AL$3:$AL$22, 1)) +
      (E431 - INDEX($AL$3:$AL$22, MATCH(E431, $AL$3:$AL$22, 1))) *
      (INDEX($AM$3:$AM$22, MATCH(E431, $AL$3:$AL$22, 1)+1) - INDEX($AM$3:$AM$22, MATCH(E431, $AL$3:$AL$22, 1))) /
      (INDEX($AL$3:$AL$22, MATCH(E431, $AL$3:$AL$22, 1)+1) - INDEX($AL$3:$AL$22, MATCH(E431, $AL$3:$AL$22, 1)))
    ) - H431,
    ""
  )
)</f>
        <v/>
      </c>
      <c r="AL431" s="135"/>
      <c r="AM431" s="135"/>
      <c r="AN431" s="136"/>
    </row>
    <row r="432" spans="1:40" x14ac:dyDescent="0.35">
      <c r="A432" s="109">
        <f t="shared" ref="A432:B447" si="242">+A431</f>
        <v>3</v>
      </c>
      <c r="B432" s="110">
        <f t="shared" si="242"/>
        <v>19</v>
      </c>
      <c r="C432" s="111" t="str">
        <f t="shared" si="214"/>
        <v/>
      </c>
      <c r="D432" s="112"/>
      <c r="E432" s="111" t="str">
        <f t="shared" si="237"/>
        <v/>
      </c>
      <c r="F432" s="112"/>
      <c r="G432" s="112"/>
      <c r="H432" s="113" t="str">
        <f t="shared" si="215"/>
        <v/>
      </c>
      <c r="I432" s="111" t="str">
        <f t="shared" si="216"/>
        <v/>
      </c>
      <c r="J432" s="112" t="str">
        <f t="shared" si="211"/>
        <v/>
      </c>
      <c r="K432" s="111" t="str">
        <f t="shared" si="238"/>
        <v/>
      </c>
      <c r="L432" s="114"/>
      <c r="M432" s="115"/>
      <c r="N432" s="111" t="str">
        <f t="shared" si="224"/>
        <v/>
      </c>
      <c r="O432" s="111">
        <f t="shared" si="222"/>
        <v>0</v>
      </c>
      <c r="P432" s="116" t="str">
        <f t="shared" si="217"/>
        <v/>
      </c>
      <c r="Q432" s="117" t="str">
        <f t="shared" si="239"/>
        <v/>
      </c>
      <c r="R432" s="111" t="str">
        <f t="shared" si="225"/>
        <v/>
      </c>
      <c r="S432" s="111" t="str">
        <f t="shared" si="223"/>
        <v/>
      </c>
      <c r="T432" s="111" t="str">
        <f t="shared" si="226"/>
        <v/>
      </c>
      <c r="U432" s="111" t="str">
        <f t="shared" si="227"/>
        <v/>
      </c>
      <c r="V432" s="113" t="str">
        <f t="shared" si="235"/>
        <v/>
      </c>
      <c r="W432" s="111" t="str">
        <f t="shared" si="218"/>
        <v/>
      </c>
      <c r="X432" s="111" t="str">
        <f t="shared" si="219"/>
        <v/>
      </c>
      <c r="Y432" s="111" t="str">
        <f t="shared" si="228"/>
        <v/>
      </c>
      <c r="Z432" s="111" t="str">
        <f t="shared" si="240"/>
        <v/>
      </c>
      <c r="AA432" s="118" t="str">
        <f t="shared" si="229"/>
        <v/>
      </c>
      <c r="AB432" s="111" t="str">
        <f t="shared" si="234"/>
        <v/>
      </c>
      <c r="AC432" s="119"/>
      <c r="AD432" s="120" t="str">
        <f t="shared" si="230"/>
        <v/>
      </c>
      <c r="AE432" s="120" t="str">
        <f t="shared" si="230"/>
        <v/>
      </c>
      <c r="AF432" s="120" t="str">
        <f t="shared" si="231"/>
        <v/>
      </c>
      <c r="AG432" s="120" t="str">
        <f t="shared" si="232"/>
        <v/>
      </c>
      <c r="AH432" s="120" t="str">
        <f t="shared" si="220"/>
        <v/>
      </c>
      <c r="AI432" s="120" t="str">
        <f t="shared" si="221"/>
        <v/>
      </c>
      <c r="AJ432" s="121" t="str">
        <f t="shared" si="233"/>
        <v/>
      </c>
      <c r="AK432" s="121" t="str" cm="1">
        <f t="array" ref="AK432">IF(OR(E432="", H432=""), "",
  IFERROR(
     (
      INDEX($AM$3:$AM$22, MATCH(E432, $AL$3:$AL$22, 1)) +
      (E432 - INDEX($AL$3:$AL$22, MATCH(E432, $AL$3:$AL$22, 1))) *
      (INDEX($AM$3:$AM$22, MATCH(E432, $AL$3:$AL$22, 1)+1) - INDEX($AM$3:$AM$22, MATCH(E432, $AL$3:$AL$22, 1))) /
      (INDEX($AL$3:$AL$22, MATCH(E432, $AL$3:$AL$22, 1)+1) - INDEX($AL$3:$AL$22, MATCH(E432, $AL$3:$AL$22, 1)))
    ) - H432,
    ""
  )
)</f>
        <v/>
      </c>
      <c r="AL432" s="137"/>
      <c r="AM432" s="137"/>
      <c r="AN432" s="138"/>
    </row>
    <row r="433" spans="1:40" x14ac:dyDescent="0.35">
      <c r="A433" s="122">
        <f t="shared" si="242"/>
        <v>3</v>
      </c>
      <c r="B433" s="123">
        <f t="shared" si="242"/>
        <v>19</v>
      </c>
      <c r="C433" s="124" t="str">
        <f t="shared" si="214"/>
        <v/>
      </c>
      <c r="D433" s="125"/>
      <c r="E433" s="124" t="str">
        <f t="shared" si="237"/>
        <v/>
      </c>
      <c r="F433" s="125"/>
      <c r="G433" s="125"/>
      <c r="H433" s="126" t="str">
        <f t="shared" si="215"/>
        <v/>
      </c>
      <c r="I433" s="124" t="str">
        <f t="shared" si="216"/>
        <v/>
      </c>
      <c r="J433" s="125" t="str">
        <f t="shared" si="211"/>
        <v/>
      </c>
      <c r="K433" s="124" t="str">
        <f t="shared" si="238"/>
        <v/>
      </c>
      <c r="L433" s="127"/>
      <c r="M433" s="134"/>
      <c r="N433" s="124" t="str">
        <f t="shared" si="224"/>
        <v/>
      </c>
      <c r="O433" s="124">
        <f t="shared" si="222"/>
        <v>0</v>
      </c>
      <c r="P433" s="128" t="str">
        <f t="shared" si="217"/>
        <v/>
      </c>
      <c r="Q433" s="129" t="str">
        <f t="shared" si="239"/>
        <v/>
      </c>
      <c r="R433" s="124" t="str">
        <f t="shared" si="225"/>
        <v/>
      </c>
      <c r="S433" s="124" t="str">
        <f t="shared" si="223"/>
        <v/>
      </c>
      <c r="T433" s="124" t="str">
        <f t="shared" si="226"/>
        <v/>
      </c>
      <c r="U433" s="124" t="str">
        <f t="shared" si="227"/>
        <v/>
      </c>
      <c r="V433" s="126" t="str">
        <f t="shared" si="235"/>
        <v/>
      </c>
      <c r="W433" s="124" t="str">
        <f t="shared" si="218"/>
        <v/>
      </c>
      <c r="X433" s="124" t="str">
        <f t="shared" si="219"/>
        <v/>
      </c>
      <c r="Y433" s="124" t="str">
        <f t="shared" si="228"/>
        <v/>
      </c>
      <c r="Z433" s="124" t="str">
        <f t="shared" si="240"/>
        <v/>
      </c>
      <c r="AA433" s="130" t="str">
        <f t="shared" si="229"/>
        <v/>
      </c>
      <c r="AB433" s="124" t="str">
        <f t="shared" si="234"/>
        <v/>
      </c>
      <c r="AC433" s="131"/>
      <c r="AD433" s="132" t="str">
        <f t="shared" si="230"/>
        <v/>
      </c>
      <c r="AE433" s="132" t="str">
        <f t="shared" si="230"/>
        <v/>
      </c>
      <c r="AF433" s="132" t="str">
        <f t="shared" si="231"/>
        <v/>
      </c>
      <c r="AG433" s="132" t="str">
        <f t="shared" si="232"/>
        <v/>
      </c>
      <c r="AH433" s="132" t="str">
        <f t="shared" si="220"/>
        <v/>
      </c>
      <c r="AI433" s="132" t="str">
        <f t="shared" si="221"/>
        <v/>
      </c>
      <c r="AJ433" s="133" t="str">
        <f t="shared" si="233"/>
        <v/>
      </c>
      <c r="AK433" s="133" t="str" cm="1">
        <f t="array" ref="AK433">IF(OR(E433="", H433=""), "",
  IFERROR(
     (
      INDEX($AM$3:$AM$22, MATCH(E433, $AL$3:$AL$22, 1)) +
      (E433 - INDEX($AL$3:$AL$22, MATCH(E433, $AL$3:$AL$22, 1))) *
      (INDEX($AM$3:$AM$22, MATCH(E433, $AL$3:$AL$22, 1)+1) - INDEX($AM$3:$AM$22, MATCH(E433, $AL$3:$AL$22, 1))) /
      (INDEX($AL$3:$AL$22, MATCH(E433, $AL$3:$AL$22, 1)+1) - INDEX($AL$3:$AL$22, MATCH(E433, $AL$3:$AL$22, 1)))
    ) - H433,
    ""
  )
)</f>
        <v/>
      </c>
      <c r="AL433" s="135"/>
      <c r="AM433" s="135"/>
      <c r="AN433" s="136"/>
    </row>
    <row r="434" spans="1:40" x14ac:dyDescent="0.35">
      <c r="A434" s="109">
        <f t="shared" si="242"/>
        <v>3</v>
      </c>
      <c r="B434" s="110">
        <f t="shared" si="242"/>
        <v>19</v>
      </c>
      <c r="C434" s="111" t="str">
        <f t="shared" si="214"/>
        <v/>
      </c>
      <c r="D434" s="112"/>
      <c r="E434" s="111" t="str">
        <f t="shared" si="237"/>
        <v/>
      </c>
      <c r="F434" s="112"/>
      <c r="G434" s="112"/>
      <c r="H434" s="113" t="str">
        <f t="shared" si="215"/>
        <v/>
      </c>
      <c r="I434" s="111" t="str">
        <f t="shared" si="216"/>
        <v/>
      </c>
      <c r="J434" s="112" t="str">
        <f t="shared" si="211"/>
        <v/>
      </c>
      <c r="K434" s="111" t="str">
        <f t="shared" si="238"/>
        <v/>
      </c>
      <c r="L434" s="114"/>
      <c r="M434" s="115"/>
      <c r="N434" s="111" t="str">
        <f t="shared" si="224"/>
        <v/>
      </c>
      <c r="O434" s="111">
        <f t="shared" si="222"/>
        <v>0</v>
      </c>
      <c r="P434" s="116" t="str">
        <f t="shared" si="217"/>
        <v/>
      </c>
      <c r="Q434" s="117" t="str">
        <f t="shared" si="239"/>
        <v/>
      </c>
      <c r="R434" s="111" t="str">
        <f t="shared" si="225"/>
        <v/>
      </c>
      <c r="S434" s="111" t="str">
        <f t="shared" si="223"/>
        <v/>
      </c>
      <c r="T434" s="111" t="str">
        <f t="shared" si="226"/>
        <v/>
      </c>
      <c r="U434" s="111" t="str">
        <f t="shared" si="227"/>
        <v/>
      </c>
      <c r="V434" s="113" t="str">
        <f t="shared" si="235"/>
        <v/>
      </c>
      <c r="W434" s="111" t="str">
        <f t="shared" si="218"/>
        <v/>
      </c>
      <c r="X434" s="111" t="str">
        <f t="shared" si="219"/>
        <v/>
      </c>
      <c r="Y434" s="111" t="str">
        <f t="shared" si="228"/>
        <v/>
      </c>
      <c r="Z434" s="111" t="str">
        <f t="shared" si="240"/>
        <v/>
      </c>
      <c r="AA434" s="118" t="str">
        <f t="shared" si="229"/>
        <v/>
      </c>
      <c r="AB434" s="111" t="str">
        <f t="shared" si="234"/>
        <v/>
      </c>
      <c r="AC434" s="119"/>
      <c r="AD434" s="120" t="str">
        <f t="shared" si="230"/>
        <v/>
      </c>
      <c r="AE434" s="120" t="str">
        <f t="shared" si="230"/>
        <v/>
      </c>
      <c r="AF434" s="120" t="str">
        <f t="shared" si="231"/>
        <v/>
      </c>
      <c r="AG434" s="120" t="str">
        <f t="shared" si="232"/>
        <v/>
      </c>
      <c r="AH434" s="120" t="str">
        <f t="shared" si="220"/>
        <v/>
      </c>
      <c r="AI434" s="120" t="str">
        <f t="shared" si="221"/>
        <v/>
      </c>
      <c r="AJ434" s="121" t="str">
        <f t="shared" si="233"/>
        <v/>
      </c>
      <c r="AK434" s="121" t="str" cm="1">
        <f t="array" ref="AK434">IF(OR(E434="", H434=""), "",
  IFERROR(
     (
      INDEX($AM$3:$AM$22, MATCH(E434, $AL$3:$AL$22, 1)) +
      (E434 - INDEX($AL$3:$AL$22, MATCH(E434, $AL$3:$AL$22, 1))) *
      (INDEX($AM$3:$AM$22, MATCH(E434, $AL$3:$AL$22, 1)+1) - INDEX($AM$3:$AM$22, MATCH(E434, $AL$3:$AL$22, 1))) /
      (INDEX($AL$3:$AL$22, MATCH(E434, $AL$3:$AL$22, 1)+1) - INDEX($AL$3:$AL$22, MATCH(E434, $AL$3:$AL$22, 1)))
    ) - H434,
    ""
  )
)</f>
        <v/>
      </c>
      <c r="AL434" s="137"/>
      <c r="AM434" s="137"/>
      <c r="AN434" s="138"/>
    </row>
    <row r="435" spans="1:40" x14ac:dyDescent="0.35">
      <c r="A435" s="122">
        <f t="shared" si="242"/>
        <v>3</v>
      </c>
      <c r="B435" s="123">
        <f t="shared" si="242"/>
        <v>19</v>
      </c>
      <c r="C435" s="124" t="str">
        <f t="shared" si="214"/>
        <v/>
      </c>
      <c r="D435" s="125"/>
      <c r="E435" s="124" t="str">
        <f t="shared" si="237"/>
        <v/>
      </c>
      <c r="F435" s="125"/>
      <c r="G435" s="125"/>
      <c r="H435" s="126" t="str">
        <f t="shared" si="215"/>
        <v/>
      </c>
      <c r="I435" s="124" t="str">
        <f t="shared" si="216"/>
        <v/>
      </c>
      <c r="J435" s="125" t="str">
        <f t="shared" si="211"/>
        <v/>
      </c>
      <c r="K435" s="124" t="str">
        <f t="shared" si="238"/>
        <v/>
      </c>
      <c r="L435" s="127"/>
      <c r="M435" s="134"/>
      <c r="N435" s="124" t="str">
        <f t="shared" si="224"/>
        <v/>
      </c>
      <c r="O435" s="124">
        <f t="shared" si="222"/>
        <v>0</v>
      </c>
      <c r="P435" s="128" t="str">
        <f t="shared" si="217"/>
        <v/>
      </c>
      <c r="Q435" s="129" t="str">
        <f t="shared" si="239"/>
        <v/>
      </c>
      <c r="R435" s="124" t="str">
        <f t="shared" si="225"/>
        <v/>
      </c>
      <c r="S435" s="124" t="str">
        <f t="shared" si="223"/>
        <v/>
      </c>
      <c r="T435" s="124" t="str">
        <f t="shared" si="226"/>
        <v/>
      </c>
      <c r="U435" s="124" t="str">
        <f t="shared" si="227"/>
        <v/>
      </c>
      <c r="V435" s="126" t="str">
        <f t="shared" si="235"/>
        <v/>
      </c>
      <c r="W435" s="124" t="str">
        <f t="shared" si="218"/>
        <v/>
      </c>
      <c r="X435" s="124" t="str">
        <f t="shared" si="219"/>
        <v/>
      </c>
      <c r="Y435" s="124" t="str">
        <f t="shared" si="228"/>
        <v/>
      </c>
      <c r="Z435" s="124" t="str">
        <f t="shared" si="240"/>
        <v/>
      </c>
      <c r="AA435" s="130" t="str">
        <f t="shared" si="229"/>
        <v/>
      </c>
      <c r="AB435" s="124" t="str">
        <f t="shared" si="234"/>
        <v/>
      </c>
      <c r="AC435" s="131"/>
      <c r="AD435" s="132" t="str">
        <f t="shared" si="230"/>
        <v/>
      </c>
      <c r="AE435" s="132" t="str">
        <f t="shared" si="230"/>
        <v/>
      </c>
      <c r="AF435" s="132" t="str">
        <f t="shared" si="231"/>
        <v/>
      </c>
      <c r="AG435" s="132" t="str">
        <f t="shared" si="232"/>
        <v/>
      </c>
      <c r="AH435" s="132" t="str">
        <f t="shared" si="220"/>
        <v/>
      </c>
      <c r="AI435" s="132" t="str">
        <f t="shared" si="221"/>
        <v/>
      </c>
      <c r="AJ435" s="133" t="str">
        <f t="shared" si="233"/>
        <v/>
      </c>
      <c r="AK435" s="133" t="str" cm="1">
        <f t="array" ref="AK435">IF(OR(E435="", H435=""), "",
  IFERROR(
     (
      INDEX($AM$3:$AM$22, MATCH(E435, $AL$3:$AL$22, 1)) +
      (E435 - INDEX($AL$3:$AL$22, MATCH(E435, $AL$3:$AL$22, 1))) *
      (INDEX($AM$3:$AM$22, MATCH(E435, $AL$3:$AL$22, 1)+1) - INDEX($AM$3:$AM$22, MATCH(E435, $AL$3:$AL$22, 1))) /
      (INDEX($AL$3:$AL$22, MATCH(E435, $AL$3:$AL$22, 1)+1) - INDEX($AL$3:$AL$22, MATCH(E435, $AL$3:$AL$22, 1)))
    ) - H435,
    ""
  )
)</f>
        <v/>
      </c>
      <c r="AL435" s="135"/>
      <c r="AM435" s="135"/>
      <c r="AN435" s="136"/>
    </row>
    <row r="436" spans="1:40" x14ac:dyDescent="0.35">
      <c r="A436" s="109">
        <f t="shared" si="242"/>
        <v>3</v>
      </c>
      <c r="B436" s="110">
        <f t="shared" si="242"/>
        <v>19</v>
      </c>
      <c r="C436" s="111" t="str">
        <f t="shared" si="214"/>
        <v/>
      </c>
      <c r="D436" s="112"/>
      <c r="E436" s="111" t="str">
        <f t="shared" si="237"/>
        <v/>
      </c>
      <c r="F436" s="112"/>
      <c r="G436" s="112"/>
      <c r="H436" s="113" t="str">
        <f t="shared" si="215"/>
        <v/>
      </c>
      <c r="I436" s="111" t="str">
        <f t="shared" si="216"/>
        <v/>
      </c>
      <c r="J436" s="112" t="str">
        <f t="shared" si="211"/>
        <v/>
      </c>
      <c r="K436" s="111" t="str">
        <f t="shared" si="238"/>
        <v/>
      </c>
      <c r="L436" s="114"/>
      <c r="M436" s="115"/>
      <c r="N436" s="111" t="str">
        <f t="shared" si="224"/>
        <v/>
      </c>
      <c r="O436" s="111">
        <f t="shared" si="222"/>
        <v>0</v>
      </c>
      <c r="P436" s="116" t="str">
        <f t="shared" si="217"/>
        <v/>
      </c>
      <c r="Q436" s="117" t="str">
        <f t="shared" si="239"/>
        <v/>
      </c>
      <c r="R436" s="111" t="str">
        <f t="shared" si="225"/>
        <v/>
      </c>
      <c r="S436" s="111" t="str">
        <f t="shared" si="223"/>
        <v/>
      </c>
      <c r="T436" s="111" t="str">
        <f t="shared" si="226"/>
        <v/>
      </c>
      <c r="U436" s="111" t="str">
        <f t="shared" si="227"/>
        <v/>
      </c>
      <c r="V436" s="113" t="str">
        <f t="shared" si="235"/>
        <v/>
      </c>
      <c r="W436" s="111" t="str">
        <f t="shared" si="218"/>
        <v/>
      </c>
      <c r="X436" s="111" t="str">
        <f t="shared" si="219"/>
        <v/>
      </c>
      <c r="Y436" s="111" t="str">
        <f t="shared" si="228"/>
        <v/>
      </c>
      <c r="Z436" s="111" t="str">
        <f t="shared" si="240"/>
        <v/>
      </c>
      <c r="AA436" s="118" t="str">
        <f t="shared" si="229"/>
        <v/>
      </c>
      <c r="AB436" s="111" t="str">
        <f t="shared" si="234"/>
        <v/>
      </c>
      <c r="AC436" s="119"/>
      <c r="AD436" s="120" t="str">
        <f t="shared" si="230"/>
        <v/>
      </c>
      <c r="AE436" s="120" t="str">
        <f t="shared" si="230"/>
        <v/>
      </c>
      <c r="AF436" s="120" t="str">
        <f t="shared" si="231"/>
        <v/>
      </c>
      <c r="AG436" s="120" t="str">
        <f t="shared" si="232"/>
        <v/>
      </c>
      <c r="AH436" s="120" t="str">
        <f t="shared" si="220"/>
        <v/>
      </c>
      <c r="AI436" s="120" t="str">
        <f t="shared" si="221"/>
        <v/>
      </c>
      <c r="AJ436" s="121" t="str">
        <f t="shared" si="233"/>
        <v/>
      </c>
      <c r="AK436" s="121" t="str" cm="1">
        <f t="array" ref="AK436">IF(OR(E436="", H436=""), "",
  IFERROR(
     (
      INDEX($AM$3:$AM$22, MATCH(E436, $AL$3:$AL$22, 1)) +
      (E436 - INDEX($AL$3:$AL$22, MATCH(E436, $AL$3:$AL$22, 1))) *
      (INDEX($AM$3:$AM$22, MATCH(E436, $AL$3:$AL$22, 1)+1) - INDEX($AM$3:$AM$22, MATCH(E436, $AL$3:$AL$22, 1))) /
      (INDEX($AL$3:$AL$22, MATCH(E436, $AL$3:$AL$22, 1)+1) - INDEX($AL$3:$AL$22, MATCH(E436, $AL$3:$AL$22, 1)))
    ) - H436,
    ""
  )
)</f>
        <v/>
      </c>
      <c r="AL436" s="137"/>
      <c r="AM436" s="137"/>
      <c r="AN436" s="138"/>
    </row>
    <row r="437" spans="1:40" x14ac:dyDescent="0.35">
      <c r="A437" s="122">
        <f t="shared" si="242"/>
        <v>3</v>
      </c>
      <c r="B437" s="123">
        <f t="shared" si="242"/>
        <v>19</v>
      </c>
      <c r="C437" s="124" t="str">
        <f t="shared" si="214"/>
        <v/>
      </c>
      <c r="D437" s="125"/>
      <c r="E437" s="124" t="str">
        <f t="shared" si="237"/>
        <v/>
      </c>
      <c r="F437" s="125"/>
      <c r="G437" s="125"/>
      <c r="H437" s="126" t="str">
        <f t="shared" si="215"/>
        <v/>
      </c>
      <c r="I437" s="124" t="str">
        <f t="shared" si="216"/>
        <v/>
      </c>
      <c r="J437" s="125" t="str">
        <f t="shared" si="211"/>
        <v/>
      </c>
      <c r="K437" s="124" t="str">
        <f t="shared" si="238"/>
        <v/>
      </c>
      <c r="L437" s="127"/>
      <c r="M437" s="134"/>
      <c r="N437" s="124" t="str">
        <f t="shared" si="224"/>
        <v/>
      </c>
      <c r="O437" s="124">
        <f t="shared" si="222"/>
        <v>0</v>
      </c>
      <c r="P437" s="128" t="str">
        <f t="shared" si="217"/>
        <v/>
      </c>
      <c r="Q437" s="129" t="str">
        <f t="shared" si="239"/>
        <v/>
      </c>
      <c r="R437" s="124" t="str">
        <f t="shared" si="225"/>
        <v/>
      </c>
      <c r="S437" s="124" t="str">
        <f t="shared" si="223"/>
        <v/>
      </c>
      <c r="T437" s="124" t="str">
        <f t="shared" si="226"/>
        <v/>
      </c>
      <c r="U437" s="124" t="str">
        <f t="shared" si="227"/>
        <v/>
      </c>
      <c r="V437" s="126" t="str">
        <f t="shared" si="235"/>
        <v/>
      </c>
      <c r="W437" s="124" t="str">
        <f t="shared" si="218"/>
        <v/>
      </c>
      <c r="X437" s="124" t="str">
        <f t="shared" si="219"/>
        <v/>
      </c>
      <c r="Y437" s="124" t="str">
        <f t="shared" si="228"/>
        <v/>
      </c>
      <c r="Z437" s="124" t="str">
        <f t="shared" si="240"/>
        <v/>
      </c>
      <c r="AA437" s="130" t="str">
        <f t="shared" si="229"/>
        <v/>
      </c>
      <c r="AB437" s="124" t="str">
        <f t="shared" si="234"/>
        <v/>
      </c>
      <c r="AC437" s="131"/>
      <c r="AD437" s="132" t="str">
        <f t="shared" si="230"/>
        <v/>
      </c>
      <c r="AE437" s="132" t="str">
        <f t="shared" si="230"/>
        <v/>
      </c>
      <c r="AF437" s="132" t="str">
        <f t="shared" si="231"/>
        <v/>
      </c>
      <c r="AG437" s="132" t="str">
        <f t="shared" si="232"/>
        <v/>
      </c>
      <c r="AH437" s="132" t="str">
        <f t="shared" si="220"/>
        <v/>
      </c>
      <c r="AI437" s="132" t="str">
        <f t="shared" si="221"/>
        <v/>
      </c>
      <c r="AJ437" s="133" t="str">
        <f t="shared" si="233"/>
        <v/>
      </c>
      <c r="AK437" s="133" t="str" cm="1">
        <f t="array" ref="AK437">IF(OR(E437="", H437=""), "",
  IFERROR(
     (
      INDEX($AM$3:$AM$22, MATCH(E437, $AL$3:$AL$22, 1)) +
      (E437 - INDEX($AL$3:$AL$22, MATCH(E437, $AL$3:$AL$22, 1))) *
      (INDEX($AM$3:$AM$22, MATCH(E437, $AL$3:$AL$22, 1)+1) - INDEX($AM$3:$AM$22, MATCH(E437, $AL$3:$AL$22, 1))) /
      (INDEX($AL$3:$AL$22, MATCH(E437, $AL$3:$AL$22, 1)+1) - INDEX($AL$3:$AL$22, MATCH(E437, $AL$3:$AL$22, 1)))
    ) - H437,
    ""
  )
)</f>
        <v/>
      </c>
      <c r="AL437" s="135"/>
      <c r="AM437" s="135"/>
      <c r="AN437" s="136"/>
    </row>
    <row r="438" spans="1:40" x14ac:dyDescent="0.35">
      <c r="A438" s="109">
        <f t="shared" si="242"/>
        <v>3</v>
      </c>
      <c r="B438" s="110">
        <f t="shared" si="242"/>
        <v>19</v>
      </c>
      <c r="C438" s="111" t="str">
        <f t="shared" si="214"/>
        <v/>
      </c>
      <c r="D438" s="112"/>
      <c r="E438" s="111" t="str">
        <f t="shared" si="237"/>
        <v/>
      </c>
      <c r="F438" s="112"/>
      <c r="G438" s="112"/>
      <c r="H438" s="113" t="str">
        <f t="shared" si="215"/>
        <v/>
      </c>
      <c r="I438" s="111" t="str">
        <f t="shared" si="216"/>
        <v/>
      </c>
      <c r="J438" s="112" t="str">
        <f t="shared" ref="J438:J501" si="243">IF(L438="","",D438)</f>
        <v/>
      </c>
      <c r="K438" s="111" t="str">
        <f t="shared" si="238"/>
        <v/>
      </c>
      <c r="L438" s="114"/>
      <c r="M438" s="115"/>
      <c r="N438" s="111" t="str">
        <f t="shared" si="224"/>
        <v/>
      </c>
      <c r="O438" s="111">
        <f t="shared" si="222"/>
        <v>0</v>
      </c>
      <c r="P438" s="116" t="str">
        <f t="shared" si="217"/>
        <v/>
      </c>
      <c r="Q438" s="117" t="str">
        <f t="shared" si="239"/>
        <v/>
      </c>
      <c r="R438" s="111" t="str">
        <f t="shared" si="225"/>
        <v/>
      </c>
      <c r="S438" s="111" t="str">
        <f t="shared" si="223"/>
        <v/>
      </c>
      <c r="T438" s="111" t="str">
        <f t="shared" si="226"/>
        <v/>
      </c>
      <c r="U438" s="111" t="str">
        <f t="shared" si="227"/>
        <v/>
      </c>
      <c r="V438" s="113" t="str">
        <f t="shared" si="235"/>
        <v/>
      </c>
      <c r="W438" s="111" t="str">
        <f t="shared" si="218"/>
        <v/>
      </c>
      <c r="X438" s="111" t="str">
        <f t="shared" si="219"/>
        <v/>
      </c>
      <c r="Y438" s="111" t="str">
        <f t="shared" si="228"/>
        <v/>
      </c>
      <c r="Z438" s="111" t="str">
        <f t="shared" si="240"/>
        <v/>
      </c>
      <c r="AA438" s="118" t="str">
        <f t="shared" si="229"/>
        <v/>
      </c>
      <c r="AB438" s="111" t="str">
        <f t="shared" si="234"/>
        <v/>
      </c>
      <c r="AC438" s="119"/>
      <c r="AD438" s="120" t="str">
        <f t="shared" si="230"/>
        <v/>
      </c>
      <c r="AE438" s="120" t="str">
        <f t="shared" si="230"/>
        <v/>
      </c>
      <c r="AF438" s="120" t="str">
        <f t="shared" si="231"/>
        <v/>
      </c>
      <c r="AG438" s="120" t="str">
        <f t="shared" si="232"/>
        <v/>
      </c>
      <c r="AH438" s="120" t="str">
        <f t="shared" si="220"/>
        <v/>
      </c>
      <c r="AI438" s="120" t="str">
        <f t="shared" si="221"/>
        <v/>
      </c>
      <c r="AJ438" s="121" t="str">
        <f t="shared" si="233"/>
        <v/>
      </c>
      <c r="AK438" s="121" t="str" cm="1">
        <f t="array" ref="AK438">IF(OR(E438="", H438=""), "",
  IFERROR(
     (
      INDEX($AM$3:$AM$22, MATCH(E438, $AL$3:$AL$22, 1)) +
      (E438 - INDEX($AL$3:$AL$22, MATCH(E438, $AL$3:$AL$22, 1))) *
      (INDEX($AM$3:$AM$22, MATCH(E438, $AL$3:$AL$22, 1)+1) - INDEX($AM$3:$AM$22, MATCH(E438, $AL$3:$AL$22, 1))) /
      (INDEX($AL$3:$AL$22, MATCH(E438, $AL$3:$AL$22, 1)+1) - INDEX($AL$3:$AL$22, MATCH(E438, $AL$3:$AL$22, 1)))
    ) - H438,
    ""
  )
)</f>
        <v/>
      </c>
      <c r="AL438" s="137"/>
      <c r="AM438" s="137"/>
      <c r="AN438" s="138"/>
    </row>
    <row r="439" spans="1:40" x14ac:dyDescent="0.35">
      <c r="A439" s="122">
        <f t="shared" si="242"/>
        <v>3</v>
      </c>
      <c r="B439" s="123">
        <f t="shared" si="242"/>
        <v>19</v>
      </c>
      <c r="C439" s="124" t="str">
        <f t="shared" si="214"/>
        <v/>
      </c>
      <c r="D439" s="125"/>
      <c r="E439" s="124" t="str">
        <f t="shared" si="237"/>
        <v/>
      </c>
      <c r="F439" s="125"/>
      <c r="G439" s="125"/>
      <c r="H439" s="126" t="str">
        <f t="shared" si="215"/>
        <v/>
      </c>
      <c r="I439" s="124" t="str">
        <f t="shared" si="216"/>
        <v/>
      </c>
      <c r="J439" s="125" t="str">
        <f t="shared" si="243"/>
        <v/>
      </c>
      <c r="K439" s="124" t="str">
        <f t="shared" si="238"/>
        <v/>
      </c>
      <c r="L439" s="127"/>
      <c r="M439" s="134"/>
      <c r="N439" s="124" t="str">
        <f t="shared" si="224"/>
        <v/>
      </c>
      <c r="O439" s="124">
        <f t="shared" si="222"/>
        <v>0</v>
      </c>
      <c r="P439" s="128" t="str">
        <f t="shared" si="217"/>
        <v/>
      </c>
      <c r="Q439" s="129" t="str">
        <f t="shared" si="239"/>
        <v/>
      </c>
      <c r="R439" s="124" t="str">
        <f t="shared" si="225"/>
        <v/>
      </c>
      <c r="S439" s="124" t="str">
        <f t="shared" si="223"/>
        <v/>
      </c>
      <c r="T439" s="124" t="str">
        <f t="shared" si="226"/>
        <v/>
      </c>
      <c r="U439" s="124" t="str">
        <f t="shared" si="227"/>
        <v/>
      </c>
      <c r="V439" s="126" t="str">
        <f t="shared" si="235"/>
        <v/>
      </c>
      <c r="W439" s="124" t="str">
        <f t="shared" si="218"/>
        <v/>
      </c>
      <c r="X439" s="124" t="str">
        <f t="shared" si="219"/>
        <v/>
      </c>
      <c r="Y439" s="124" t="str">
        <f t="shared" si="228"/>
        <v/>
      </c>
      <c r="Z439" s="124" t="str">
        <f t="shared" si="240"/>
        <v/>
      </c>
      <c r="AA439" s="130" t="str">
        <f t="shared" si="229"/>
        <v/>
      </c>
      <c r="AB439" s="124" t="str">
        <f t="shared" si="234"/>
        <v/>
      </c>
      <c r="AC439" s="131"/>
      <c r="AD439" s="132" t="str">
        <f t="shared" si="230"/>
        <v/>
      </c>
      <c r="AE439" s="132" t="str">
        <f t="shared" si="230"/>
        <v/>
      </c>
      <c r="AF439" s="132" t="str">
        <f t="shared" si="231"/>
        <v/>
      </c>
      <c r="AG439" s="132" t="str">
        <f t="shared" si="232"/>
        <v/>
      </c>
      <c r="AH439" s="132" t="str">
        <f t="shared" si="220"/>
        <v/>
      </c>
      <c r="AI439" s="132" t="str">
        <f t="shared" si="221"/>
        <v/>
      </c>
      <c r="AJ439" s="133" t="str">
        <f t="shared" si="233"/>
        <v/>
      </c>
      <c r="AK439" s="133" t="str" cm="1">
        <f t="array" ref="AK439">IF(OR(E439="", H439=""), "",
  IFERROR(
     (
      INDEX($AM$3:$AM$22, MATCH(E439, $AL$3:$AL$22, 1)) +
      (E439 - INDEX($AL$3:$AL$22, MATCH(E439, $AL$3:$AL$22, 1))) *
      (INDEX($AM$3:$AM$22, MATCH(E439, $AL$3:$AL$22, 1)+1) - INDEX($AM$3:$AM$22, MATCH(E439, $AL$3:$AL$22, 1))) /
      (INDEX($AL$3:$AL$22, MATCH(E439, $AL$3:$AL$22, 1)+1) - INDEX($AL$3:$AL$22, MATCH(E439, $AL$3:$AL$22, 1)))
    ) - H439,
    ""
  )
)</f>
        <v/>
      </c>
      <c r="AL439" s="135"/>
      <c r="AM439" s="135"/>
      <c r="AN439" s="136"/>
    </row>
    <row r="440" spans="1:40" x14ac:dyDescent="0.35">
      <c r="A440" s="109">
        <f t="shared" si="242"/>
        <v>3</v>
      </c>
      <c r="B440" s="110">
        <f t="shared" si="242"/>
        <v>19</v>
      </c>
      <c r="C440" s="111" t="str">
        <f t="shared" si="214"/>
        <v/>
      </c>
      <c r="D440" s="112"/>
      <c r="E440" s="111" t="str">
        <f t="shared" si="237"/>
        <v/>
      </c>
      <c r="F440" s="112"/>
      <c r="G440" s="112"/>
      <c r="H440" s="113" t="str">
        <f t="shared" si="215"/>
        <v/>
      </c>
      <c r="I440" s="111" t="str">
        <f t="shared" si="216"/>
        <v/>
      </c>
      <c r="J440" s="112" t="str">
        <f t="shared" si="243"/>
        <v/>
      </c>
      <c r="K440" s="111" t="str">
        <f t="shared" si="238"/>
        <v/>
      </c>
      <c r="L440" s="114"/>
      <c r="M440" s="115"/>
      <c r="N440" s="111" t="str">
        <f t="shared" si="224"/>
        <v/>
      </c>
      <c r="O440" s="111">
        <f t="shared" si="222"/>
        <v>0</v>
      </c>
      <c r="P440" s="116" t="str">
        <f t="shared" si="217"/>
        <v/>
      </c>
      <c r="Q440" s="117" t="str">
        <f t="shared" si="239"/>
        <v/>
      </c>
      <c r="R440" s="111" t="str">
        <f t="shared" si="225"/>
        <v/>
      </c>
      <c r="S440" s="111" t="str">
        <f t="shared" si="223"/>
        <v/>
      </c>
      <c r="T440" s="111" t="str">
        <f t="shared" si="226"/>
        <v/>
      </c>
      <c r="U440" s="111" t="str">
        <f t="shared" si="227"/>
        <v/>
      </c>
      <c r="V440" s="113" t="str">
        <f t="shared" si="235"/>
        <v/>
      </c>
      <c r="W440" s="111" t="str">
        <f t="shared" si="218"/>
        <v/>
      </c>
      <c r="X440" s="111" t="str">
        <f t="shared" si="219"/>
        <v/>
      </c>
      <c r="Y440" s="111" t="str">
        <f t="shared" si="228"/>
        <v/>
      </c>
      <c r="Z440" s="111" t="str">
        <f t="shared" si="240"/>
        <v/>
      </c>
      <c r="AA440" s="118" t="str">
        <f t="shared" si="229"/>
        <v/>
      </c>
      <c r="AB440" s="111" t="str">
        <f t="shared" si="234"/>
        <v/>
      </c>
      <c r="AC440" s="119"/>
      <c r="AD440" s="120" t="str">
        <f t="shared" si="230"/>
        <v/>
      </c>
      <c r="AE440" s="120" t="str">
        <f t="shared" si="230"/>
        <v/>
      </c>
      <c r="AF440" s="120" t="str">
        <f t="shared" si="231"/>
        <v/>
      </c>
      <c r="AG440" s="120" t="str">
        <f t="shared" si="232"/>
        <v/>
      </c>
      <c r="AH440" s="120" t="str">
        <f t="shared" si="220"/>
        <v/>
      </c>
      <c r="AI440" s="120" t="str">
        <f t="shared" si="221"/>
        <v/>
      </c>
      <c r="AJ440" s="121" t="str">
        <f t="shared" si="233"/>
        <v/>
      </c>
      <c r="AK440" s="121" t="str" cm="1">
        <f t="array" ref="AK440">IF(OR(E440="", H440=""), "",
  IFERROR(
     (
      INDEX($AM$3:$AM$22, MATCH(E440, $AL$3:$AL$22, 1)) +
      (E440 - INDEX($AL$3:$AL$22, MATCH(E440, $AL$3:$AL$22, 1))) *
      (INDEX($AM$3:$AM$22, MATCH(E440, $AL$3:$AL$22, 1)+1) - INDEX($AM$3:$AM$22, MATCH(E440, $AL$3:$AL$22, 1))) /
      (INDEX($AL$3:$AL$22, MATCH(E440, $AL$3:$AL$22, 1)+1) - INDEX($AL$3:$AL$22, MATCH(E440, $AL$3:$AL$22, 1)))
    ) - H440,
    ""
  )
)</f>
        <v/>
      </c>
      <c r="AL440" s="137"/>
      <c r="AM440" s="137"/>
      <c r="AN440" s="138"/>
    </row>
    <row r="441" spans="1:40" x14ac:dyDescent="0.35">
      <c r="A441" s="122">
        <f t="shared" si="242"/>
        <v>3</v>
      </c>
      <c r="B441" s="123">
        <f t="shared" si="242"/>
        <v>19</v>
      </c>
      <c r="C441" s="124" t="str">
        <f t="shared" si="214"/>
        <v/>
      </c>
      <c r="D441" s="125"/>
      <c r="E441" s="124" t="str">
        <f t="shared" si="237"/>
        <v/>
      </c>
      <c r="F441" s="125"/>
      <c r="G441" s="125"/>
      <c r="H441" s="126" t="str">
        <f t="shared" si="215"/>
        <v/>
      </c>
      <c r="I441" s="124" t="str">
        <f t="shared" si="216"/>
        <v/>
      </c>
      <c r="J441" s="125" t="str">
        <f t="shared" si="243"/>
        <v/>
      </c>
      <c r="K441" s="124" t="str">
        <f t="shared" si="238"/>
        <v/>
      </c>
      <c r="L441" s="127"/>
      <c r="M441" s="134"/>
      <c r="N441" s="124" t="str">
        <f t="shared" si="224"/>
        <v/>
      </c>
      <c r="O441" s="124">
        <f t="shared" si="222"/>
        <v>0</v>
      </c>
      <c r="P441" s="128" t="str">
        <f t="shared" si="217"/>
        <v/>
      </c>
      <c r="Q441" s="129" t="str">
        <f t="shared" si="239"/>
        <v/>
      </c>
      <c r="R441" s="124" t="str">
        <f t="shared" si="225"/>
        <v/>
      </c>
      <c r="S441" s="124" t="str">
        <f t="shared" si="223"/>
        <v/>
      </c>
      <c r="T441" s="124" t="str">
        <f t="shared" si="226"/>
        <v/>
      </c>
      <c r="U441" s="124" t="str">
        <f t="shared" si="227"/>
        <v/>
      </c>
      <c r="V441" s="126" t="str">
        <f t="shared" si="235"/>
        <v/>
      </c>
      <c r="W441" s="124" t="str">
        <f t="shared" si="218"/>
        <v/>
      </c>
      <c r="X441" s="124" t="str">
        <f t="shared" si="219"/>
        <v/>
      </c>
      <c r="Y441" s="124" t="str">
        <f t="shared" si="228"/>
        <v/>
      </c>
      <c r="Z441" s="124" t="str">
        <f t="shared" si="240"/>
        <v/>
      </c>
      <c r="AA441" s="130" t="str">
        <f t="shared" si="229"/>
        <v/>
      </c>
      <c r="AB441" s="124" t="str">
        <f t="shared" si="234"/>
        <v/>
      </c>
      <c r="AC441" s="131"/>
      <c r="AD441" s="132" t="str">
        <f t="shared" si="230"/>
        <v/>
      </c>
      <c r="AE441" s="132" t="str">
        <f t="shared" si="230"/>
        <v/>
      </c>
      <c r="AF441" s="132" t="str">
        <f t="shared" si="231"/>
        <v/>
      </c>
      <c r="AG441" s="132" t="str">
        <f t="shared" si="232"/>
        <v/>
      </c>
      <c r="AH441" s="132" t="str">
        <f t="shared" si="220"/>
        <v/>
      </c>
      <c r="AI441" s="132" t="str">
        <f t="shared" si="221"/>
        <v/>
      </c>
      <c r="AJ441" s="133" t="str">
        <f t="shared" si="233"/>
        <v/>
      </c>
      <c r="AK441" s="133" t="str" cm="1">
        <f t="array" ref="AK441">IF(OR(E441="", H441=""), "",
  IFERROR(
     (
      INDEX($AM$3:$AM$22, MATCH(E441, $AL$3:$AL$22, 1)) +
      (E441 - INDEX($AL$3:$AL$22, MATCH(E441, $AL$3:$AL$22, 1))) *
      (INDEX($AM$3:$AM$22, MATCH(E441, $AL$3:$AL$22, 1)+1) - INDEX($AM$3:$AM$22, MATCH(E441, $AL$3:$AL$22, 1))) /
      (INDEX($AL$3:$AL$22, MATCH(E441, $AL$3:$AL$22, 1)+1) - INDEX($AL$3:$AL$22, MATCH(E441, $AL$3:$AL$22, 1)))
    ) - H441,
    ""
  )
)</f>
        <v/>
      </c>
      <c r="AL441" s="135"/>
      <c r="AM441" s="135"/>
      <c r="AN441" s="136"/>
    </row>
    <row r="442" spans="1:40" x14ac:dyDescent="0.35">
      <c r="A442" s="109">
        <f t="shared" si="242"/>
        <v>3</v>
      </c>
      <c r="B442" s="110">
        <f t="shared" si="242"/>
        <v>19</v>
      </c>
      <c r="C442" s="111" t="str">
        <f t="shared" si="214"/>
        <v/>
      </c>
      <c r="D442" s="112"/>
      <c r="E442" s="111" t="str">
        <f t="shared" si="237"/>
        <v/>
      </c>
      <c r="F442" s="112"/>
      <c r="G442" s="112"/>
      <c r="H442" s="113" t="str">
        <f t="shared" si="215"/>
        <v/>
      </c>
      <c r="I442" s="111" t="str">
        <f t="shared" si="216"/>
        <v/>
      </c>
      <c r="J442" s="112" t="str">
        <f t="shared" si="243"/>
        <v/>
      </c>
      <c r="K442" s="111" t="str">
        <f t="shared" si="238"/>
        <v/>
      </c>
      <c r="L442" s="114"/>
      <c r="M442" s="115"/>
      <c r="N442" s="111" t="str">
        <f t="shared" si="224"/>
        <v/>
      </c>
      <c r="O442" s="111">
        <f t="shared" si="222"/>
        <v>0</v>
      </c>
      <c r="P442" s="116" t="str">
        <f t="shared" si="217"/>
        <v/>
      </c>
      <c r="Q442" s="117" t="str">
        <f t="shared" si="239"/>
        <v/>
      </c>
      <c r="R442" s="111" t="str">
        <f t="shared" si="225"/>
        <v/>
      </c>
      <c r="S442" s="111" t="str">
        <f t="shared" si="223"/>
        <v/>
      </c>
      <c r="T442" s="111" t="str">
        <f t="shared" si="226"/>
        <v/>
      </c>
      <c r="U442" s="111" t="str">
        <f t="shared" si="227"/>
        <v/>
      </c>
      <c r="V442" s="113" t="str">
        <f t="shared" si="235"/>
        <v/>
      </c>
      <c r="W442" s="111" t="str">
        <f t="shared" si="218"/>
        <v/>
      </c>
      <c r="X442" s="111" t="str">
        <f t="shared" si="219"/>
        <v/>
      </c>
      <c r="Y442" s="111" t="str">
        <f t="shared" si="228"/>
        <v/>
      </c>
      <c r="Z442" s="111" t="str">
        <f t="shared" si="240"/>
        <v/>
      </c>
      <c r="AA442" s="118" t="str">
        <f t="shared" si="229"/>
        <v/>
      </c>
      <c r="AB442" s="111" t="str">
        <f t="shared" si="234"/>
        <v/>
      </c>
      <c r="AC442" s="119"/>
      <c r="AD442" s="120" t="str">
        <f t="shared" si="230"/>
        <v/>
      </c>
      <c r="AE442" s="120" t="str">
        <f t="shared" si="230"/>
        <v/>
      </c>
      <c r="AF442" s="120" t="str">
        <f t="shared" si="231"/>
        <v/>
      </c>
      <c r="AG442" s="120" t="str">
        <f t="shared" si="232"/>
        <v/>
      </c>
      <c r="AH442" s="120" t="str">
        <f t="shared" si="220"/>
        <v/>
      </c>
      <c r="AI442" s="120" t="str">
        <f t="shared" si="221"/>
        <v/>
      </c>
      <c r="AJ442" s="121" t="str">
        <f t="shared" si="233"/>
        <v/>
      </c>
      <c r="AK442" s="121" t="str" cm="1">
        <f t="array" ref="AK442">IF(OR(E442="", H442=""), "",
  IFERROR(
     (
      INDEX($AM$3:$AM$22, MATCH(E442, $AL$3:$AL$22, 1)) +
      (E442 - INDEX($AL$3:$AL$22, MATCH(E442, $AL$3:$AL$22, 1))) *
      (INDEX($AM$3:$AM$22, MATCH(E442, $AL$3:$AL$22, 1)+1) - INDEX($AM$3:$AM$22, MATCH(E442, $AL$3:$AL$22, 1))) /
      (INDEX($AL$3:$AL$22, MATCH(E442, $AL$3:$AL$22, 1)+1) - INDEX($AL$3:$AL$22, MATCH(E442, $AL$3:$AL$22, 1)))
    ) - H442,
    ""
  )
)</f>
        <v/>
      </c>
      <c r="AL442" s="137"/>
      <c r="AM442" s="137"/>
      <c r="AN442" s="138"/>
    </row>
    <row r="443" spans="1:40" x14ac:dyDescent="0.35">
      <c r="A443" s="122">
        <f t="shared" si="242"/>
        <v>3</v>
      </c>
      <c r="B443" s="123">
        <f t="shared" si="242"/>
        <v>19</v>
      </c>
      <c r="C443" s="124" t="str">
        <f t="shared" si="214"/>
        <v/>
      </c>
      <c r="D443" s="125"/>
      <c r="E443" s="124" t="str">
        <f t="shared" si="237"/>
        <v/>
      </c>
      <c r="F443" s="125"/>
      <c r="G443" s="125"/>
      <c r="H443" s="126" t="str">
        <f t="shared" si="215"/>
        <v/>
      </c>
      <c r="I443" s="124" t="str">
        <f t="shared" si="216"/>
        <v/>
      </c>
      <c r="J443" s="125" t="str">
        <f t="shared" si="243"/>
        <v/>
      </c>
      <c r="K443" s="124" t="str">
        <f t="shared" si="238"/>
        <v/>
      </c>
      <c r="L443" s="127"/>
      <c r="M443" s="134"/>
      <c r="N443" s="124" t="str">
        <f t="shared" si="224"/>
        <v/>
      </c>
      <c r="O443" s="124">
        <f t="shared" si="222"/>
        <v>0</v>
      </c>
      <c r="P443" s="128" t="str">
        <f t="shared" si="217"/>
        <v/>
      </c>
      <c r="Q443" s="129" t="str">
        <f t="shared" si="239"/>
        <v/>
      </c>
      <c r="R443" s="124" t="str">
        <f t="shared" si="225"/>
        <v/>
      </c>
      <c r="S443" s="124" t="str">
        <f t="shared" si="223"/>
        <v/>
      </c>
      <c r="T443" s="124" t="str">
        <f t="shared" si="226"/>
        <v/>
      </c>
      <c r="U443" s="124" t="str">
        <f t="shared" si="227"/>
        <v/>
      </c>
      <c r="V443" s="126" t="str">
        <f t="shared" si="235"/>
        <v/>
      </c>
      <c r="W443" s="124" t="str">
        <f t="shared" si="218"/>
        <v/>
      </c>
      <c r="X443" s="124" t="str">
        <f t="shared" si="219"/>
        <v/>
      </c>
      <c r="Y443" s="124" t="str">
        <f t="shared" si="228"/>
        <v/>
      </c>
      <c r="Z443" s="124" t="str">
        <f t="shared" si="240"/>
        <v/>
      </c>
      <c r="AA443" s="130" t="str">
        <f t="shared" si="229"/>
        <v/>
      </c>
      <c r="AB443" s="124" t="str">
        <f t="shared" si="234"/>
        <v/>
      </c>
      <c r="AC443" s="131"/>
      <c r="AD443" s="132" t="str">
        <f t="shared" si="230"/>
        <v/>
      </c>
      <c r="AE443" s="132" t="str">
        <f t="shared" si="230"/>
        <v/>
      </c>
      <c r="AF443" s="132" t="str">
        <f t="shared" si="231"/>
        <v/>
      </c>
      <c r="AG443" s="132" t="str">
        <f t="shared" si="232"/>
        <v/>
      </c>
      <c r="AH443" s="132" t="str">
        <f t="shared" si="220"/>
        <v/>
      </c>
      <c r="AI443" s="132" t="str">
        <f t="shared" si="221"/>
        <v/>
      </c>
      <c r="AJ443" s="133" t="str">
        <f t="shared" si="233"/>
        <v/>
      </c>
      <c r="AK443" s="133" t="str" cm="1">
        <f t="array" ref="AK443">IF(OR(E443="", H443=""), "",
  IFERROR(
     (
      INDEX($AM$3:$AM$22, MATCH(E443, $AL$3:$AL$22, 1)) +
      (E443 - INDEX($AL$3:$AL$22, MATCH(E443, $AL$3:$AL$22, 1))) *
      (INDEX($AM$3:$AM$22, MATCH(E443, $AL$3:$AL$22, 1)+1) - INDEX($AM$3:$AM$22, MATCH(E443, $AL$3:$AL$22, 1))) /
      (INDEX($AL$3:$AL$22, MATCH(E443, $AL$3:$AL$22, 1)+1) - INDEX($AL$3:$AL$22, MATCH(E443, $AL$3:$AL$22, 1)))
    ) - H443,
    ""
  )
)</f>
        <v/>
      </c>
      <c r="AL443" s="135"/>
      <c r="AM443" s="135"/>
      <c r="AN443" s="136"/>
    </row>
    <row r="444" spans="1:40" x14ac:dyDescent="0.35">
      <c r="A444" s="109">
        <f t="shared" si="242"/>
        <v>3</v>
      </c>
      <c r="B444" s="110">
        <f t="shared" si="242"/>
        <v>19</v>
      </c>
      <c r="C444" s="111" t="str">
        <f t="shared" si="214"/>
        <v/>
      </c>
      <c r="D444" s="112"/>
      <c r="E444" s="111" t="str">
        <f t="shared" si="237"/>
        <v/>
      </c>
      <c r="F444" s="112"/>
      <c r="G444" s="112"/>
      <c r="H444" s="113" t="str">
        <f t="shared" si="215"/>
        <v/>
      </c>
      <c r="I444" s="111" t="str">
        <f t="shared" si="216"/>
        <v/>
      </c>
      <c r="J444" s="112" t="str">
        <f t="shared" si="243"/>
        <v/>
      </c>
      <c r="K444" s="111" t="str">
        <f t="shared" si="238"/>
        <v/>
      </c>
      <c r="L444" s="114"/>
      <c r="M444" s="115"/>
      <c r="N444" s="111" t="str">
        <f t="shared" si="224"/>
        <v/>
      </c>
      <c r="O444" s="111">
        <f t="shared" si="222"/>
        <v>0</v>
      </c>
      <c r="P444" s="116" t="str">
        <f t="shared" si="217"/>
        <v/>
      </c>
      <c r="Q444" s="117" t="str">
        <f t="shared" si="239"/>
        <v/>
      </c>
      <c r="R444" s="111" t="str">
        <f t="shared" si="225"/>
        <v/>
      </c>
      <c r="S444" s="111" t="str">
        <f t="shared" si="223"/>
        <v/>
      </c>
      <c r="T444" s="111" t="str">
        <f t="shared" si="226"/>
        <v/>
      </c>
      <c r="U444" s="111" t="str">
        <f t="shared" si="227"/>
        <v/>
      </c>
      <c r="V444" s="113" t="str">
        <f t="shared" si="235"/>
        <v/>
      </c>
      <c r="W444" s="111" t="str">
        <f t="shared" si="218"/>
        <v/>
      </c>
      <c r="X444" s="111" t="str">
        <f t="shared" si="219"/>
        <v/>
      </c>
      <c r="Y444" s="111" t="str">
        <f t="shared" si="228"/>
        <v/>
      </c>
      <c r="Z444" s="111" t="str">
        <f t="shared" si="240"/>
        <v/>
      </c>
      <c r="AA444" s="118" t="str">
        <f t="shared" si="229"/>
        <v/>
      </c>
      <c r="AB444" s="111" t="str">
        <f t="shared" si="234"/>
        <v/>
      </c>
      <c r="AC444" s="119"/>
      <c r="AD444" s="120" t="str">
        <f t="shared" si="230"/>
        <v/>
      </c>
      <c r="AE444" s="120" t="str">
        <f t="shared" si="230"/>
        <v/>
      </c>
      <c r="AF444" s="120" t="str">
        <f t="shared" si="231"/>
        <v/>
      </c>
      <c r="AG444" s="120" t="str">
        <f t="shared" si="232"/>
        <v/>
      </c>
      <c r="AH444" s="120" t="str">
        <f t="shared" si="220"/>
        <v/>
      </c>
      <c r="AI444" s="120" t="str">
        <f t="shared" si="221"/>
        <v/>
      </c>
      <c r="AJ444" s="121" t="str">
        <f t="shared" si="233"/>
        <v/>
      </c>
      <c r="AK444" s="121" t="str" cm="1">
        <f t="array" ref="AK444">IF(OR(E444="", H444=""), "",
  IFERROR(
     (
      INDEX($AM$3:$AM$22, MATCH(E444, $AL$3:$AL$22, 1)) +
      (E444 - INDEX($AL$3:$AL$22, MATCH(E444, $AL$3:$AL$22, 1))) *
      (INDEX($AM$3:$AM$22, MATCH(E444, $AL$3:$AL$22, 1)+1) - INDEX($AM$3:$AM$22, MATCH(E444, $AL$3:$AL$22, 1))) /
      (INDEX($AL$3:$AL$22, MATCH(E444, $AL$3:$AL$22, 1)+1) - INDEX($AL$3:$AL$22, MATCH(E444, $AL$3:$AL$22, 1)))
    ) - H444,
    ""
  )
)</f>
        <v/>
      </c>
      <c r="AL444" s="137"/>
      <c r="AM444" s="137"/>
      <c r="AN444" s="138"/>
    </row>
    <row r="445" spans="1:40" x14ac:dyDescent="0.35">
      <c r="A445" s="122">
        <f t="shared" si="242"/>
        <v>3</v>
      </c>
      <c r="B445" s="123">
        <f t="shared" si="242"/>
        <v>19</v>
      </c>
      <c r="C445" s="124" t="str">
        <f t="shared" si="214"/>
        <v/>
      </c>
      <c r="D445" s="125"/>
      <c r="E445" s="124" t="str">
        <f t="shared" si="237"/>
        <v/>
      </c>
      <c r="F445" s="125"/>
      <c r="G445" s="125"/>
      <c r="H445" s="126" t="str">
        <f t="shared" si="215"/>
        <v/>
      </c>
      <c r="I445" s="124" t="str">
        <f t="shared" si="216"/>
        <v/>
      </c>
      <c r="J445" s="125" t="str">
        <f t="shared" si="243"/>
        <v/>
      </c>
      <c r="K445" s="124" t="str">
        <f t="shared" si="238"/>
        <v/>
      </c>
      <c r="L445" s="127"/>
      <c r="M445" s="134"/>
      <c r="N445" s="124" t="str">
        <f t="shared" si="224"/>
        <v/>
      </c>
      <c r="O445" s="124">
        <f t="shared" si="222"/>
        <v>0</v>
      </c>
      <c r="P445" s="128" t="str">
        <f t="shared" si="217"/>
        <v/>
      </c>
      <c r="Q445" s="129" t="str">
        <f t="shared" si="239"/>
        <v/>
      </c>
      <c r="R445" s="124" t="str">
        <f t="shared" si="225"/>
        <v/>
      </c>
      <c r="S445" s="124" t="str">
        <f t="shared" si="223"/>
        <v/>
      </c>
      <c r="T445" s="124" t="str">
        <f t="shared" si="226"/>
        <v/>
      </c>
      <c r="U445" s="124" t="str">
        <f t="shared" si="227"/>
        <v/>
      </c>
      <c r="V445" s="126" t="str">
        <f t="shared" si="235"/>
        <v/>
      </c>
      <c r="W445" s="124" t="str">
        <f t="shared" si="218"/>
        <v/>
      </c>
      <c r="X445" s="124" t="str">
        <f t="shared" si="219"/>
        <v/>
      </c>
      <c r="Y445" s="124" t="str">
        <f t="shared" si="228"/>
        <v/>
      </c>
      <c r="Z445" s="124" t="str">
        <f t="shared" si="240"/>
        <v/>
      </c>
      <c r="AA445" s="130" t="str">
        <f t="shared" si="229"/>
        <v/>
      </c>
      <c r="AB445" s="124" t="str">
        <f t="shared" si="234"/>
        <v/>
      </c>
      <c r="AC445" s="131"/>
      <c r="AD445" s="132" t="str">
        <f t="shared" si="230"/>
        <v/>
      </c>
      <c r="AE445" s="132" t="str">
        <f t="shared" si="230"/>
        <v/>
      </c>
      <c r="AF445" s="132" t="str">
        <f t="shared" si="231"/>
        <v/>
      </c>
      <c r="AG445" s="132" t="str">
        <f t="shared" si="232"/>
        <v/>
      </c>
      <c r="AH445" s="132" t="str">
        <f t="shared" si="220"/>
        <v/>
      </c>
      <c r="AI445" s="132" t="str">
        <f t="shared" si="221"/>
        <v/>
      </c>
      <c r="AJ445" s="133" t="str">
        <f t="shared" si="233"/>
        <v/>
      </c>
      <c r="AK445" s="133" t="str" cm="1">
        <f t="array" ref="AK445">IF(OR(E445="", H445=""), "",
  IFERROR(
     (
      INDEX($AM$3:$AM$22, MATCH(E445, $AL$3:$AL$22, 1)) +
      (E445 - INDEX($AL$3:$AL$22, MATCH(E445, $AL$3:$AL$22, 1))) *
      (INDEX($AM$3:$AM$22, MATCH(E445, $AL$3:$AL$22, 1)+1) - INDEX($AM$3:$AM$22, MATCH(E445, $AL$3:$AL$22, 1))) /
      (INDEX($AL$3:$AL$22, MATCH(E445, $AL$3:$AL$22, 1)+1) - INDEX($AL$3:$AL$22, MATCH(E445, $AL$3:$AL$22, 1)))
    ) - H445,
    ""
  )
)</f>
        <v/>
      </c>
      <c r="AL445" s="135"/>
      <c r="AM445" s="135"/>
      <c r="AN445" s="136"/>
    </row>
    <row r="446" spans="1:40" x14ac:dyDescent="0.35">
      <c r="A446" s="109">
        <f t="shared" si="242"/>
        <v>3</v>
      </c>
      <c r="B446" s="110">
        <f t="shared" si="242"/>
        <v>19</v>
      </c>
      <c r="C446" s="111" t="str">
        <f t="shared" si="214"/>
        <v/>
      </c>
      <c r="D446" s="112"/>
      <c r="E446" s="111" t="str">
        <f t="shared" si="237"/>
        <v/>
      </c>
      <c r="F446" s="112"/>
      <c r="G446" s="112"/>
      <c r="H446" s="113" t="str">
        <f t="shared" si="215"/>
        <v/>
      </c>
      <c r="I446" s="111" t="str">
        <f t="shared" si="216"/>
        <v/>
      </c>
      <c r="J446" s="112" t="str">
        <f t="shared" si="243"/>
        <v/>
      </c>
      <c r="K446" s="111" t="str">
        <f t="shared" si="238"/>
        <v/>
      </c>
      <c r="L446" s="114"/>
      <c r="M446" s="115"/>
      <c r="N446" s="111" t="str">
        <f t="shared" si="224"/>
        <v/>
      </c>
      <c r="O446" s="111">
        <f t="shared" si="222"/>
        <v>0</v>
      </c>
      <c r="P446" s="116" t="str">
        <f t="shared" si="217"/>
        <v/>
      </c>
      <c r="Q446" s="117" t="str">
        <f t="shared" si="239"/>
        <v/>
      </c>
      <c r="R446" s="111" t="str">
        <f t="shared" si="225"/>
        <v/>
      </c>
      <c r="S446" s="111" t="str">
        <f t="shared" si="223"/>
        <v/>
      </c>
      <c r="T446" s="111" t="str">
        <f t="shared" si="226"/>
        <v/>
      </c>
      <c r="U446" s="111" t="str">
        <f t="shared" si="227"/>
        <v/>
      </c>
      <c r="V446" s="113" t="str">
        <f t="shared" si="235"/>
        <v/>
      </c>
      <c r="W446" s="111" t="str">
        <f t="shared" si="218"/>
        <v/>
      </c>
      <c r="X446" s="111" t="str">
        <f t="shared" si="219"/>
        <v/>
      </c>
      <c r="Y446" s="111" t="str">
        <f t="shared" si="228"/>
        <v/>
      </c>
      <c r="Z446" s="111" t="str">
        <f t="shared" si="240"/>
        <v/>
      </c>
      <c r="AA446" s="118" t="str">
        <f t="shared" si="229"/>
        <v/>
      </c>
      <c r="AB446" s="111" t="str">
        <f t="shared" si="234"/>
        <v/>
      </c>
      <c r="AC446" s="119"/>
      <c r="AD446" s="120" t="str">
        <f t="shared" si="230"/>
        <v/>
      </c>
      <c r="AE446" s="120" t="str">
        <f t="shared" si="230"/>
        <v/>
      </c>
      <c r="AF446" s="120" t="str">
        <f t="shared" si="231"/>
        <v/>
      </c>
      <c r="AG446" s="120" t="str">
        <f t="shared" si="232"/>
        <v/>
      </c>
      <c r="AH446" s="120" t="str">
        <f t="shared" si="220"/>
        <v/>
      </c>
      <c r="AI446" s="120" t="str">
        <f t="shared" si="221"/>
        <v/>
      </c>
      <c r="AJ446" s="121" t="str">
        <f t="shared" si="233"/>
        <v/>
      </c>
      <c r="AK446" s="121" t="str" cm="1">
        <f t="array" ref="AK446">IF(OR(E446="", H446=""), "",
  IFERROR(
     (
      INDEX($AM$3:$AM$22, MATCH(E446, $AL$3:$AL$22, 1)) +
      (E446 - INDEX($AL$3:$AL$22, MATCH(E446, $AL$3:$AL$22, 1))) *
      (INDEX($AM$3:$AM$22, MATCH(E446, $AL$3:$AL$22, 1)+1) - INDEX($AM$3:$AM$22, MATCH(E446, $AL$3:$AL$22, 1))) /
      (INDEX($AL$3:$AL$22, MATCH(E446, $AL$3:$AL$22, 1)+1) - INDEX($AL$3:$AL$22, MATCH(E446, $AL$3:$AL$22, 1)))
    ) - H446,
    ""
  )
)</f>
        <v/>
      </c>
      <c r="AL446" s="137"/>
      <c r="AM446" s="137"/>
      <c r="AN446" s="138"/>
    </row>
    <row r="447" spans="1:40" x14ac:dyDescent="0.35">
      <c r="A447" s="122">
        <f t="shared" si="242"/>
        <v>3</v>
      </c>
      <c r="B447" s="123">
        <f t="shared" si="242"/>
        <v>19</v>
      </c>
      <c r="C447" s="124" t="str">
        <f t="shared" si="214"/>
        <v/>
      </c>
      <c r="D447" s="125"/>
      <c r="E447" s="124" t="str">
        <f t="shared" si="237"/>
        <v/>
      </c>
      <c r="F447" s="125"/>
      <c r="G447" s="125"/>
      <c r="H447" s="126" t="str">
        <f t="shared" si="215"/>
        <v/>
      </c>
      <c r="I447" s="124" t="str">
        <f t="shared" si="216"/>
        <v/>
      </c>
      <c r="J447" s="125" t="str">
        <f t="shared" si="243"/>
        <v/>
      </c>
      <c r="K447" s="124" t="str">
        <f t="shared" si="238"/>
        <v/>
      </c>
      <c r="L447" s="127"/>
      <c r="M447" s="134"/>
      <c r="N447" s="124" t="str">
        <f t="shared" si="224"/>
        <v/>
      </c>
      <c r="O447" s="124">
        <f t="shared" si="222"/>
        <v>0</v>
      </c>
      <c r="P447" s="128" t="str">
        <f t="shared" si="217"/>
        <v/>
      </c>
      <c r="Q447" s="129" t="str">
        <f t="shared" si="239"/>
        <v/>
      </c>
      <c r="R447" s="124" t="str">
        <f t="shared" si="225"/>
        <v/>
      </c>
      <c r="S447" s="124" t="str">
        <f t="shared" si="223"/>
        <v/>
      </c>
      <c r="T447" s="124" t="str">
        <f t="shared" si="226"/>
        <v/>
      </c>
      <c r="U447" s="124" t="str">
        <f t="shared" si="227"/>
        <v/>
      </c>
      <c r="V447" s="126" t="str">
        <f t="shared" si="235"/>
        <v/>
      </c>
      <c r="W447" s="124" t="str">
        <f t="shared" si="218"/>
        <v/>
      </c>
      <c r="X447" s="124" t="str">
        <f t="shared" si="219"/>
        <v/>
      </c>
      <c r="Y447" s="124" t="str">
        <f t="shared" si="228"/>
        <v/>
      </c>
      <c r="Z447" s="124" t="str">
        <f t="shared" si="240"/>
        <v/>
      </c>
      <c r="AA447" s="130" t="str">
        <f t="shared" si="229"/>
        <v/>
      </c>
      <c r="AB447" s="124" t="str">
        <f t="shared" si="234"/>
        <v/>
      </c>
      <c r="AC447" s="131"/>
      <c r="AD447" s="132" t="str">
        <f t="shared" si="230"/>
        <v/>
      </c>
      <c r="AE447" s="132" t="str">
        <f t="shared" si="230"/>
        <v/>
      </c>
      <c r="AF447" s="132" t="str">
        <f t="shared" si="231"/>
        <v/>
      </c>
      <c r="AG447" s="132" t="str">
        <f t="shared" si="232"/>
        <v/>
      </c>
      <c r="AH447" s="132" t="str">
        <f t="shared" si="220"/>
        <v/>
      </c>
      <c r="AI447" s="132" t="str">
        <f t="shared" si="221"/>
        <v/>
      </c>
      <c r="AJ447" s="133" t="str">
        <f t="shared" si="233"/>
        <v/>
      </c>
      <c r="AK447" s="133" t="str" cm="1">
        <f t="array" ref="AK447">IF(OR(E447="", H447=""), "",
  IFERROR(
     (
      INDEX($AM$3:$AM$22, MATCH(E447, $AL$3:$AL$22, 1)) +
      (E447 - INDEX($AL$3:$AL$22, MATCH(E447, $AL$3:$AL$22, 1))) *
      (INDEX($AM$3:$AM$22, MATCH(E447, $AL$3:$AL$22, 1)+1) - INDEX($AM$3:$AM$22, MATCH(E447, $AL$3:$AL$22, 1))) /
      (INDEX($AL$3:$AL$22, MATCH(E447, $AL$3:$AL$22, 1)+1) - INDEX($AL$3:$AL$22, MATCH(E447, $AL$3:$AL$22, 1)))
    ) - H447,
    ""
  )
)</f>
        <v/>
      </c>
      <c r="AL447" s="135"/>
      <c r="AM447" s="135"/>
      <c r="AN447" s="136"/>
    </row>
    <row r="448" spans="1:40" x14ac:dyDescent="0.35">
      <c r="A448" s="109">
        <f t="shared" ref="A448:B463" si="244">+A447</f>
        <v>3</v>
      </c>
      <c r="B448" s="110">
        <f t="shared" si="244"/>
        <v>19</v>
      </c>
      <c r="C448" s="111" t="str">
        <f t="shared" ref="C448:C503" si="245">IF(D448&gt;0,D448-D447,"")</f>
        <v/>
      </c>
      <c r="D448" s="112"/>
      <c r="E448" s="111" t="str">
        <f t="shared" si="237"/>
        <v/>
      </c>
      <c r="F448" s="112"/>
      <c r="G448" s="112"/>
      <c r="H448" s="113" t="str">
        <f t="shared" ref="H448:H503" si="246">IF(F448="","",H447+(COS((AD448+AD447)/2))*AI448)</f>
        <v/>
      </c>
      <c r="I448" s="111" t="str">
        <f t="shared" ref="I448:I503" si="247">IF(OR(F448="",G448=""),"",DEGREES(ACOS(COS(AD448-AD447)-(SIN(AD448)*SIN(AD447)*(1-COS(AE448-AE447)))))*(30/AI448))</f>
        <v/>
      </c>
      <c r="J448" s="112" t="str">
        <f t="shared" si="243"/>
        <v/>
      </c>
      <c r="K448" s="111" t="str">
        <f t="shared" si="238"/>
        <v/>
      </c>
      <c r="L448" s="114"/>
      <c r="M448" s="115"/>
      <c r="N448" s="111" t="str">
        <f t="shared" si="224"/>
        <v/>
      </c>
      <c r="O448" s="111">
        <f t="shared" si="222"/>
        <v>0</v>
      </c>
      <c r="P448" s="116" t="str">
        <f t="shared" ref="P448:P503" si="248">IF(AND(ISNUMBER(C448),ISNUMBER(I448)),(IF(AND(I448&gt;0,G448&lt;&gt;G447),ACOS((C448*X448/30)/(C448*I448/30))*180/PI(),IF(AND(F448&gt;F447,G448=G447),"H/S",IF(AND(F448&lt;F447,G448=G447),"L/S","")))),"")</f>
        <v/>
      </c>
      <c r="Q448" s="117" t="str">
        <f t="shared" si="239"/>
        <v/>
      </c>
      <c r="R448" s="111" t="str">
        <f t="shared" si="225"/>
        <v/>
      </c>
      <c r="S448" s="111" t="str">
        <f t="shared" si="223"/>
        <v/>
      </c>
      <c r="T448" s="111" t="str">
        <f t="shared" si="226"/>
        <v/>
      </c>
      <c r="U448" s="111" t="str">
        <f t="shared" si="227"/>
        <v/>
      </c>
      <c r="V448" s="113" t="str">
        <f t="shared" si="235"/>
        <v/>
      </c>
      <c r="W448" s="111" t="str">
        <f t="shared" ref="W448:W503" si="249">IF(G448="","",IF(N448="",(G448-G447)/30,AH448/N448))</f>
        <v/>
      </c>
      <c r="X448" s="111" t="str">
        <f t="shared" ref="X448:X503" si="250">IF(V448="","",(F448-F447)*30/AI448)</f>
        <v/>
      </c>
      <c r="Y448" s="111" t="str">
        <f t="shared" si="228"/>
        <v/>
      </c>
      <c r="Z448" s="111" t="str">
        <f t="shared" si="240"/>
        <v/>
      </c>
      <c r="AA448" s="118" t="str">
        <f t="shared" si="229"/>
        <v/>
      </c>
      <c r="AB448" s="111" t="str">
        <f t="shared" si="234"/>
        <v/>
      </c>
      <c r="AC448" s="119"/>
      <c r="AD448" s="120" t="str">
        <f t="shared" si="230"/>
        <v/>
      </c>
      <c r="AE448" s="120" t="str">
        <f t="shared" si="230"/>
        <v/>
      </c>
      <c r="AF448" s="120" t="str">
        <f t="shared" si="231"/>
        <v/>
      </c>
      <c r="AG448" s="120" t="str">
        <f t="shared" si="232"/>
        <v/>
      </c>
      <c r="AH448" s="120" t="str">
        <f t="shared" ref="AH448:AH500" si="251">IF(G448="","",IF(G448&gt;G447,IF((G448-G447)&gt;180,(G448-G447)-360,G448-G447),IF((G448-G447)&lt;-180,(G448-G447)+360,G448-G447)))</f>
        <v/>
      </c>
      <c r="AI448" s="120" t="str">
        <f t="shared" ref="AI448:AI500" si="252">+IF(E448="","",E448-E447)</f>
        <v/>
      </c>
      <c r="AJ448" s="121" t="str">
        <f t="shared" si="233"/>
        <v/>
      </c>
      <c r="AK448" s="121" t="str" cm="1">
        <f t="array" ref="AK448">IF(OR(E448="", H448=""), "",
  IFERROR(
     (
      INDEX($AM$3:$AM$22, MATCH(E448, $AL$3:$AL$22, 1)) +
      (E448 - INDEX($AL$3:$AL$22, MATCH(E448, $AL$3:$AL$22, 1))) *
      (INDEX($AM$3:$AM$22, MATCH(E448, $AL$3:$AL$22, 1)+1) - INDEX($AM$3:$AM$22, MATCH(E448, $AL$3:$AL$22, 1))) /
      (INDEX($AL$3:$AL$22, MATCH(E448, $AL$3:$AL$22, 1)+1) - INDEX($AL$3:$AL$22, MATCH(E448, $AL$3:$AL$22, 1)))
    ) - H448,
    ""
  )
)</f>
        <v/>
      </c>
      <c r="AL448" s="137"/>
      <c r="AM448" s="137"/>
      <c r="AN448" s="138"/>
    </row>
    <row r="449" spans="1:40" x14ac:dyDescent="0.35">
      <c r="A449" s="122">
        <f t="shared" si="244"/>
        <v>3</v>
      </c>
      <c r="B449" s="123">
        <f t="shared" si="244"/>
        <v>19</v>
      </c>
      <c r="C449" s="124" t="str">
        <f t="shared" si="245"/>
        <v/>
      </c>
      <c r="D449" s="125"/>
      <c r="E449" s="124" t="str">
        <f t="shared" si="237"/>
        <v/>
      </c>
      <c r="F449" s="125"/>
      <c r="G449" s="125"/>
      <c r="H449" s="126" t="str">
        <f t="shared" si="246"/>
        <v/>
      </c>
      <c r="I449" s="124" t="str">
        <f t="shared" si="247"/>
        <v/>
      </c>
      <c r="J449" s="125" t="str">
        <f t="shared" si="243"/>
        <v/>
      </c>
      <c r="K449" s="124" t="str">
        <f t="shared" si="238"/>
        <v/>
      </c>
      <c r="L449" s="127"/>
      <c r="M449" s="134"/>
      <c r="N449" s="124" t="str">
        <f t="shared" si="224"/>
        <v/>
      </c>
      <c r="O449" s="124">
        <f t="shared" si="222"/>
        <v>0</v>
      </c>
      <c r="P449" s="128" t="str">
        <f t="shared" si="248"/>
        <v/>
      </c>
      <c r="Q449" s="129" t="str">
        <f t="shared" si="239"/>
        <v/>
      </c>
      <c r="R449" s="124" t="str">
        <f t="shared" si="225"/>
        <v/>
      </c>
      <c r="S449" s="124" t="str">
        <f t="shared" si="223"/>
        <v/>
      </c>
      <c r="T449" s="124" t="str">
        <f t="shared" si="226"/>
        <v/>
      </c>
      <c r="U449" s="124" t="str">
        <f t="shared" si="227"/>
        <v/>
      </c>
      <c r="V449" s="126" t="str">
        <f t="shared" si="235"/>
        <v/>
      </c>
      <c r="W449" s="124" t="str">
        <f t="shared" si="249"/>
        <v/>
      </c>
      <c r="X449" s="124" t="str">
        <f t="shared" si="250"/>
        <v/>
      </c>
      <c r="Y449" s="124" t="str">
        <f t="shared" si="228"/>
        <v/>
      </c>
      <c r="Z449" s="124" t="str">
        <f t="shared" si="240"/>
        <v/>
      </c>
      <c r="AA449" s="130" t="str">
        <f t="shared" si="229"/>
        <v/>
      </c>
      <c r="AB449" s="124" t="str">
        <f t="shared" si="234"/>
        <v/>
      </c>
      <c r="AC449" s="131"/>
      <c r="AD449" s="132" t="str">
        <f t="shared" si="230"/>
        <v/>
      </c>
      <c r="AE449" s="132" t="str">
        <f t="shared" si="230"/>
        <v/>
      </c>
      <c r="AF449" s="132" t="str">
        <f t="shared" si="231"/>
        <v/>
      </c>
      <c r="AG449" s="132" t="str">
        <f t="shared" si="232"/>
        <v/>
      </c>
      <c r="AH449" s="132" t="str">
        <f t="shared" si="251"/>
        <v/>
      </c>
      <c r="AI449" s="132" t="str">
        <f t="shared" si="252"/>
        <v/>
      </c>
      <c r="AJ449" s="133" t="str">
        <f t="shared" si="233"/>
        <v/>
      </c>
      <c r="AK449" s="133" t="str" cm="1">
        <f t="array" ref="AK449">IF(OR(E449="", H449=""), "",
  IFERROR(
     (
      INDEX($AM$3:$AM$22, MATCH(E449, $AL$3:$AL$22, 1)) +
      (E449 - INDEX($AL$3:$AL$22, MATCH(E449, $AL$3:$AL$22, 1))) *
      (INDEX($AM$3:$AM$22, MATCH(E449, $AL$3:$AL$22, 1)+1) - INDEX($AM$3:$AM$22, MATCH(E449, $AL$3:$AL$22, 1))) /
      (INDEX($AL$3:$AL$22, MATCH(E449, $AL$3:$AL$22, 1)+1) - INDEX($AL$3:$AL$22, MATCH(E449, $AL$3:$AL$22, 1)))
    ) - H449,
    ""
  )
)</f>
        <v/>
      </c>
      <c r="AL449" s="135"/>
      <c r="AM449" s="135"/>
      <c r="AN449" s="136"/>
    </row>
    <row r="450" spans="1:40" x14ac:dyDescent="0.35">
      <c r="A450" s="109">
        <f t="shared" si="244"/>
        <v>3</v>
      </c>
      <c r="B450" s="110">
        <f t="shared" si="244"/>
        <v>19</v>
      </c>
      <c r="C450" s="111" t="str">
        <f t="shared" si="245"/>
        <v/>
      </c>
      <c r="D450" s="112"/>
      <c r="E450" s="111" t="str">
        <f t="shared" si="237"/>
        <v/>
      </c>
      <c r="F450" s="112"/>
      <c r="G450" s="112"/>
      <c r="H450" s="113" t="str">
        <f t="shared" si="246"/>
        <v/>
      </c>
      <c r="I450" s="111" t="str">
        <f t="shared" si="247"/>
        <v/>
      </c>
      <c r="J450" s="112" t="str">
        <f t="shared" si="243"/>
        <v/>
      </c>
      <c r="K450" s="111" t="str">
        <f t="shared" si="238"/>
        <v/>
      </c>
      <c r="L450" s="114"/>
      <c r="M450" s="115"/>
      <c r="N450" s="111" t="str">
        <f t="shared" si="224"/>
        <v/>
      </c>
      <c r="O450" s="111">
        <f t="shared" ref="O450:O503" si="253">SUM(IF(AND(D450&gt;K447,E450&lt;=J447),L447,0)+IF(AND(D450&gt;=K447,E450&lt;K447,E450&gt;J447),K447-E450,0)+IF(AND(D450&gt;J447,E450&lt;=J447,D450&lt;K447),D450-J447,0)+IF(AND(D450&lt;K447,E450&gt;J447,D450&gt;E450),D450-E450,0)+IF(AND(D450&gt;K448,E450&lt;=J448),L448,0)+IF(AND(D450&gt;=K448,E450&lt;K448,E450&gt;J448),K448-E450,0)+IF(AND(D450&gt;J448,E450&lt;J448,D450&lt;=K448),D450-J448,0)+IF(AND(D450&lt;K448,E450&gt;J448,D450&gt;E450),D450-E450,0)+IF(AND(D450&gt;K449,E450&lt;=J449),L449,0)+IF(AND(D450&gt;=K449,E450&lt;K449,E450&gt;J449),K449-E450,0)+IF(AND(D450&gt;J449,E450&lt;J449,D450&lt;=K449),D450-J449,0)+IF(AND(D450&lt;K449,E450&gt;J449,D450&gt;E450),D450-E450,0))</f>
        <v>0</v>
      </c>
      <c r="P450" s="116" t="str">
        <f t="shared" si="248"/>
        <v/>
      </c>
      <c r="Q450" s="117" t="str">
        <f t="shared" si="239"/>
        <v/>
      </c>
      <c r="R450" s="111" t="str">
        <f t="shared" si="225"/>
        <v/>
      </c>
      <c r="S450" s="111" t="str">
        <f t="shared" ref="S450:S503" si="254">IF(V450="","",IF(AND(N450="",O450=""),F450,IF(O450="",O450*AVERAGE(V449,V448,V447)+F450,O450*V450+F450)))</f>
        <v/>
      </c>
      <c r="T450" s="111" t="str">
        <f t="shared" si="226"/>
        <v/>
      </c>
      <c r="U450" s="111" t="str">
        <f t="shared" si="227"/>
        <v/>
      </c>
      <c r="V450" s="113" t="str">
        <f t="shared" si="235"/>
        <v/>
      </c>
      <c r="W450" s="111" t="str">
        <f t="shared" si="249"/>
        <v/>
      </c>
      <c r="X450" s="111" t="str">
        <f t="shared" si="250"/>
        <v/>
      </c>
      <c r="Y450" s="111" t="str">
        <f t="shared" si="228"/>
        <v/>
      </c>
      <c r="Z450" s="111" t="str">
        <f t="shared" si="240"/>
        <v/>
      </c>
      <c r="AA450" s="118" t="str">
        <f t="shared" si="229"/>
        <v/>
      </c>
      <c r="AB450" s="111" t="str">
        <f t="shared" si="234"/>
        <v/>
      </c>
      <c r="AC450" s="119"/>
      <c r="AD450" s="120" t="str">
        <f t="shared" si="230"/>
        <v/>
      </c>
      <c r="AE450" s="120" t="str">
        <f t="shared" si="230"/>
        <v/>
      </c>
      <c r="AF450" s="120" t="str">
        <f t="shared" si="231"/>
        <v/>
      </c>
      <c r="AG450" s="120" t="str">
        <f t="shared" si="232"/>
        <v/>
      </c>
      <c r="AH450" s="120" t="str">
        <f t="shared" si="251"/>
        <v/>
      </c>
      <c r="AI450" s="120" t="str">
        <f t="shared" si="252"/>
        <v/>
      </c>
      <c r="AJ450" s="121" t="str">
        <f t="shared" si="233"/>
        <v/>
      </c>
      <c r="AK450" s="121" t="str" cm="1">
        <f t="array" ref="AK450">IF(OR(E450="", H450=""), "",
  IFERROR(
     (
      INDEX($AM$3:$AM$22, MATCH(E450, $AL$3:$AL$22, 1)) +
      (E450 - INDEX($AL$3:$AL$22, MATCH(E450, $AL$3:$AL$22, 1))) *
      (INDEX($AM$3:$AM$22, MATCH(E450, $AL$3:$AL$22, 1)+1) - INDEX($AM$3:$AM$22, MATCH(E450, $AL$3:$AL$22, 1))) /
      (INDEX($AL$3:$AL$22, MATCH(E450, $AL$3:$AL$22, 1)+1) - INDEX($AL$3:$AL$22, MATCH(E450, $AL$3:$AL$22, 1)))
    ) - H450,
    ""
  )
)</f>
        <v/>
      </c>
      <c r="AL450" s="137"/>
      <c r="AM450" s="137"/>
      <c r="AN450" s="138"/>
    </row>
    <row r="451" spans="1:40" x14ac:dyDescent="0.35">
      <c r="A451" s="122">
        <f t="shared" si="244"/>
        <v>3</v>
      </c>
      <c r="B451" s="123">
        <f t="shared" si="244"/>
        <v>19</v>
      </c>
      <c r="C451" s="124" t="str">
        <f t="shared" si="245"/>
        <v/>
      </c>
      <c r="D451" s="125"/>
      <c r="E451" s="124" t="str">
        <f t="shared" si="237"/>
        <v/>
      </c>
      <c r="F451" s="125"/>
      <c r="G451" s="125"/>
      <c r="H451" s="126" t="str">
        <f t="shared" si="246"/>
        <v/>
      </c>
      <c r="I451" s="124" t="str">
        <f t="shared" si="247"/>
        <v/>
      </c>
      <c r="J451" s="125" t="str">
        <f t="shared" si="243"/>
        <v/>
      </c>
      <c r="K451" s="124" t="str">
        <f t="shared" si="238"/>
        <v/>
      </c>
      <c r="L451" s="127"/>
      <c r="M451" s="134"/>
      <c r="N451" s="124" t="str">
        <f t="shared" ref="N451:N503" si="255">IF(SUM(IF(AND(E451&gt;K447,E450&lt;=J447),L447,0)+IF(AND(E451&gt;=K447,E450&lt;K447,E450&gt;J447),K447-E450,0)+IF(AND(E451&gt;J447,E450&lt;=J447,E451&lt;K447),E451-J447,0)+IF(AND(E451&lt;K447,E450&gt;J447,E451&gt;E450),E451-E450,0)+IF(AND(E451&gt;K448,E450&lt;=J448),L448,0)+IF(AND(E451&gt;=K448,E450&lt;K448,E450&gt;J448),K448-E450,0)+IF(AND(E451&gt;J448,E450&lt;=J448,E451&lt;K448),E451-J448,0)+IF(AND(E451&lt;K448,E450&gt;J448,E451&gt;E450),E451-E450,0)+IF(AND(E451&gt;K449,E450&lt;=J449),L449,0)+IF(AND(E451&gt;=K449,E450&lt;K449,E450&gt;J449),K449-E450,0)+IF(AND(E451&gt;J449,E450&lt;J449,E451&lt;=K449),E451-J449,0)+IF(AND(E451&lt;K449,E450&gt;J449,E451&gt;E450),E451-E450,0)+IF(AND(E451&gt;K450,E450&lt;=J450),L450,0)+IF(AND(E451&gt;=K450,E450&lt;K450,E450&gt;J450),K450-E450,0)+IF(AND(E451&gt;J450,E450&lt;J450,E451&lt;=K450),E451-J450,0)+IF(AND(E451&lt;K450,E450&gt;J450,E451&gt;E450),E451-E450,0))=0,"",SUM(IF(AND(E451&gt;K447,E450&lt;=J447),L447,0)+IF(AND(E451&gt;=K447,E450&lt;K447,E450&gt;J447),K447-E450,0)+IF(AND(E451&gt;J447,E450&lt;=J447,E451&lt;K447),E451-J447,0)+IF(AND(E451&lt;K447,E450&gt;J447,E451&gt;E450),E451-E450,0)+IF(AND(E451&gt;K448,E450&lt;=J448),L448,0)+IF(AND(E451&gt;=K448,E450&lt;K448,E450&gt;J448),K448-E450,0)+IF(AND(E451&gt;J448,E450&lt;=J448,E451&lt;K448),E451-J448,0)+IF(AND(E451&lt;K448,E450&gt;J448,E451&gt;E450),E451-E450,0)+IF(AND(E451&gt;K449,E450&lt;=J449),L449,0)+IF(AND(E451&gt;=K449,E450&lt;K449,E450&gt;J449),K449-E450,0)+IF(AND(E451&gt;J449,E450&lt;J449,E451&lt;=K449),E451-J449,0)+IF(AND(E451&lt;K449,E450&gt;J449,E451&gt;E450),E451-E450,0)+IF(AND(E451&gt;K450,E450&lt;=J450),L450,0)+IF(AND(E451&gt;=K450,E450&lt;K450,E450&gt;J450),K450-E450,0)+IF(AND(E451&gt;J450,E450&lt;J450,E451&lt;=K450),E451-J450,0)+IF(AND(E451&lt;K450,E450&gt;J450,E451&gt;E450),E451-E450,0)))</f>
        <v/>
      </c>
      <c r="O451" s="124">
        <f t="shared" si="253"/>
        <v>0</v>
      </c>
      <c r="P451" s="128" t="str">
        <f t="shared" si="248"/>
        <v/>
      </c>
      <c r="Q451" s="129" t="str">
        <f t="shared" si="239"/>
        <v/>
      </c>
      <c r="R451" s="124" t="str">
        <f t="shared" si="225"/>
        <v/>
      </c>
      <c r="S451" s="124" t="str">
        <f t="shared" si="254"/>
        <v/>
      </c>
      <c r="T451" s="124" t="str">
        <f t="shared" si="226"/>
        <v/>
      </c>
      <c r="U451" s="124" t="str">
        <f t="shared" si="227"/>
        <v/>
      </c>
      <c r="V451" s="126" t="str">
        <f t="shared" si="235"/>
        <v/>
      </c>
      <c r="W451" s="124" t="str">
        <f t="shared" si="249"/>
        <v/>
      </c>
      <c r="X451" s="124" t="str">
        <f t="shared" si="250"/>
        <v/>
      </c>
      <c r="Y451" s="124" t="str">
        <f t="shared" si="228"/>
        <v/>
      </c>
      <c r="Z451" s="124" t="str">
        <f t="shared" si="240"/>
        <v/>
      </c>
      <c r="AA451" s="130" t="str">
        <f t="shared" si="229"/>
        <v/>
      </c>
      <c r="AB451" s="124" t="str">
        <f t="shared" si="234"/>
        <v/>
      </c>
      <c r="AC451" s="131"/>
      <c r="AD451" s="132" t="str">
        <f t="shared" si="230"/>
        <v/>
      </c>
      <c r="AE451" s="132" t="str">
        <f t="shared" si="230"/>
        <v/>
      </c>
      <c r="AF451" s="132" t="str">
        <f t="shared" si="231"/>
        <v/>
      </c>
      <c r="AG451" s="132" t="str">
        <f t="shared" si="232"/>
        <v/>
      </c>
      <c r="AH451" s="132" t="str">
        <f t="shared" si="251"/>
        <v/>
      </c>
      <c r="AI451" s="132" t="str">
        <f t="shared" si="252"/>
        <v/>
      </c>
      <c r="AJ451" s="133" t="str">
        <f t="shared" si="233"/>
        <v/>
      </c>
      <c r="AK451" s="133" t="str" cm="1">
        <f t="array" ref="AK451">IF(OR(E451="", H451=""), "",
  IFERROR(
     (
      INDEX($AM$3:$AM$22, MATCH(E451, $AL$3:$AL$22, 1)) +
      (E451 - INDEX($AL$3:$AL$22, MATCH(E451, $AL$3:$AL$22, 1))) *
      (INDEX($AM$3:$AM$22, MATCH(E451, $AL$3:$AL$22, 1)+1) - INDEX($AM$3:$AM$22, MATCH(E451, $AL$3:$AL$22, 1))) /
      (INDEX($AL$3:$AL$22, MATCH(E451, $AL$3:$AL$22, 1)+1) - INDEX($AL$3:$AL$22, MATCH(E451, $AL$3:$AL$22, 1)))
    ) - H451,
    ""
  )
)</f>
        <v/>
      </c>
      <c r="AL451" s="135"/>
      <c r="AM451" s="135"/>
      <c r="AN451" s="136"/>
    </row>
    <row r="452" spans="1:40" x14ac:dyDescent="0.35">
      <c r="A452" s="109">
        <f t="shared" si="244"/>
        <v>3</v>
      </c>
      <c r="B452" s="110">
        <f t="shared" si="244"/>
        <v>19</v>
      </c>
      <c r="C452" s="111" t="str">
        <f t="shared" si="245"/>
        <v/>
      </c>
      <c r="D452" s="112"/>
      <c r="E452" s="111" t="str">
        <f t="shared" si="237"/>
        <v/>
      </c>
      <c r="F452" s="112"/>
      <c r="G452" s="112"/>
      <c r="H452" s="113" t="str">
        <f t="shared" si="246"/>
        <v/>
      </c>
      <c r="I452" s="111" t="str">
        <f t="shared" si="247"/>
        <v/>
      </c>
      <c r="J452" s="112" t="str">
        <f t="shared" si="243"/>
        <v/>
      </c>
      <c r="K452" s="111" t="str">
        <f t="shared" si="238"/>
        <v/>
      </c>
      <c r="L452" s="114"/>
      <c r="M452" s="115"/>
      <c r="N452" s="111" t="str">
        <f t="shared" si="255"/>
        <v/>
      </c>
      <c r="O452" s="111">
        <f t="shared" si="253"/>
        <v>0</v>
      </c>
      <c r="P452" s="116" t="str">
        <f t="shared" si="248"/>
        <v/>
      </c>
      <c r="Q452" s="117" t="str">
        <f t="shared" si="239"/>
        <v/>
      </c>
      <c r="R452" s="111" t="str">
        <f t="shared" si="225"/>
        <v/>
      </c>
      <c r="S452" s="111" t="str">
        <f t="shared" si="254"/>
        <v/>
      </c>
      <c r="T452" s="111" t="str">
        <f t="shared" si="226"/>
        <v/>
      </c>
      <c r="U452" s="111" t="str">
        <f t="shared" si="227"/>
        <v/>
      </c>
      <c r="V452" s="113" t="str">
        <f t="shared" si="235"/>
        <v/>
      </c>
      <c r="W452" s="111" t="str">
        <f t="shared" si="249"/>
        <v/>
      </c>
      <c r="X452" s="111" t="str">
        <f t="shared" si="250"/>
        <v/>
      </c>
      <c r="Y452" s="111" t="str">
        <f t="shared" si="228"/>
        <v/>
      </c>
      <c r="Z452" s="111" t="str">
        <f t="shared" si="240"/>
        <v/>
      </c>
      <c r="AA452" s="118" t="str">
        <f t="shared" si="229"/>
        <v/>
      </c>
      <c r="AB452" s="111" t="str">
        <f t="shared" si="234"/>
        <v/>
      </c>
      <c r="AC452" s="119"/>
      <c r="AD452" s="120" t="str">
        <f t="shared" si="230"/>
        <v/>
      </c>
      <c r="AE452" s="120" t="str">
        <f t="shared" si="230"/>
        <v/>
      </c>
      <c r="AF452" s="120" t="str">
        <f t="shared" si="231"/>
        <v/>
      </c>
      <c r="AG452" s="120" t="str">
        <f t="shared" si="232"/>
        <v/>
      </c>
      <c r="AH452" s="120" t="str">
        <f t="shared" si="251"/>
        <v/>
      </c>
      <c r="AI452" s="120" t="str">
        <f t="shared" si="252"/>
        <v/>
      </c>
      <c r="AJ452" s="121" t="str">
        <f t="shared" si="233"/>
        <v/>
      </c>
      <c r="AK452" s="121" t="str" cm="1">
        <f t="array" ref="AK452">IF(OR(E452="", H452=""), "",
  IFERROR(
     (
      INDEX($AM$3:$AM$22, MATCH(E452, $AL$3:$AL$22, 1)) +
      (E452 - INDEX($AL$3:$AL$22, MATCH(E452, $AL$3:$AL$22, 1))) *
      (INDEX($AM$3:$AM$22, MATCH(E452, $AL$3:$AL$22, 1)+1) - INDEX($AM$3:$AM$22, MATCH(E452, $AL$3:$AL$22, 1))) /
      (INDEX($AL$3:$AL$22, MATCH(E452, $AL$3:$AL$22, 1)+1) - INDEX($AL$3:$AL$22, MATCH(E452, $AL$3:$AL$22, 1)))
    ) - H452,
    ""
  )
)</f>
        <v/>
      </c>
      <c r="AL452" s="137"/>
      <c r="AM452" s="137"/>
      <c r="AN452" s="138"/>
    </row>
    <row r="453" spans="1:40" x14ac:dyDescent="0.35">
      <c r="A453" s="122">
        <f t="shared" si="244"/>
        <v>3</v>
      </c>
      <c r="B453" s="123">
        <f t="shared" si="244"/>
        <v>19</v>
      </c>
      <c r="C453" s="124" t="str">
        <f t="shared" si="245"/>
        <v/>
      </c>
      <c r="D453" s="125"/>
      <c r="E453" s="124" t="str">
        <f t="shared" si="237"/>
        <v/>
      </c>
      <c r="F453" s="125"/>
      <c r="G453" s="125"/>
      <c r="H453" s="126" t="str">
        <f t="shared" si="246"/>
        <v/>
      </c>
      <c r="I453" s="124" t="str">
        <f t="shared" si="247"/>
        <v/>
      </c>
      <c r="J453" s="125" t="str">
        <f t="shared" si="243"/>
        <v/>
      </c>
      <c r="K453" s="124" t="str">
        <f t="shared" si="238"/>
        <v/>
      </c>
      <c r="L453" s="127"/>
      <c r="M453" s="134"/>
      <c r="N453" s="124" t="str">
        <f t="shared" si="255"/>
        <v/>
      </c>
      <c r="O453" s="124">
        <f t="shared" si="253"/>
        <v>0</v>
      </c>
      <c r="P453" s="128" t="str">
        <f t="shared" si="248"/>
        <v/>
      </c>
      <c r="Q453" s="129" t="str">
        <f t="shared" si="239"/>
        <v/>
      </c>
      <c r="R453" s="124" t="str">
        <f t="shared" si="225"/>
        <v/>
      </c>
      <c r="S453" s="124" t="str">
        <f t="shared" si="254"/>
        <v/>
      </c>
      <c r="T453" s="124" t="str">
        <f t="shared" si="226"/>
        <v/>
      </c>
      <c r="U453" s="124" t="str">
        <f t="shared" si="227"/>
        <v/>
      </c>
      <c r="V453" s="126" t="str">
        <f t="shared" si="235"/>
        <v/>
      </c>
      <c r="W453" s="124" t="str">
        <f t="shared" si="249"/>
        <v/>
      </c>
      <c r="X453" s="124" t="str">
        <f t="shared" si="250"/>
        <v/>
      </c>
      <c r="Y453" s="124" t="str">
        <f t="shared" si="228"/>
        <v/>
      </c>
      <c r="Z453" s="124" t="str">
        <f t="shared" si="240"/>
        <v/>
      </c>
      <c r="AA453" s="130" t="str">
        <f t="shared" si="229"/>
        <v/>
      </c>
      <c r="AB453" s="124" t="str">
        <f t="shared" si="234"/>
        <v/>
      </c>
      <c r="AC453" s="131"/>
      <c r="AD453" s="132" t="str">
        <f t="shared" si="230"/>
        <v/>
      </c>
      <c r="AE453" s="132" t="str">
        <f t="shared" si="230"/>
        <v/>
      </c>
      <c r="AF453" s="132" t="str">
        <f t="shared" si="231"/>
        <v/>
      </c>
      <c r="AG453" s="132" t="str">
        <f t="shared" si="232"/>
        <v/>
      </c>
      <c r="AH453" s="132" t="str">
        <f t="shared" si="251"/>
        <v/>
      </c>
      <c r="AI453" s="132" t="str">
        <f t="shared" si="252"/>
        <v/>
      </c>
      <c r="AJ453" s="133" t="str">
        <f t="shared" si="233"/>
        <v/>
      </c>
      <c r="AK453" s="133" t="str" cm="1">
        <f t="array" ref="AK453">IF(OR(E453="", H453=""), "",
  IFERROR(
     (
      INDEX($AM$3:$AM$22, MATCH(E453, $AL$3:$AL$22, 1)) +
      (E453 - INDEX($AL$3:$AL$22, MATCH(E453, $AL$3:$AL$22, 1))) *
      (INDEX($AM$3:$AM$22, MATCH(E453, $AL$3:$AL$22, 1)+1) - INDEX($AM$3:$AM$22, MATCH(E453, $AL$3:$AL$22, 1))) /
      (INDEX($AL$3:$AL$22, MATCH(E453, $AL$3:$AL$22, 1)+1) - INDEX($AL$3:$AL$22, MATCH(E453, $AL$3:$AL$22, 1)))
    ) - H453,
    ""
  )
)</f>
        <v/>
      </c>
      <c r="AL453" s="135"/>
      <c r="AM453" s="135"/>
      <c r="AN453" s="136"/>
    </row>
    <row r="454" spans="1:40" x14ac:dyDescent="0.35">
      <c r="A454" s="109">
        <f t="shared" si="244"/>
        <v>3</v>
      </c>
      <c r="B454" s="110">
        <f t="shared" si="244"/>
        <v>19</v>
      </c>
      <c r="C454" s="111" t="str">
        <f t="shared" si="245"/>
        <v/>
      </c>
      <c r="D454" s="112"/>
      <c r="E454" s="111" t="str">
        <f t="shared" si="237"/>
        <v/>
      </c>
      <c r="F454" s="112"/>
      <c r="G454" s="112"/>
      <c r="H454" s="113" t="str">
        <f t="shared" si="246"/>
        <v/>
      </c>
      <c r="I454" s="111" t="str">
        <f t="shared" si="247"/>
        <v/>
      </c>
      <c r="J454" s="112" t="str">
        <f t="shared" si="243"/>
        <v/>
      </c>
      <c r="K454" s="111" t="str">
        <f t="shared" si="238"/>
        <v/>
      </c>
      <c r="L454" s="114"/>
      <c r="M454" s="115"/>
      <c r="N454" s="111" t="str">
        <f t="shared" si="255"/>
        <v/>
      </c>
      <c r="O454" s="111">
        <f t="shared" si="253"/>
        <v>0</v>
      </c>
      <c r="P454" s="116" t="str">
        <f t="shared" si="248"/>
        <v/>
      </c>
      <c r="Q454" s="117" t="str">
        <f t="shared" si="239"/>
        <v/>
      </c>
      <c r="R454" s="111" t="str">
        <f t="shared" ref="R454:R503" si="256">IF(V454="","",(SIN($AD$2)-SIN(AD454))*1719/($X$2-H454))</f>
        <v/>
      </c>
      <c r="S454" s="111" t="str">
        <f t="shared" si="254"/>
        <v/>
      </c>
      <c r="T454" s="111" t="str">
        <f t="shared" ref="T454:T503" si="257">IF(V454="","",H454+(COS((AG454+AD454)/2))*B454)</f>
        <v/>
      </c>
      <c r="U454" s="111" t="str">
        <f t="shared" ref="U454:U503" si="258">IF(V454="","",(SIN($AD$2)-SIN(AG454))*1719/($X$2-T454))</f>
        <v/>
      </c>
      <c r="V454" s="113" t="str">
        <f t="shared" si="235"/>
        <v/>
      </c>
      <c r="W454" s="111" t="str">
        <f t="shared" si="249"/>
        <v/>
      </c>
      <c r="X454" s="111" t="str">
        <f t="shared" si="250"/>
        <v/>
      </c>
      <c r="Y454" s="111" t="str">
        <f t="shared" ref="Y454:Y503" si="259">IF(W454="","",IF(F454="","",AH454*30/AI454))</f>
        <v/>
      </c>
      <c r="Z454" s="111" t="str">
        <f t="shared" si="240"/>
        <v/>
      </c>
      <c r="AA454" s="118" t="str">
        <f t="shared" ref="AA454:AA503" si="260">+IF(Z454="","",IF(N454="",0,N454/AI454))</f>
        <v/>
      </c>
      <c r="AB454" s="111" t="str">
        <f t="shared" si="234"/>
        <v/>
      </c>
      <c r="AC454" s="119"/>
      <c r="AD454" s="120" t="str">
        <f t="shared" ref="AD454:AE499" si="261">IF(F454&gt;0,RADIANS(F454),"")</f>
        <v/>
      </c>
      <c r="AE454" s="120" t="str">
        <f t="shared" si="261"/>
        <v/>
      </c>
      <c r="AF454" s="120" t="str">
        <f t="shared" ref="AF454:AF499" si="262">IF(F454="","",2/RADIANS(I454)*TAN(RADIANS(I454)/2))</f>
        <v/>
      </c>
      <c r="AG454" s="120" t="str">
        <f t="shared" ref="AG454:AG499" si="263">IF(S454="","",RADIANS(S454))</f>
        <v/>
      </c>
      <c r="AH454" s="120" t="str">
        <f t="shared" si="251"/>
        <v/>
      </c>
      <c r="AI454" s="120" t="str">
        <f t="shared" si="252"/>
        <v/>
      </c>
      <c r="AJ454" s="121" t="str">
        <f t="shared" si="233"/>
        <v/>
      </c>
      <c r="AK454" s="121" t="str" cm="1">
        <f t="array" ref="AK454">IF(OR(E454="", H454=""), "",
  IFERROR(
     (
      INDEX($AM$3:$AM$22, MATCH(E454, $AL$3:$AL$22, 1)) +
      (E454 - INDEX($AL$3:$AL$22, MATCH(E454, $AL$3:$AL$22, 1))) *
      (INDEX($AM$3:$AM$22, MATCH(E454, $AL$3:$AL$22, 1)+1) - INDEX($AM$3:$AM$22, MATCH(E454, $AL$3:$AL$22, 1))) /
      (INDEX($AL$3:$AL$22, MATCH(E454, $AL$3:$AL$22, 1)+1) - INDEX($AL$3:$AL$22, MATCH(E454, $AL$3:$AL$22, 1)))
    ) - H454,
    ""
  )
)</f>
        <v/>
      </c>
      <c r="AL454" s="137"/>
      <c r="AM454" s="137"/>
      <c r="AN454" s="138"/>
    </row>
    <row r="455" spans="1:40" x14ac:dyDescent="0.35">
      <c r="A455" s="122">
        <f t="shared" si="244"/>
        <v>3</v>
      </c>
      <c r="B455" s="123">
        <f t="shared" si="244"/>
        <v>19</v>
      </c>
      <c r="C455" s="124" t="str">
        <f t="shared" si="245"/>
        <v/>
      </c>
      <c r="D455" s="125"/>
      <c r="E455" s="124" t="str">
        <f t="shared" si="237"/>
        <v/>
      </c>
      <c r="F455" s="125"/>
      <c r="G455" s="125"/>
      <c r="H455" s="126" t="str">
        <f t="shared" si="246"/>
        <v/>
      </c>
      <c r="I455" s="124" t="str">
        <f t="shared" si="247"/>
        <v/>
      </c>
      <c r="J455" s="125" t="str">
        <f t="shared" si="243"/>
        <v/>
      </c>
      <c r="K455" s="124" t="str">
        <f t="shared" si="238"/>
        <v/>
      </c>
      <c r="L455" s="127"/>
      <c r="M455" s="134"/>
      <c r="N455" s="124" t="str">
        <f t="shared" si="255"/>
        <v/>
      </c>
      <c r="O455" s="124">
        <f t="shared" si="253"/>
        <v>0</v>
      </c>
      <c r="P455" s="128" t="str">
        <f t="shared" si="248"/>
        <v/>
      </c>
      <c r="Q455" s="129" t="str">
        <f t="shared" si="239"/>
        <v/>
      </c>
      <c r="R455" s="124" t="str">
        <f t="shared" si="256"/>
        <v/>
      </c>
      <c r="S455" s="124" t="str">
        <f t="shared" si="254"/>
        <v/>
      </c>
      <c r="T455" s="124" t="str">
        <f t="shared" si="257"/>
        <v/>
      </c>
      <c r="U455" s="124" t="str">
        <f t="shared" si="258"/>
        <v/>
      </c>
      <c r="V455" s="126" t="str">
        <f t="shared" si="235"/>
        <v/>
      </c>
      <c r="W455" s="124" t="str">
        <f t="shared" si="249"/>
        <v/>
      </c>
      <c r="X455" s="124" t="str">
        <f t="shared" si="250"/>
        <v/>
      </c>
      <c r="Y455" s="124" t="str">
        <f t="shared" si="259"/>
        <v/>
      </c>
      <c r="Z455" s="124" t="str">
        <f t="shared" si="240"/>
        <v/>
      </c>
      <c r="AA455" s="130" t="str">
        <f t="shared" si="260"/>
        <v/>
      </c>
      <c r="AB455" s="124" t="str">
        <f t="shared" si="234"/>
        <v/>
      </c>
      <c r="AC455" s="131"/>
      <c r="AD455" s="132" t="str">
        <f t="shared" si="261"/>
        <v/>
      </c>
      <c r="AE455" s="132" t="str">
        <f t="shared" si="261"/>
        <v/>
      </c>
      <c r="AF455" s="132" t="str">
        <f t="shared" si="262"/>
        <v/>
      </c>
      <c r="AG455" s="132" t="str">
        <f t="shared" si="263"/>
        <v/>
      </c>
      <c r="AH455" s="132" t="str">
        <f t="shared" si="251"/>
        <v/>
      </c>
      <c r="AI455" s="132" t="str">
        <f t="shared" si="252"/>
        <v/>
      </c>
      <c r="AJ455" s="133" t="str">
        <f t="shared" ref="AJ455:AJ503" si="264">IFERROR(IF(E455="","",IF(E455&lt;$AL$3,AN$4,INDEX(AN$4:AN$22,MATCH(E455,AL$3:AL$22,1)))),"")</f>
        <v/>
      </c>
      <c r="AK455" s="133" t="str" cm="1">
        <f t="array" ref="AK455">IF(OR(E455="", H455=""), "",
  IFERROR(
     (
      INDEX($AM$3:$AM$22, MATCH(E455, $AL$3:$AL$22, 1)) +
      (E455 - INDEX($AL$3:$AL$22, MATCH(E455, $AL$3:$AL$22, 1))) *
      (INDEX($AM$3:$AM$22, MATCH(E455, $AL$3:$AL$22, 1)+1) - INDEX($AM$3:$AM$22, MATCH(E455, $AL$3:$AL$22, 1))) /
      (INDEX($AL$3:$AL$22, MATCH(E455, $AL$3:$AL$22, 1)+1) - INDEX($AL$3:$AL$22, MATCH(E455, $AL$3:$AL$22, 1)))
    ) - H455,
    ""
  )
)</f>
        <v/>
      </c>
      <c r="AL455" s="135"/>
      <c r="AM455" s="135"/>
      <c r="AN455" s="136"/>
    </row>
    <row r="456" spans="1:40" x14ac:dyDescent="0.35">
      <c r="A456" s="109">
        <f t="shared" si="244"/>
        <v>3</v>
      </c>
      <c r="B456" s="110">
        <f t="shared" si="244"/>
        <v>19</v>
      </c>
      <c r="C456" s="111" t="str">
        <f t="shared" si="245"/>
        <v/>
      </c>
      <c r="D456" s="112"/>
      <c r="E456" s="111" t="str">
        <f t="shared" si="237"/>
        <v/>
      </c>
      <c r="F456" s="112"/>
      <c r="G456" s="112"/>
      <c r="H456" s="113" t="str">
        <f t="shared" si="246"/>
        <v/>
      </c>
      <c r="I456" s="111" t="str">
        <f t="shared" si="247"/>
        <v/>
      </c>
      <c r="J456" s="112" t="str">
        <f t="shared" si="243"/>
        <v/>
      </c>
      <c r="K456" s="111" t="str">
        <f t="shared" si="238"/>
        <v/>
      </c>
      <c r="L456" s="114"/>
      <c r="M456" s="115"/>
      <c r="N456" s="111" t="str">
        <f t="shared" si="255"/>
        <v/>
      </c>
      <c r="O456" s="111">
        <f t="shared" si="253"/>
        <v>0</v>
      </c>
      <c r="P456" s="116" t="str">
        <f t="shared" si="248"/>
        <v/>
      </c>
      <c r="Q456" s="117" t="str">
        <f t="shared" si="239"/>
        <v/>
      </c>
      <c r="R456" s="111" t="str">
        <f t="shared" si="256"/>
        <v/>
      </c>
      <c r="S456" s="111" t="str">
        <f t="shared" si="254"/>
        <v/>
      </c>
      <c r="T456" s="111" t="str">
        <f t="shared" si="257"/>
        <v/>
      </c>
      <c r="U456" s="111" t="str">
        <f t="shared" si="258"/>
        <v/>
      </c>
      <c r="V456" s="113" t="str">
        <f t="shared" si="235"/>
        <v/>
      </c>
      <c r="W456" s="111" t="str">
        <f t="shared" si="249"/>
        <v/>
      </c>
      <c r="X456" s="111" t="str">
        <f t="shared" si="250"/>
        <v/>
      </c>
      <c r="Y456" s="111" t="str">
        <f t="shared" si="259"/>
        <v/>
      </c>
      <c r="Z456" s="111" t="str">
        <f t="shared" si="240"/>
        <v/>
      </c>
      <c r="AA456" s="118" t="str">
        <f t="shared" si="260"/>
        <v/>
      </c>
      <c r="AB456" s="111" t="str">
        <f t="shared" si="234"/>
        <v/>
      </c>
      <c r="AC456" s="119"/>
      <c r="AD456" s="120" t="str">
        <f t="shared" si="261"/>
        <v/>
      </c>
      <c r="AE456" s="120" t="str">
        <f t="shared" si="261"/>
        <v/>
      </c>
      <c r="AF456" s="120" t="str">
        <f t="shared" si="262"/>
        <v/>
      </c>
      <c r="AG456" s="120" t="str">
        <f t="shared" si="263"/>
        <v/>
      </c>
      <c r="AH456" s="120" t="str">
        <f t="shared" si="251"/>
        <v/>
      </c>
      <c r="AI456" s="120" t="str">
        <f t="shared" si="252"/>
        <v/>
      </c>
      <c r="AJ456" s="121" t="str">
        <f t="shared" si="264"/>
        <v/>
      </c>
      <c r="AK456" s="121" t="str" cm="1">
        <f t="array" ref="AK456">IF(OR(E456="", H456=""), "",
  IFERROR(
     (
      INDEX($AM$3:$AM$22, MATCH(E456, $AL$3:$AL$22, 1)) +
      (E456 - INDEX($AL$3:$AL$22, MATCH(E456, $AL$3:$AL$22, 1))) *
      (INDEX($AM$3:$AM$22, MATCH(E456, $AL$3:$AL$22, 1)+1) - INDEX($AM$3:$AM$22, MATCH(E456, $AL$3:$AL$22, 1))) /
      (INDEX($AL$3:$AL$22, MATCH(E456, $AL$3:$AL$22, 1)+1) - INDEX($AL$3:$AL$22, MATCH(E456, $AL$3:$AL$22, 1)))
    ) - H456,
    ""
  )
)</f>
        <v/>
      </c>
      <c r="AL456" s="137"/>
      <c r="AM456" s="137"/>
      <c r="AN456" s="138"/>
    </row>
    <row r="457" spans="1:40" x14ac:dyDescent="0.35">
      <c r="A457" s="122">
        <f t="shared" si="244"/>
        <v>3</v>
      </c>
      <c r="B457" s="123">
        <f t="shared" si="244"/>
        <v>19</v>
      </c>
      <c r="C457" s="124" t="str">
        <f t="shared" si="245"/>
        <v/>
      </c>
      <c r="D457" s="125"/>
      <c r="E457" s="124" t="str">
        <f t="shared" si="237"/>
        <v/>
      </c>
      <c r="F457" s="125"/>
      <c r="G457" s="125"/>
      <c r="H457" s="126" t="str">
        <f t="shared" si="246"/>
        <v/>
      </c>
      <c r="I457" s="124" t="str">
        <f t="shared" si="247"/>
        <v/>
      </c>
      <c r="J457" s="125" t="str">
        <f t="shared" si="243"/>
        <v/>
      </c>
      <c r="K457" s="124" t="str">
        <f t="shared" si="238"/>
        <v/>
      </c>
      <c r="L457" s="127"/>
      <c r="M457" s="134"/>
      <c r="N457" s="124" t="str">
        <f t="shared" si="255"/>
        <v/>
      </c>
      <c r="O457" s="124">
        <f t="shared" si="253"/>
        <v>0</v>
      </c>
      <c r="P457" s="128" t="str">
        <f t="shared" si="248"/>
        <v/>
      </c>
      <c r="Q457" s="129" t="str">
        <f t="shared" si="239"/>
        <v/>
      </c>
      <c r="R457" s="124" t="str">
        <f t="shared" si="256"/>
        <v/>
      </c>
      <c r="S457" s="124" t="str">
        <f t="shared" si="254"/>
        <v/>
      </c>
      <c r="T457" s="124" t="str">
        <f t="shared" si="257"/>
        <v/>
      </c>
      <c r="U457" s="124" t="str">
        <f t="shared" si="258"/>
        <v/>
      </c>
      <c r="V457" s="126" t="str">
        <f t="shared" si="235"/>
        <v/>
      </c>
      <c r="W457" s="124" t="str">
        <f t="shared" si="249"/>
        <v/>
      </c>
      <c r="X457" s="124" t="str">
        <f t="shared" si="250"/>
        <v/>
      </c>
      <c r="Y457" s="124" t="str">
        <f t="shared" si="259"/>
        <v/>
      </c>
      <c r="Z457" s="124" t="str">
        <f t="shared" si="240"/>
        <v/>
      </c>
      <c r="AA457" s="130" t="str">
        <f t="shared" si="260"/>
        <v/>
      </c>
      <c r="AB457" s="124" t="str">
        <f t="shared" si="234"/>
        <v/>
      </c>
      <c r="AC457" s="131"/>
      <c r="AD457" s="132" t="str">
        <f t="shared" si="261"/>
        <v/>
      </c>
      <c r="AE457" s="132" t="str">
        <f t="shared" si="261"/>
        <v/>
      </c>
      <c r="AF457" s="132" t="str">
        <f t="shared" si="262"/>
        <v/>
      </c>
      <c r="AG457" s="132" t="str">
        <f t="shared" si="263"/>
        <v/>
      </c>
      <c r="AH457" s="132" t="str">
        <f t="shared" si="251"/>
        <v/>
      </c>
      <c r="AI457" s="132" t="str">
        <f t="shared" si="252"/>
        <v/>
      </c>
      <c r="AJ457" s="133" t="str">
        <f t="shared" si="264"/>
        <v/>
      </c>
      <c r="AK457" s="133" t="str" cm="1">
        <f t="array" ref="AK457">IF(OR(E457="", H457=""), "",
  IFERROR(
     (
      INDEX($AM$3:$AM$22, MATCH(E457, $AL$3:$AL$22, 1)) +
      (E457 - INDEX($AL$3:$AL$22, MATCH(E457, $AL$3:$AL$22, 1))) *
      (INDEX($AM$3:$AM$22, MATCH(E457, $AL$3:$AL$22, 1)+1) - INDEX($AM$3:$AM$22, MATCH(E457, $AL$3:$AL$22, 1))) /
      (INDEX($AL$3:$AL$22, MATCH(E457, $AL$3:$AL$22, 1)+1) - INDEX($AL$3:$AL$22, MATCH(E457, $AL$3:$AL$22, 1)))
    ) - H457,
    ""
  )
)</f>
        <v/>
      </c>
      <c r="AL457" s="135"/>
      <c r="AM457" s="135"/>
      <c r="AN457" s="136"/>
    </row>
    <row r="458" spans="1:40" x14ac:dyDescent="0.35">
      <c r="A458" s="109">
        <f t="shared" si="244"/>
        <v>3</v>
      </c>
      <c r="B458" s="110">
        <f t="shared" si="244"/>
        <v>19</v>
      </c>
      <c r="C458" s="111" t="str">
        <f t="shared" si="245"/>
        <v/>
      </c>
      <c r="D458" s="112"/>
      <c r="E458" s="111" t="str">
        <f t="shared" si="237"/>
        <v/>
      </c>
      <c r="F458" s="112"/>
      <c r="G458" s="112"/>
      <c r="H458" s="113" t="str">
        <f t="shared" si="246"/>
        <v/>
      </c>
      <c r="I458" s="111" t="str">
        <f t="shared" si="247"/>
        <v/>
      </c>
      <c r="J458" s="112" t="str">
        <f t="shared" si="243"/>
        <v/>
      </c>
      <c r="K458" s="111" t="str">
        <f t="shared" si="238"/>
        <v/>
      </c>
      <c r="L458" s="114"/>
      <c r="M458" s="115"/>
      <c r="N458" s="111" t="str">
        <f t="shared" si="255"/>
        <v/>
      </c>
      <c r="O458" s="111">
        <f t="shared" si="253"/>
        <v>0</v>
      </c>
      <c r="P458" s="116" t="str">
        <f t="shared" si="248"/>
        <v/>
      </c>
      <c r="Q458" s="117" t="str">
        <f t="shared" si="239"/>
        <v/>
      </c>
      <c r="R458" s="111" t="str">
        <f t="shared" si="256"/>
        <v/>
      </c>
      <c r="S458" s="111" t="str">
        <f t="shared" si="254"/>
        <v/>
      </c>
      <c r="T458" s="111" t="str">
        <f t="shared" si="257"/>
        <v/>
      </c>
      <c r="U458" s="111" t="str">
        <f t="shared" si="258"/>
        <v/>
      </c>
      <c r="V458" s="113" t="str">
        <f t="shared" si="235"/>
        <v/>
      </c>
      <c r="W458" s="111" t="str">
        <f t="shared" si="249"/>
        <v/>
      </c>
      <c r="X458" s="111" t="str">
        <f t="shared" si="250"/>
        <v/>
      </c>
      <c r="Y458" s="111" t="str">
        <f t="shared" si="259"/>
        <v/>
      </c>
      <c r="Z458" s="111" t="str">
        <f t="shared" si="240"/>
        <v/>
      </c>
      <c r="AA458" s="118" t="str">
        <f t="shared" si="260"/>
        <v/>
      </c>
      <c r="AB458" s="111" t="str">
        <f t="shared" ref="AB458:AB503" si="265">IF(L458="","",C459-L458)</f>
        <v/>
      </c>
      <c r="AC458" s="119"/>
      <c r="AD458" s="120" t="str">
        <f t="shared" si="261"/>
        <v/>
      </c>
      <c r="AE458" s="120" t="str">
        <f t="shared" si="261"/>
        <v/>
      </c>
      <c r="AF458" s="120" t="str">
        <f t="shared" si="262"/>
        <v/>
      </c>
      <c r="AG458" s="120" t="str">
        <f t="shared" si="263"/>
        <v/>
      </c>
      <c r="AH458" s="120" t="str">
        <f t="shared" si="251"/>
        <v/>
      </c>
      <c r="AI458" s="120" t="str">
        <f t="shared" si="252"/>
        <v/>
      </c>
      <c r="AJ458" s="121" t="str">
        <f t="shared" si="264"/>
        <v/>
      </c>
      <c r="AK458" s="121" t="str" cm="1">
        <f t="array" ref="AK458">IF(OR(E458="", H458=""), "",
  IFERROR(
     (
      INDEX($AM$3:$AM$22, MATCH(E458, $AL$3:$AL$22, 1)) +
      (E458 - INDEX($AL$3:$AL$22, MATCH(E458, $AL$3:$AL$22, 1))) *
      (INDEX($AM$3:$AM$22, MATCH(E458, $AL$3:$AL$22, 1)+1) - INDEX($AM$3:$AM$22, MATCH(E458, $AL$3:$AL$22, 1))) /
      (INDEX($AL$3:$AL$22, MATCH(E458, $AL$3:$AL$22, 1)+1) - INDEX($AL$3:$AL$22, MATCH(E458, $AL$3:$AL$22, 1)))
    ) - H458,
    ""
  )
)</f>
        <v/>
      </c>
      <c r="AL458" s="137"/>
      <c r="AM458" s="137"/>
      <c r="AN458" s="138"/>
    </row>
    <row r="459" spans="1:40" x14ac:dyDescent="0.35">
      <c r="A459" s="122">
        <f t="shared" si="244"/>
        <v>3</v>
      </c>
      <c r="B459" s="123">
        <f t="shared" si="244"/>
        <v>19</v>
      </c>
      <c r="C459" s="124" t="str">
        <f t="shared" si="245"/>
        <v/>
      </c>
      <c r="D459" s="125"/>
      <c r="E459" s="124" t="str">
        <f t="shared" si="237"/>
        <v/>
      </c>
      <c r="F459" s="125"/>
      <c r="G459" s="125"/>
      <c r="H459" s="126" t="str">
        <f t="shared" si="246"/>
        <v/>
      </c>
      <c r="I459" s="124" t="str">
        <f t="shared" si="247"/>
        <v/>
      </c>
      <c r="J459" s="125" t="str">
        <f t="shared" si="243"/>
        <v/>
      </c>
      <c r="K459" s="124" t="str">
        <f t="shared" si="238"/>
        <v/>
      </c>
      <c r="L459" s="127"/>
      <c r="M459" s="134"/>
      <c r="N459" s="124" t="str">
        <f t="shared" si="255"/>
        <v/>
      </c>
      <c r="O459" s="124">
        <f t="shared" si="253"/>
        <v>0</v>
      </c>
      <c r="P459" s="128" t="str">
        <f t="shared" si="248"/>
        <v/>
      </c>
      <c r="Q459" s="129" t="str">
        <f t="shared" si="239"/>
        <v/>
      </c>
      <c r="R459" s="124" t="str">
        <f t="shared" si="256"/>
        <v/>
      </c>
      <c r="S459" s="124" t="str">
        <f t="shared" si="254"/>
        <v/>
      </c>
      <c r="T459" s="124" t="str">
        <f t="shared" si="257"/>
        <v/>
      </c>
      <c r="U459" s="124" t="str">
        <f t="shared" si="258"/>
        <v/>
      </c>
      <c r="V459" s="126" t="str">
        <f t="shared" si="235"/>
        <v/>
      </c>
      <c r="W459" s="124" t="str">
        <f t="shared" si="249"/>
        <v/>
      </c>
      <c r="X459" s="124" t="str">
        <f t="shared" si="250"/>
        <v/>
      </c>
      <c r="Y459" s="124" t="str">
        <f t="shared" si="259"/>
        <v/>
      </c>
      <c r="Z459" s="124" t="str">
        <f t="shared" si="240"/>
        <v/>
      </c>
      <c r="AA459" s="130" t="str">
        <f t="shared" si="260"/>
        <v/>
      </c>
      <c r="AB459" s="124" t="str">
        <f t="shared" si="265"/>
        <v/>
      </c>
      <c r="AC459" s="131"/>
      <c r="AD459" s="132" t="str">
        <f t="shared" si="261"/>
        <v/>
      </c>
      <c r="AE459" s="132" t="str">
        <f t="shared" si="261"/>
        <v/>
      </c>
      <c r="AF459" s="132" t="str">
        <f t="shared" si="262"/>
        <v/>
      </c>
      <c r="AG459" s="132" t="str">
        <f t="shared" si="263"/>
        <v/>
      </c>
      <c r="AH459" s="132" t="str">
        <f t="shared" si="251"/>
        <v/>
      </c>
      <c r="AI459" s="132" t="str">
        <f t="shared" si="252"/>
        <v/>
      </c>
      <c r="AJ459" s="133" t="str">
        <f t="shared" si="264"/>
        <v/>
      </c>
      <c r="AK459" s="133" t="str" cm="1">
        <f t="array" ref="AK459">IF(OR(E459="", H459=""), "",
  IFERROR(
     (
      INDEX($AM$3:$AM$22, MATCH(E459, $AL$3:$AL$22, 1)) +
      (E459 - INDEX($AL$3:$AL$22, MATCH(E459, $AL$3:$AL$22, 1))) *
      (INDEX($AM$3:$AM$22, MATCH(E459, $AL$3:$AL$22, 1)+1) - INDEX($AM$3:$AM$22, MATCH(E459, $AL$3:$AL$22, 1))) /
      (INDEX($AL$3:$AL$22, MATCH(E459, $AL$3:$AL$22, 1)+1) - INDEX($AL$3:$AL$22, MATCH(E459, $AL$3:$AL$22, 1)))
    ) - H459,
    ""
  )
)</f>
        <v/>
      </c>
      <c r="AL459" s="135"/>
      <c r="AM459" s="135"/>
      <c r="AN459" s="136"/>
    </row>
    <row r="460" spans="1:40" x14ac:dyDescent="0.35">
      <c r="A460" s="109">
        <f t="shared" si="244"/>
        <v>3</v>
      </c>
      <c r="B460" s="110">
        <f t="shared" si="244"/>
        <v>19</v>
      </c>
      <c r="C460" s="111" t="str">
        <f t="shared" si="245"/>
        <v/>
      </c>
      <c r="D460" s="112"/>
      <c r="E460" s="111" t="str">
        <f t="shared" si="237"/>
        <v/>
      </c>
      <c r="F460" s="112"/>
      <c r="G460" s="112"/>
      <c r="H460" s="113" t="str">
        <f t="shared" si="246"/>
        <v/>
      </c>
      <c r="I460" s="111" t="str">
        <f t="shared" si="247"/>
        <v/>
      </c>
      <c r="J460" s="112" t="str">
        <f t="shared" si="243"/>
        <v/>
      </c>
      <c r="K460" s="111" t="str">
        <f t="shared" si="238"/>
        <v/>
      </c>
      <c r="L460" s="114"/>
      <c r="M460" s="115"/>
      <c r="N460" s="111" t="str">
        <f t="shared" si="255"/>
        <v/>
      </c>
      <c r="O460" s="111">
        <f t="shared" si="253"/>
        <v>0</v>
      </c>
      <c r="P460" s="116" t="str">
        <f t="shared" si="248"/>
        <v/>
      </c>
      <c r="Q460" s="117" t="str">
        <f t="shared" si="239"/>
        <v/>
      </c>
      <c r="R460" s="111" t="str">
        <f t="shared" si="256"/>
        <v/>
      </c>
      <c r="S460" s="111" t="str">
        <f t="shared" si="254"/>
        <v/>
      </c>
      <c r="T460" s="111" t="str">
        <f t="shared" si="257"/>
        <v/>
      </c>
      <c r="U460" s="111" t="str">
        <f t="shared" si="258"/>
        <v/>
      </c>
      <c r="V460" s="113" t="str">
        <f t="shared" si="235"/>
        <v/>
      </c>
      <c r="W460" s="111" t="str">
        <f t="shared" si="249"/>
        <v/>
      </c>
      <c r="X460" s="111" t="str">
        <f t="shared" si="250"/>
        <v/>
      </c>
      <c r="Y460" s="111" t="str">
        <f t="shared" si="259"/>
        <v/>
      </c>
      <c r="Z460" s="111" t="str">
        <f t="shared" si="240"/>
        <v/>
      </c>
      <c r="AA460" s="118" t="str">
        <f t="shared" si="260"/>
        <v/>
      </c>
      <c r="AB460" s="111" t="str">
        <f t="shared" si="265"/>
        <v/>
      </c>
      <c r="AC460" s="119"/>
      <c r="AD460" s="120" t="str">
        <f t="shared" si="261"/>
        <v/>
      </c>
      <c r="AE460" s="120" t="str">
        <f t="shared" si="261"/>
        <v/>
      </c>
      <c r="AF460" s="120" t="str">
        <f t="shared" si="262"/>
        <v/>
      </c>
      <c r="AG460" s="120" t="str">
        <f t="shared" si="263"/>
        <v/>
      </c>
      <c r="AH460" s="120" t="str">
        <f t="shared" si="251"/>
        <v/>
      </c>
      <c r="AI460" s="120" t="str">
        <f t="shared" si="252"/>
        <v/>
      </c>
      <c r="AJ460" s="121" t="str">
        <f t="shared" si="264"/>
        <v/>
      </c>
      <c r="AK460" s="121" t="str" cm="1">
        <f t="array" ref="AK460">IF(OR(E460="", H460=""), "",
  IFERROR(
     (
      INDEX($AM$3:$AM$22, MATCH(E460, $AL$3:$AL$22, 1)) +
      (E460 - INDEX($AL$3:$AL$22, MATCH(E460, $AL$3:$AL$22, 1))) *
      (INDEX($AM$3:$AM$22, MATCH(E460, $AL$3:$AL$22, 1)+1) - INDEX($AM$3:$AM$22, MATCH(E460, $AL$3:$AL$22, 1))) /
      (INDEX($AL$3:$AL$22, MATCH(E460, $AL$3:$AL$22, 1)+1) - INDEX($AL$3:$AL$22, MATCH(E460, $AL$3:$AL$22, 1)))
    ) - H460,
    ""
  )
)</f>
        <v/>
      </c>
      <c r="AL460" s="137"/>
      <c r="AM460" s="137"/>
      <c r="AN460" s="138"/>
    </row>
    <row r="461" spans="1:40" x14ac:dyDescent="0.35">
      <c r="A461" s="122">
        <f t="shared" si="244"/>
        <v>3</v>
      </c>
      <c r="B461" s="123">
        <f t="shared" si="244"/>
        <v>19</v>
      </c>
      <c r="C461" s="124" t="str">
        <f t="shared" si="245"/>
        <v/>
      </c>
      <c r="D461" s="125"/>
      <c r="E461" s="124" t="str">
        <f t="shared" si="237"/>
        <v/>
      </c>
      <c r="F461" s="125"/>
      <c r="G461" s="125"/>
      <c r="H461" s="126" t="str">
        <f t="shared" si="246"/>
        <v/>
      </c>
      <c r="I461" s="124" t="str">
        <f t="shared" si="247"/>
        <v/>
      </c>
      <c r="J461" s="125" t="str">
        <f t="shared" si="243"/>
        <v/>
      </c>
      <c r="K461" s="124" t="str">
        <f t="shared" si="238"/>
        <v/>
      </c>
      <c r="L461" s="127"/>
      <c r="M461" s="134"/>
      <c r="N461" s="124" t="str">
        <f t="shared" si="255"/>
        <v/>
      </c>
      <c r="O461" s="124">
        <f t="shared" si="253"/>
        <v>0</v>
      </c>
      <c r="P461" s="128" t="str">
        <f t="shared" si="248"/>
        <v/>
      </c>
      <c r="Q461" s="129" t="str">
        <f t="shared" si="239"/>
        <v/>
      </c>
      <c r="R461" s="124" t="str">
        <f t="shared" si="256"/>
        <v/>
      </c>
      <c r="S461" s="124" t="str">
        <f t="shared" si="254"/>
        <v/>
      </c>
      <c r="T461" s="124" t="str">
        <f t="shared" si="257"/>
        <v/>
      </c>
      <c r="U461" s="124" t="str">
        <f t="shared" si="258"/>
        <v/>
      </c>
      <c r="V461" s="126" t="str">
        <f t="shared" ref="V461:V500" si="266">IF(F461="","",IF(N461="",IF(O461="",(F461-F460)/30,AVERAGE(V460,V459,V458)),(F461-F460)/N461))</f>
        <v/>
      </c>
      <c r="W461" s="124" t="str">
        <f t="shared" si="249"/>
        <v/>
      </c>
      <c r="X461" s="124" t="str">
        <f t="shared" si="250"/>
        <v/>
      </c>
      <c r="Y461" s="124" t="str">
        <f t="shared" si="259"/>
        <v/>
      </c>
      <c r="Z461" s="124" t="str">
        <f t="shared" si="240"/>
        <v/>
      </c>
      <c r="AA461" s="130" t="str">
        <f t="shared" si="260"/>
        <v/>
      </c>
      <c r="AB461" s="124" t="str">
        <f t="shared" si="265"/>
        <v/>
      </c>
      <c r="AC461" s="131"/>
      <c r="AD461" s="132" t="str">
        <f t="shared" si="261"/>
        <v/>
      </c>
      <c r="AE461" s="132" t="str">
        <f t="shared" si="261"/>
        <v/>
      </c>
      <c r="AF461" s="132" t="str">
        <f t="shared" si="262"/>
        <v/>
      </c>
      <c r="AG461" s="132" t="str">
        <f t="shared" si="263"/>
        <v/>
      </c>
      <c r="AH461" s="132" t="str">
        <f t="shared" si="251"/>
        <v/>
      </c>
      <c r="AI461" s="132" t="str">
        <f t="shared" si="252"/>
        <v/>
      </c>
      <c r="AJ461" s="133" t="str">
        <f t="shared" si="264"/>
        <v/>
      </c>
      <c r="AK461" s="133" t="str" cm="1">
        <f t="array" ref="AK461">IF(OR(E461="", H461=""), "",
  IFERROR(
     (
      INDEX($AM$3:$AM$22, MATCH(E461, $AL$3:$AL$22, 1)) +
      (E461 - INDEX($AL$3:$AL$22, MATCH(E461, $AL$3:$AL$22, 1))) *
      (INDEX($AM$3:$AM$22, MATCH(E461, $AL$3:$AL$22, 1)+1) - INDEX($AM$3:$AM$22, MATCH(E461, $AL$3:$AL$22, 1))) /
      (INDEX($AL$3:$AL$22, MATCH(E461, $AL$3:$AL$22, 1)+1) - INDEX($AL$3:$AL$22, MATCH(E461, $AL$3:$AL$22, 1)))
    ) - H461,
    ""
  )
)</f>
        <v/>
      </c>
      <c r="AL461" s="135"/>
      <c r="AM461" s="135"/>
      <c r="AN461" s="136"/>
    </row>
    <row r="462" spans="1:40" x14ac:dyDescent="0.35">
      <c r="A462" s="109">
        <f t="shared" si="244"/>
        <v>3</v>
      </c>
      <c r="B462" s="110">
        <f t="shared" si="244"/>
        <v>19</v>
      </c>
      <c r="C462" s="111" t="str">
        <f t="shared" si="245"/>
        <v/>
      </c>
      <c r="D462" s="112"/>
      <c r="E462" s="111" t="str">
        <f t="shared" si="237"/>
        <v/>
      </c>
      <c r="F462" s="112"/>
      <c r="G462" s="112"/>
      <c r="H462" s="113" t="str">
        <f t="shared" si="246"/>
        <v/>
      </c>
      <c r="I462" s="111" t="str">
        <f t="shared" si="247"/>
        <v/>
      </c>
      <c r="J462" s="112" t="str">
        <f t="shared" si="243"/>
        <v/>
      </c>
      <c r="K462" s="111" t="str">
        <f t="shared" si="238"/>
        <v/>
      </c>
      <c r="L462" s="114"/>
      <c r="M462" s="115"/>
      <c r="N462" s="111" t="str">
        <f t="shared" si="255"/>
        <v/>
      </c>
      <c r="O462" s="111">
        <f t="shared" si="253"/>
        <v>0</v>
      </c>
      <c r="P462" s="116" t="str">
        <f t="shared" si="248"/>
        <v/>
      </c>
      <c r="Q462" s="117" t="str">
        <f t="shared" si="239"/>
        <v/>
      </c>
      <c r="R462" s="111" t="str">
        <f t="shared" si="256"/>
        <v/>
      </c>
      <c r="S462" s="111" t="str">
        <f t="shared" si="254"/>
        <v/>
      </c>
      <c r="T462" s="111" t="str">
        <f t="shared" si="257"/>
        <v/>
      </c>
      <c r="U462" s="111" t="str">
        <f t="shared" si="258"/>
        <v/>
      </c>
      <c r="V462" s="113" t="str">
        <f t="shared" si="266"/>
        <v/>
      </c>
      <c r="W462" s="111" t="str">
        <f t="shared" si="249"/>
        <v/>
      </c>
      <c r="X462" s="111" t="str">
        <f t="shared" si="250"/>
        <v/>
      </c>
      <c r="Y462" s="111" t="str">
        <f t="shared" si="259"/>
        <v/>
      </c>
      <c r="Z462" s="111" t="str">
        <f t="shared" si="240"/>
        <v/>
      </c>
      <c r="AA462" s="118" t="str">
        <f t="shared" si="260"/>
        <v/>
      </c>
      <c r="AB462" s="111" t="str">
        <f t="shared" si="265"/>
        <v/>
      </c>
      <c r="AC462" s="119"/>
      <c r="AD462" s="120" t="str">
        <f t="shared" si="261"/>
        <v/>
      </c>
      <c r="AE462" s="120" t="str">
        <f t="shared" si="261"/>
        <v/>
      </c>
      <c r="AF462" s="120" t="str">
        <f t="shared" si="262"/>
        <v/>
      </c>
      <c r="AG462" s="120" t="str">
        <f t="shared" si="263"/>
        <v/>
      </c>
      <c r="AH462" s="120" t="str">
        <f t="shared" si="251"/>
        <v/>
      </c>
      <c r="AI462" s="120" t="str">
        <f t="shared" si="252"/>
        <v/>
      </c>
      <c r="AJ462" s="121" t="str">
        <f t="shared" si="264"/>
        <v/>
      </c>
      <c r="AK462" s="121" t="str" cm="1">
        <f t="array" ref="AK462">IF(OR(E462="", H462=""), "",
  IFERROR(
     (
      INDEX($AM$3:$AM$22, MATCH(E462, $AL$3:$AL$22, 1)) +
      (E462 - INDEX($AL$3:$AL$22, MATCH(E462, $AL$3:$AL$22, 1))) *
      (INDEX($AM$3:$AM$22, MATCH(E462, $AL$3:$AL$22, 1)+1) - INDEX($AM$3:$AM$22, MATCH(E462, $AL$3:$AL$22, 1))) /
      (INDEX($AL$3:$AL$22, MATCH(E462, $AL$3:$AL$22, 1)+1) - INDEX($AL$3:$AL$22, MATCH(E462, $AL$3:$AL$22, 1)))
    ) - H462,
    ""
  )
)</f>
        <v/>
      </c>
      <c r="AL462" s="137"/>
      <c r="AM462" s="137"/>
      <c r="AN462" s="138"/>
    </row>
    <row r="463" spans="1:40" x14ac:dyDescent="0.35">
      <c r="A463" s="122">
        <f t="shared" si="244"/>
        <v>3</v>
      </c>
      <c r="B463" s="123">
        <f t="shared" si="244"/>
        <v>19</v>
      </c>
      <c r="C463" s="124" t="str">
        <f t="shared" si="245"/>
        <v/>
      </c>
      <c r="D463" s="125"/>
      <c r="E463" s="124" t="str">
        <f t="shared" si="237"/>
        <v/>
      </c>
      <c r="F463" s="125"/>
      <c r="G463" s="125"/>
      <c r="H463" s="126" t="str">
        <f t="shared" si="246"/>
        <v/>
      </c>
      <c r="I463" s="124" t="str">
        <f t="shared" si="247"/>
        <v/>
      </c>
      <c r="J463" s="125" t="str">
        <f t="shared" si="243"/>
        <v/>
      </c>
      <c r="K463" s="124" t="str">
        <f t="shared" si="238"/>
        <v/>
      </c>
      <c r="L463" s="127"/>
      <c r="M463" s="134"/>
      <c r="N463" s="124" t="str">
        <f t="shared" si="255"/>
        <v/>
      </c>
      <c r="O463" s="124">
        <f t="shared" si="253"/>
        <v>0</v>
      </c>
      <c r="P463" s="128" t="str">
        <f t="shared" si="248"/>
        <v/>
      </c>
      <c r="Q463" s="129" t="str">
        <f t="shared" si="239"/>
        <v/>
      </c>
      <c r="R463" s="124" t="str">
        <f t="shared" si="256"/>
        <v/>
      </c>
      <c r="S463" s="124" t="str">
        <f t="shared" si="254"/>
        <v/>
      </c>
      <c r="T463" s="124" t="str">
        <f t="shared" si="257"/>
        <v/>
      </c>
      <c r="U463" s="124" t="str">
        <f t="shared" si="258"/>
        <v/>
      </c>
      <c r="V463" s="126" t="str">
        <f t="shared" si="266"/>
        <v/>
      </c>
      <c r="W463" s="124" t="str">
        <f t="shared" si="249"/>
        <v/>
      </c>
      <c r="X463" s="124" t="str">
        <f t="shared" si="250"/>
        <v/>
      </c>
      <c r="Y463" s="124" t="str">
        <f t="shared" si="259"/>
        <v/>
      </c>
      <c r="Z463" s="124" t="str">
        <f t="shared" si="240"/>
        <v/>
      </c>
      <c r="AA463" s="130" t="str">
        <f t="shared" si="260"/>
        <v/>
      </c>
      <c r="AB463" s="124" t="str">
        <f t="shared" si="265"/>
        <v/>
      </c>
      <c r="AC463" s="131"/>
      <c r="AD463" s="132" t="str">
        <f t="shared" si="261"/>
        <v/>
      </c>
      <c r="AE463" s="132" t="str">
        <f t="shared" si="261"/>
        <v/>
      </c>
      <c r="AF463" s="132" t="str">
        <f t="shared" si="262"/>
        <v/>
      </c>
      <c r="AG463" s="132" t="str">
        <f t="shared" si="263"/>
        <v/>
      </c>
      <c r="AH463" s="132" t="str">
        <f t="shared" si="251"/>
        <v/>
      </c>
      <c r="AI463" s="132" t="str">
        <f t="shared" si="252"/>
        <v/>
      </c>
      <c r="AJ463" s="133" t="str">
        <f t="shared" si="264"/>
        <v/>
      </c>
      <c r="AK463" s="133" t="str" cm="1">
        <f t="array" ref="AK463">IF(OR(E463="", H463=""), "",
  IFERROR(
     (
      INDEX($AM$3:$AM$22, MATCH(E463, $AL$3:$AL$22, 1)) +
      (E463 - INDEX($AL$3:$AL$22, MATCH(E463, $AL$3:$AL$22, 1))) *
      (INDEX($AM$3:$AM$22, MATCH(E463, $AL$3:$AL$22, 1)+1) - INDEX($AM$3:$AM$22, MATCH(E463, $AL$3:$AL$22, 1))) /
      (INDEX($AL$3:$AL$22, MATCH(E463, $AL$3:$AL$22, 1)+1) - INDEX($AL$3:$AL$22, MATCH(E463, $AL$3:$AL$22, 1)))
    ) - H463,
    ""
  )
)</f>
        <v/>
      </c>
      <c r="AL463" s="135"/>
      <c r="AM463" s="135"/>
      <c r="AN463" s="136"/>
    </row>
    <row r="464" spans="1:40" x14ac:dyDescent="0.35">
      <c r="A464" s="109">
        <f t="shared" ref="A464:B479" si="267">+A463</f>
        <v>3</v>
      </c>
      <c r="B464" s="110">
        <f t="shared" si="267"/>
        <v>19</v>
      </c>
      <c r="C464" s="111" t="str">
        <f t="shared" si="245"/>
        <v/>
      </c>
      <c r="D464" s="112"/>
      <c r="E464" s="111" t="str">
        <f t="shared" si="237"/>
        <v/>
      </c>
      <c r="F464" s="112"/>
      <c r="G464" s="112"/>
      <c r="H464" s="113" t="str">
        <f t="shared" si="246"/>
        <v/>
      </c>
      <c r="I464" s="111" t="str">
        <f t="shared" si="247"/>
        <v/>
      </c>
      <c r="J464" s="112" t="str">
        <f t="shared" si="243"/>
        <v/>
      </c>
      <c r="K464" s="111" t="str">
        <f t="shared" si="238"/>
        <v/>
      </c>
      <c r="L464" s="114"/>
      <c r="M464" s="115"/>
      <c r="N464" s="111" t="str">
        <f t="shared" si="255"/>
        <v/>
      </c>
      <c r="O464" s="111">
        <f t="shared" si="253"/>
        <v>0</v>
      </c>
      <c r="P464" s="116" t="str">
        <f t="shared" si="248"/>
        <v/>
      </c>
      <c r="Q464" s="117" t="str">
        <f t="shared" si="239"/>
        <v/>
      </c>
      <c r="R464" s="111" t="str">
        <f t="shared" si="256"/>
        <v/>
      </c>
      <c r="S464" s="111" t="str">
        <f t="shared" si="254"/>
        <v/>
      </c>
      <c r="T464" s="111" t="str">
        <f t="shared" si="257"/>
        <v/>
      </c>
      <c r="U464" s="111" t="str">
        <f t="shared" si="258"/>
        <v/>
      </c>
      <c r="V464" s="113" t="str">
        <f t="shared" si="266"/>
        <v/>
      </c>
      <c r="W464" s="111" t="str">
        <f t="shared" si="249"/>
        <v/>
      </c>
      <c r="X464" s="111" t="str">
        <f t="shared" si="250"/>
        <v/>
      </c>
      <c r="Y464" s="111" t="str">
        <f t="shared" si="259"/>
        <v/>
      </c>
      <c r="Z464" s="111" t="str">
        <f t="shared" si="240"/>
        <v/>
      </c>
      <c r="AA464" s="118" t="str">
        <f t="shared" si="260"/>
        <v/>
      </c>
      <c r="AB464" s="111" t="str">
        <f t="shared" si="265"/>
        <v/>
      </c>
      <c r="AC464" s="119"/>
      <c r="AD464" s="120" t="str">
        <f t="shared" si="261"/>
        <v/>
      </c>
      <c r="AE464" s="120" t="str">
        <f t="shared" si="261"/>
        <v/>
      </c>
      <c r="AF464" s="120" t="str">
        <f t="shared" si="262"/>
        <v/>
      </c>
      <c r="AG464" s="120" t="str">
        <f t="shared" si="263"/>
        <v/>
      </c>
      <c r="AH464" s="120" t="str">
        <f t="shared" si="251"/>
        <v/>
      </c>
      <c r="AI464" s="120" t="str">
        <f t="shared" si="252"/>
        <v/>
      </c>
      <c r="AJ464" s="121" t="str">
        <f t="shared" si="264"/>
        <v/>
      </c>
      <c r="AK464" s="121" t="str" cm="1">
        <f t="array" ref="AK464">IF(OR(E464="", H464=""), "",
  IFERROR(
     (
      INDEX($AM$3:$AM$22, MATCH(E464, $AL$3:$AL$22, 1)) +
      (E464 - INDEX($AL$3:$AL$22, MATCH(E464, $AL$3:$AL$22, 1))) *
      (INDEX($AM$3:$AM$22, MATCH(E464, $AL$3:$AL$22, 1)+1) - INDEX($AM$3:$AM$22, MATCH(E464, $AL$3:$AL$22, 1))) /
      (INDEX($AL$3:$AL$22, MATCH(E464, $AL$3:$AL$22, 1)+1) - INDEX($AL$3:$AL$22, MATCH(E464, $AL$3:$AL$22, 1)))
    ) - H464,
    ""
  )
)</f>
        <v/>
      </c>
      <c r="AL464" s="137"/>
      <c r="AM464" s="137"/>
      <c r="AN464" s="138"/>
    </row>
    <row r="465" spans="1:40" x14ac:dyDescent="0.35">
      <c r="A465" s="122">
        <f t="shared" si="267"/>
        <v>3</v>
      </c>
      <c r="B465" s="123">
        <f t="shared" si="267"/>
        <v>19</v>
      </c>
      <c r="C465" s="124" t="str">
        <f t="shared" si="245"/>
        <v/>
      </c>
      <c r="D465" s="125"/>
      <c r="E465" s="124" t="str">
        <f t="shared" si="237"/>
        <v/>
      </c>
      <c r="F465" s="125"/>
      <c r="G465" s="125"/>
      <c r="H465" s="126" t="str">
        <f t="shared" si="246"/>
        <v/>
      </c>
      <c r="I465" s="124" t="str">
        <f t="shared" si="247"/>
        <v/>
      </c>
      <c r="J465" s="125" t="str">
        <f t="shared" si="243"/>
        <v/>
      </c>
      <c r="K465" s="124" t="str">
        <f t="shared" si="238"/>
        <v/>
      </c>
      <c r="L465" s="127"/>
      <c r="M465" s="134"/>
      <c r="N465" s="124" t="str">
        <f t="shared" si="255"/>
        <v/>
      </c>
      <c r="O465" s="124">
        <f t="shared" si="253"/>
        <v>0</v>
      </c>
      <c r="P465" s="128" t="str">
        <f t="shared" si="248"/>
        <v/>
      </c>
      <c r="Q465" s="129" t="str">
        <f t="shared" si="239"/>
        <v/>
      </c>
      <c r="R465" s="124" t="str">
        <f t="shared" si="256"/>
        <v/>
      </c>
      <c r="S465" s="124" t="str">
        <f t="shared" si="254"/>
        <v/>
      </c>
      <c r="T465" s="124" t="str">
        <f t="shared" si="257"/>
        <v/>
      </c>
      <c r="U465" s="124" t="str">
        <f t="shared" si="258"/>
        <v/>
      </c>
      <c r="V465" s="126" t="str">
        <f t="shared" si="266"/>
        <v/>
      </c>
      <c r="W465" s="124" t="str">
        <f t="shared" si="249"/>
        <v/>
      </c>
      <c r="X465" s="124" t="str">
        <f t="shared" si="250"/>
        <v/>
      </c>
      <c r="Y465" s="124" t="str">
        <f t="shared" si="259"/>
        <v/>
      </c>
      <c r="Z465" s="124" t="str">
        <f t="shared" si="240"/>
        <v/>
      </c>
      <c r="AA465" s="130" t="str">
        <f t="shared" si="260"/>
        <v/>
      </c>
      <c r="AB465" s="124" t="str">
        <f t="shared" si="265"/>
        <v/>
      </c>
      <c r="AC465" s="131"/>
      <c r="AD465" s="132" t="str">
        <f t="shared" si="261"/>
        <v/>
      </c>
      <c r="AE465" s="132" t="str">
        <f t="shared" si="261"/>
        <v/>
      </c>
      <c r="AF465" s="132" t="str">
        <f t="shared" si="262"/>
        <v/>
      </c>
      <c r="AG465" s="132" t="str">
        <f t="shared" si="263"/>
        <v/>
      </c>
      <c r="AH465" s="132" t="str">
        <f t="shared" si="251"/>
        <v/>
      </c>
      <c r="AI465" s="132" t="str">
        <f t="shared" si="252"/>
        <v/>
      </c>
      <c r="AJ465" s="133" t="str">
        <f t="shared" si="264"/>
        <v/>
      </c>
      <c r="AK465" s="133" t="str" cm="1">
        <f t="array" ref="AK465">IF(OR(E465="", H465=""), "",
  IFERROR(
     (
      INDEX($AM$3:$AM$22, MATCH(E465, $AL$3:$AL$22, 1)) +
      (E465 - INDEX($AL$3:$AL$22, MATCH(E465, $AL$3:$AL$22, 1))) *
      (INDEX($AM$3:$AM$22, MATCH(E465, $AL$3:$AL$22, 1)+1) - INDEX($AM$3:$AM$22, MATCH(E465, $AL$3:$AL$22, 1))) /
      (INDEX($AL$3:$AL$22, MATCH(E465, $AL$3:$AL$22, 1)+1) - INDEX($AL$3:$AL$22, MATCH(E465, $AL$3:$AL$22, 1)))
    ) - H465,
    ""
  )
)</f>
        <v/>
      </c>
      <c r="AL465" s="135"/>
      <c r="AM465" s="135"/>
      <c r="AN465" s="136"/>
    </row>
    <row r="466" spans="1:40" x14ac:dyDescent="0.35">
      <c r="A466" s="109">
        <f t="shared" si="267"/>
        <v>3</v>
      </c>
      <c r="B466" s="110">
        <f t="shared" si="267"/>
        <v>19</v>
      </c>
      <c r="C466" s="111" t="str">
        <f t="shared" si="245"/>
        <v/>
      </c>
      <c r="D466" s="112"/>
      <c r="E466" s="111" t="str">
        <f t="shared" si="237"/>
        <v/>
      </c>
      <c r="F466" s="112"/>
      <c r="G466" s="112"/>
      <c r="H466" s="113" t="str">
        <f t="shared" si="246"/>
        <v/>
      </c>
      <c r="I466" s="111" t="str">
        <f t="shared" si="247"/>
        <v/>
      </c>
      <c r="J466" s="112" t="str">
        <f t="shared" si="243"/>
        <v/>
      </c>
      <c r="K466" s="111" t="str">
        <f t="shared" si="238"/>
        <v/>
      </c>
      <c r="L466" s="114"/>
      <c r="M466" s="115"/>
      <c r="N466" s="111" t="str">
        <f t="shared" si="255"/>
        <v/>
      </c>
      <c r="O466" s="111">
        <f t="shared" si="253"/>
        <v>0</v>
      </c>
      <c r="P466" s="116" t="str">
        <f t="shared" si="248"/>
        <v/>
      </c>
      <c r="Q466" s="117" t="str">
        <f t="shared" si="239"/>
        <v/>
      </c>
      <c r="R466" s="111" t="str">
        <f t="shared" si="256"/>
        <v/>
      </c>
      <c r="S466" s="111" t="str">
        <f t="shared" si="254"/>
        <v/>
      </c>
      <c r="T466" s="111" t="str">
        <f t="shared" si="257"/>
        <v/>
      </c>
      <c r="U466" s="111" t="str">
        <f t="shared" si="258"/>
        <v/>
      </c>
      <c r="V466" s="113" t="str">
        <f t="shared" si="266"/>
        <v/>
      </c>
      <c r="W466" s="111" t="str">
        <f t="shared" si="249"/>
        <v/>
      </c>
      <c r="X466" s="111" t="str">
        <f t="shared" si="250"/>
        <v/>
      </c>
      <c r="Y466" s="111" t="str">
        <f t="shared" si="259"/>
        <v/>
      </c>
      <c r="Z466" s="111" t="str">
        <f t="shared" si="240"/>
        <v/>
      </c>
      <c r="AA466" s="118" t="str">
        <f t="shared" si="260"/>
        <v/>
      </c>
      <c r="AB466" s="111" t="str">
        <f t="shared" si="265"/>
        <v/>
      </c>
      <c r="AC466" s="119"/>
      <c r="AD466" s="120" t="str">
        <f t="shared" si="261"/>
        <v/>
      </c>
      <c r="AE466" s="120" t="str">
        <f t="shared" si="261"/>
        <v/>
      </c>
      <c r="AF466" s="120" t="str">
        <f t="shared" si="262"/>
        <v/>
      </c>
      <c r="AG466" s="120" t="str">
        <f t="shared" si="263"/>
        <v/>
      </c>
      <c r="AH466" s="120" t="str">
        <f t="shared" si="251"/>
        <v/>
      </c>
      <c r="AI466" s="120" t="str">
        <f t="shared" si="252"/>
        <v/>
      </c>
      <c r="AJ466" s="121" t="str">
        <f t="shared" si="264"/>
        <v/>
      </c>
      <c r="AK466" s="121" t="str" cm="1">
        <f t="array" ref="AK466">IF(OR(E466="", H466=""), "",
  IFERROR(
     (
      INDEX($AM$3:$AM$22, MATCH(E466, $AL$3:$AL$22, 1)) +
      (E466 - INDEX($AL$3:$AL$22, MATCH(E466, $AL$3:$AL$22, 1))) *
      (INDEX($AM$3:$AM$22, MATCH(E466, $AL$3:$AL$22, 1)+1) - INDEX($AM$3:$AM$22, MATCH(E466, $AL$3:$AL$22, 1))) /
      (INDEX($AL$3:$AL$22, MATCH(E466, $AL$3:$AL$22, 1)+1) - INDEX($AL$3:$AL$22, MATCH(E466, $AL$3:$AL$22, 1)))
    ) - H466,
    ""
  )
)</f>
        <v/>
      </c>
      <c r="AL466" s="137"/>
      <c r="AM466" s="137"/>
      <c r="AN466" s="138"/>
    </row>
    <row r="467" spans="1:40" x14ac:dyDescent="0.35">
      <c r="A467" s="122">
        <f t="shared" si="267"/>
        <v>3</v>
      </c>
      <c r="B467" s="123">
        <f t="shared" si="267"/>
        <v>19</v>
      </c>
      <c r="C467" s="124" t="str">
        <f t="shared" si="245"/>
        <v/>
      </c>
      <c r="D467" s="125"/>
      <c r="E467" s="124" t="str">
        <f t="shared" si="237"/>
        <v/>
      </c>
      <c r="F467" s="125"/>
      <c r="G467" s="125"/>
      <c r="H467" s="126" t="str">
        <f t="shared" si="246"/>
        <v/>
      </c>
      <c r="I467" s="124" t="str">
        <f t="shared" si="247"/>
        <v/>
      </c>
      <c r="J467" s="125" t="str">
        <f t="shared" si="243"/>
        <v/>
      </c>
      <c r="K467" s="124" t="str">
        <f t="shared" si="238"/>
        <v/>
      </c>
      <c r="L467" s="127"/>
      <c r="M467" s="134"/>
      <c r="N467" s="124" t="str">
        <f t="shared" si="255"/>
        <v/>
      </c>
      <c r="O467" s="124">
        <f t="shared" si="253"/>
        <v>0</v>
      </c>
      <c r="P467" s="128" t="str">
        <f t="shared" si="248"/>
        <v/>
      </c>
      <c r="Q467" s="129" t="str">
        <f t="shared" si="239"/>
        <v/>
      </c>
      <c r="R467" s="124" t="str">
        <f t="shared" si="256"/>
        <v/>
      </c>
      <c r="S467" s="124" t="str">
        <f t="shared" si="254"/>
        <v/>
      </c>
      <c r="T467" s="124" t="str">
        <f t="shared" si="257"/>
        <v/>
      </c>
      <c r="U467" s="124" t="str">
        <f t="shared" si="258"/>
        <v/>
      </c>
      <c r="V467" s="126" t="str">
        <f t="shared" si="266"/>
        <v/>
      </c>
      <c r="W467" s="124" t="str">
        <f t="shared" si="249"/>
        <v/>
      </c>
      <c r="X467" s="124" t="str">
        <f t="shared" si="250"/>
        <v/>
      </c>
      <c r="Y467" s="124" t="str">
        <f t="shared" si="259"/>
        <v/>
      </c>
      <c r="Z467" s="124" t="str">
        <f t="shared" si="240"/>
        <v/>
      </c>
      <c r="AA467" s="130" t="str">
        <f t="shared" si="260"/>
        <v/>
      </c>
      <c r="AB467" s="124" t="str">
        <f t="shared" si="265"/>
        <v/>
      </c>
      <c r="AC467" s="131"/>
      <c r="AD467" s="132" t="str">
        <f t="shared" si="261"/>
        <v/>
      </c>
      <c r="AE467" s="132" t="str">
        <f t="shared" si="261"/>
        <v/>
      </c>
      <c r="AF467" s="132" t="str">
        <f t="shared" si="262"/>
        <v/>
      </c>
      <c r="AG467" s="132" t="str">
        <f t="shared" si="263"/>
        <v/>
      </c>
      <c r="AH467" s="132" t="str">
        <f t="shared" si="251"/>
        <v/>
      </c>
      <c r="AI467" s="132" t="str">
        <f t="shared" si="252"/>
        <v/>
      </c>
      <c r="AJ467" s="133" t="str">
        <f t="shared" si="264"/>
        <v/>
      </c>
      <c r="AK467" s="133" t="str" cm="1">
        <f t="array" ref="AK467">IF(OR(E467="", H467=""), "",
  IFERROR(
     (
      INDEX($AM$3:$AM$22, MATCH(E467, $AL$3:$AL$22, 1)) +
      (E467 - INDEX($AL$3:$AL$22, MATCH(E467, $AL$3:$AL$22, 1))) *
      (INDEX($AM$3:$AM$22, MATCH(E467, $AL$3:$AL$22, 1)+1) - INDEX($AM$3:$AM$22, MATCH(E467, $AL$3:$AL$22, 1))) /
      (INDEX($AL$3:$AL$22, MATCH(E467, $AL$3:$AL$22, 1)+1) - INDEX($AL$3:$AL$22, MATCH(E467, $AL$3:$AL$22, 1)))
    ) - H467,
    ""
  )
)</f>
        <v/>
      </c>
      <c r="AL467" s="135"/>
      <c r="AM467" s="135"/>
      <c r="AN467" s="136"/>
    </row>
    <row r="468" spans="1:40" x14ac:dyDescent="0.35">
      <c r="A468" s="109">
        <f t="shared" si="267"/>
        <v>3</v>
      </c>
      <c r="B468" s="110">
        <f t="shared" si="267"/>
        <v>19</v>
      </c>
      <c r="C468" s="111" t="str">
        <f t="shared" si="245"/>
        <v/>
      </c>
      <c r="D468" s="112"/>
      <c r="E468" s="111" t="str">
        <f t="shared" si="237"/>
        <v/>
      </c>
      <c r="F468" s="112"/>
      <c r="G468" s="112"/>
      <c r="H468" s="113" t="str">
        <f t="shared" si="246"/>
        <v/>
      </c>
      <c r="I468" s="111" t="str">
        <f t="shared" si="247"/>
        <v/>
      </c>
      <c r="J468" s="112" t="str">
        <f t="shared" si="243"/>
        <v/>
      </c>
      <c r="K468" s="111" t="str">
        <f t="shared" si="238"/>
        <v/>
      </c>
      <c r="L468" s="114"/>
      <c r="M468" s="115"/>
      <c r="N468" s="111" t="str">
        <f t="shared" si="255"/>
        <v/>
      </c>
      <c r="O468" s="111">
        <f t="shared" si="253"/>
        <v>0</v>
      </c>
      <c r="P468" s="116" t="str">
        <f t="shared" si="248"/>
        <v/>
      </c>
      <c r="Q468" s="117" t="str">
        <f t="shared" si="239"/>
        <v/>
      </c>
      <c r="R468" s="111" t="str">
        <f t="shared" si="256"/>
        <v/>
      </c>
      <c r="S468" s="111" t="str">
        <f t="shared" si="254"/>
        <v/>
      </c>
      <c r="T468" s="111" t="str">
        <f t="shared" si="257"/>
        <v/>
      </c>
      <c r="U468" s="111" t="str">
        <f t="shared" si="258"/>
        <v/>
      </c>
      <c r="V468" s="113" t="str">
        <f t="shared" si="266"/>
        <v/>
      </c>
      <c r="W468" s="111" t="str">
        <f t="shared" si="249"/>
        <v/>
      </c>
      <c r="X468" s="111" t="str">
        <f t="shared" si="250"/>
        <v/>
      </c>
      <c r="Y468" s="111" t="str">
        <f t="shared" si="259"/>
        <v/>
      </c>
      <c r="Z468" s="111" t="str">
        <f t="shared" si="240"/>
        <v/>
      </c>
      <c r="AA468" s="118" t="str">
        <f t="shared" si="260"/>
        <v/>
      </c>
      <c r="AB468" s="111" t="str">
        <f t="shared" si="265"/>
        <v/>
      </c>
      <c r="AC468" s="119"/>
      <c r="AD468" s="120" t="str">
        <f t="shared" si="261"/>
        <v/>
      </c>
      <c r="AE468" s="120" t="str">
        <f t="shared" si="261"/>
        <v/>
      </c>
      <c r="AF468" s="120" t="str">
        <f t="shared" si="262"/>
        <v/>
      </c>
      <c r="AG468" s="120" t="str">
        <f t="shared" si="263"/>
        <v/>
      </c>
      <c r="AH468" s="120" t="str">
        <f t="shared" si="251"/>
        <v/>
      </c>
      <c r="AI468" s="120" t="str">
        <f t="shared" si="252"/>
        <v/>
      </c>
      <c r="AJ468" s="121" t="str">
        <f t="shared" si="264"/>
        <v/>
      </c>
      <c r="AK468" s="121" t="str" cm="1">
        <f t="array" ref="AK468">IF(OR(E468="", H468=""), "",
  IFERROR(
     (
      INDEX($AM$3:$AM$22, MATCH(E468, $AL$3:$AL$22, 1)) +
      (E468 - INDEX($AL$3:$AL$22, MATCH(E468, $AL$3:$AL$22, 1))) *
      (INDEX($AM$3:$AM$22, MATCH(E468, $AL$3:$AL$22, 1)+1) - INDEX($AM$3:$AM$22, MATCH(E468, $AL$3:$AL$22, 1))) /
      (INDEX($AL$3:$AL$22, MATCH(E468, $AL$3:$AL$22, 1)+1) - INDEX($AL$3:$AL$22, MATCH(E468, $AL$3:$AL$22, 1)))
    ) - H468,
    ""
  )
)</f>
        <v/>
      </c>
      <c r="AL468" s="137"/>
      <c r="AM468" s="137"/>
      <c r="AN468" s="138"/>
    </row>
    <row r="469" spans="1:40" x14ac:dyDescent="0.35">
      <c r="A469" s="122">
        <f t="shared" si="267"/>
        <v>3</v>
      </c>
      <c r="B469" s="123">
        <f t="shared" si="267"/>
        <v>19</v>
      </c>
      <c r="C469" s="124" t="str">
        <f t="shared" si="245"/>
        <v/>
      </c>
      <c r="D469" s="125"/>
      <c r="E469" s="124" t="str">
        <f t="shared" si="237"/>
        <v/>
      </c>
      <c r="F469" s="125"/>
      <c r="G469" s="125"/>
      <c r="H469" s="126" t="str">
        <f t="shared" si="246"/>
        <v/>
      </c>
      <c r="I469" s="124" t="str">
        <f t="shared" si="247"/>
        <v/>
      </c>
      <c r="J469" s="125" t="str">
        <f t="shared" si="243"/>
        <v/>
      </c>
      <c r="K469" s="124" t="str">
        <f t="shared" si="238"/>
        <v/>
      </c>
      <c r="L469" s="127"/>
      <c r="M469" s="134"/>
      <c r="N469" s="124" t="str">
        <f t="shared" si="255"/>
        <v/>
      </c>
      <c r="O469" s="124">
        <f t="shared" si="253"/>
        <v>0</v>
      </c>
      <c r="P469" s="128" t="str">
        <f t="shared" si="248"/>
        <v/>
      </c>
      <c r="Q469" s="129" t="str">
        <f t="shared" si="239"/>
        <v/>
      </c>
      <c r="R469" s="124" t="str">
        <f t="shared" si="256"/>
        <v/>
      </c>
      <c r="S469" s="124" t="str">
        <f t="shared" si="254"/>
        <v/>
      </c>
      <c r="T469" s="124" t="str">
        <f t="shared" si="257"/>
        <v/>
      </c>
      <c r="U469" s="124" t="str">
        <f t="shared" si="258"/>
        <v/>
      </c>
      <c r="V469" s="126" t="str">
        <f t="shared" si="266"/>
        <v/>
      </c>
      <c r="W469" s="124" t="str">
        <f t="shared" si="249"/>
        <v/>
      </c>
      <c r="X469" s="124" t="str">
        <f t="shared" si="250"/>
        <v/>
      </c>
      <c r="Y469" s="124" t="str">
        <f t="shared" si="259"/>
        <v/>
      </c>
      <c r="Z469" s="124" t="str">
        <f t="shared" si="240"/>
        <v/>
      </c>
      <c r="AA469" s="130" t="str">
        <f t="shared" si="260"/>
        <v/>
      </c>
      <c r="AB469" s="124" t="str">
        <f t="shared" si="265"/>
        <v/>
      </c>
      <c r="AC469" s="131"/>
      <c r="AD469" s="132" t="str">
        <f t="shared" si="261"/>
        <v/>
      </c>
      <c r="AE469" s="132" t="str">
        <f t="shared" si="261"/>
        <v/>
      </c>
      <c r="AF469" s="132" t="str">
        <f t="shared" si="262"/>
        <v/>
      </c>
      <c r="AG469" s="132" t="str">
        <f t="shared" si="263"/>
        <v/>
      </c>
      <c r="AH469" s="132" t="str">
        <f t="shared" si="251"/>
        <v/>
      </c>
      <c r="AI469" s="132" t="str">
        <f t="shared" si="252"/>
        <v/>
      </c>
      <c r="AJ469" s="133" t="str">
        <f t="shared" si="264"/>
        <v/>
      </c>
      <c r="AK469" s="133" t="str" cm="1">
        <f t="array" ref="AK469">IF(OR(E469="", H469=""), "",
  IFERROR(
     (
      INDEX($AM$3:$AM$22, MATCH(E469, $AL$3:$AL$22, 1)) +
      (E469 - INDEX($AL$3:$AL$22, MATCH(E469, $AL$3:$AL$22, 1))) *
      (INDEX($AM$3:$AM$22, MATCH(E469, $AL$3:$AL$22, 1)+1) - INDEX($AM$3:$AM$22, MATCH(E469, $AL$3:$AL$22, 1))) /
      (INDEX($AL$3:$AL$22, MATCH(E469, $AL$3:$AL$22, 1)+1) - INDEX($AL$3:$AL$22, MATCH(E469, $AL$3:$AL$22, 1)))
    ) - H469,
    ""
  )
)</f>
        <v/>
      </c>
      <c r="AL469" s="135"/>
      <c r="AM469" s="135"/>
      <c r="AN469" s="136"/>
    </row>
    <row r="470" spans="1:40" x14ac:dyDescent="0.35">
      <c r="A470" s="109">
        <f t="shared" si="267"/>
        <v>3</v>
      </c>
      <c r="B470" s="110">
        <f t="shared" si="267"/>
        <v>19</v>
      </c>
      <c r="C470" s="111" t="str">
        <f t="shared" si="245"/>
        <v/>
      </c>
      <c r="D470" s="112"/>
      <c r="E470" s="111" t="str">
        <f t="shared" si="237"/>
        <v/>
      </c>
      <c r="F470" s="112"/>
      <c r="G470" s="112"/>
      <c r="H470" s="113" t="str">
        <f t="shared" si="246"/>
        <v/>
      </c>
      <c r="I470" s="111" t="str">
        <f t="shared" si="247"/>
        <v/>
      </c>
      <c r="J470" s="112" t="str">
        <f t="shared" si="243"/>
        <v/>
      </c>
      <c r="K470" s="111" t="str">
        <f t="shared" si="238"/>
        <v/>
      </c>
      <c r="L470" s="114"/>
      <c r="M470" s="115"/>
      <c r="N470" s="111" t="str">
        <f t="shared" si="255"/>
        <v/>
      </c>
      <c r="O470" s="111">
        <f t="shared" si="253"/>
        <v>0</v>
      </c>
      <c r="P470" s="116" t="str">
        <f t="shared" si="248"/>
        <v/>
      </c>
      <c r="Q470" s="117" t="str">
        <f t="shared" si="239"/>
        <v/>
      </c>
      <c r="R470" s="111" t="str">
        <f t="shared" si="256"/>
        <v/>
      </c>
      <c r="S470" s="111" t="str">
        <f t="shared" si="254"/>
        <v/>
      </c>
      <c r="T470" s="111" t="str">
        <f t="shared" si="257"/>
        <v/>
      </c>
      <c r="U470" s="111" t="str">
        <f t="shared" si="258"/>
        <v/>
      </c>
      <c r="V470" s="113" t="str">
        <f t="shared" si="266"/>
        <v/>
      </c>
      <c r="W470" s="111" t="str">
        <f t="shared" si="249"/>
        <v/>
      </c>
      <c r="X470" s="111" t="str">
        <f t="shared" si="250"/>
        <v/>
      </c>
      <c r="Y470" s="111" t="str">
        <f t="shared" si="259"/>
        <v/>
      </c>
      <c r="Z470" s="111" t="str">
        <f t="shared" si="240"/>
        <v/>
      </c>
      <c r="AA470" s="118" t="str">
        <f t="shared" si="260"/>
        <v/>
      </c>
      <c r="AB470" s="111" t="str">
        <f t="shared" si="265"/>
        <v/>
      </c>
      <c r="AC470" s="119"/>
      <c r="AD470" s="120" t="str">
        <f t="shared" si="261"/>
        <v/>
      </c>
      <c r="AE470" s="120" t="str">
        <f t="shared" si="261"/>
        <v/>
      </c>
      <c r="AF470" s="120" t="str">
        <f t="shared" si="262"/>
        <v/>
      </c>
      <c r="AG470" s="120" t="str">
        <f t="shared" si="263"/>
        <v/>
      </c>
      <c r="AH470" s="120" t="str">
        <f t="shared" si="251"/>
        <v/>
      </c>
      <c r="AI470" s="120" t="str">
        <f t="shared" si="252"/>
        <v/>
      </c>
      <c r="AJ470" s="121" t="str">
        <f t="shared" si="264"/>
        <v/>
      </c>
      <c r="AK470" s="121" t="str" cm="1">
        <f t="array" ref="AK470">IF(OR(E470="", H470=""), "",
  IFERROR(
     (
      INDEX($AM$3:$AM$22, MATCH(E470, $AL$3:$AL$22, 1)) +
      (E470 - INDEX($AL$3:$AL$22, MATCH(E470, $AL$3:$AL$22, 1))) *
      (INDEX($AM$3:$AM$22, MATCH(E470, $AL$3:$AL$22, 1)+1) - INDEX($AM$3:$AM$22, MATCH(E470, $AL$3:$AL$22, 1))) /
      (INDEX($AL$3:$AL$22, MATCH(E470, $AL$3:$AL$22, 1)+1) - INDEX($AL$3:$AL$22, MATCH(E470, $AL$3:$AL$22, 1)))
    ) - H470,
    ""
  )
)</f>
        <v/>
      </c>
      <c r="AL470" s="137"/>
      <c r="AM470" s="137"/>
      <c r="AN470" s="138"/>
    </row>
    <row r="471" spans="1:40" x14ac:dyDescent="0.35">
      <c r="A471" s="122">
        <f t="shared" si="267"/>
        <v>3</v>
      </c>
      <c r="B471" s="123">
        <f t="shared" si="267"/>
        <v>19</v>
      </c>
      <c r="C471" s="124" t="str">
        <f t="shared" si="245"/>
        <v/>
      </c>
      <c r="D471" s="125"/>
      <c r="E471" s="124" t="str">
        <f t="shared" si="237"/>
        <v/>
      </c>
      <c r="F471" s="125"/>
      <c r="G471" s="125"/>
      <c r="H471" s="126" t="str">
        <f t="shared" si="246"/>
        <v/>
      </c>
      <c r="I471" s="124" t="str">
        <f t="shared" si="247"/>
        <v/>
      </c>
      <c r="J471" s="125" t="str">
        <f t="shared" si="243"/>
        <v/>
      </c>
      <c r="K471" s="124" t="str">
        <f t="shared" si="238"/>
        <v/>
      </c>
      <c r="L471" s="127"/>
      <c r="M471" s="134"/>
      <c r="N471" s="124" t="str">
        <f t="shared" si="255"/>
        <v/>
      </c>
      <c r="O471" s="124">
        <f t="shared" si="253"/>
        <v>0</v>
      </c>
      <c r="P471" s="128" t="str">
        <f t="shared" si="248"/>
        <v/>
      </c>
      <c r="Q471" s="129" t="str">
        <f t="shared" si="239"/>
        <v/>
      </c>
      <c r="R471" s="124" t="str">
        <f t="shared" si="256"/>
        <v/>
      </c>
      <c r="S471" s="124" t="str">
        <f t="shared" si="254"/>
        <v/>
      </c>
      <c r="T471" s="124" t="str">
        <f t="shared" si="257"/>
        <v/>
      </c>
      <c r="U471" s="124" t="str">
        <f t="shared" si="258"/>
        <v/>
      </c>
      <c r="V471" s="126" t="str">
        <f t="shared" si="266"/>
        <v/>
      </c>
      <c r="W471" s="124" t="str">
        <f t="shared" si="249"/>
        <v/>
      </c>
      <c r="X471" s="124" t="str">
        <f t="shared" si="250"/>
        <v/>
      </c>
      <c r="Y471" s="124" t="str">
        <f t="shared" si="259"/>
        <v/>
      </c>
      <c r="Z471" s="124" t="str">
        <f t="shared" si="240"/>
        <v/>
      </c>
      <c r="AA471" s="130" t="str">
        <f t="shared" si="260"/>
        <v/>
      </c>
      <c r="AB471" s="124" t="str">
        <f t="shared" si="265"/>
        <v/>
      </c>
      <c r="AC471" s="131"/>
      <c r="AD471" s="132" t="str">
        <f t="shared" si="261"/>
        <v/>
      </c>
      <c r="AE471" s="132" t="str">
        <f t="shared" si="261"/>
        <v/>
      </c>
      <c r="AF471" s="132" t="str">
        <f t="shared" si="262"/>
        <v/>
      </c>
      <c r="AG471" s="132" t="str">
        <f t="shared" si="263"/>
        <v/>
      </c>
      <c r="AH471" s="132" t="str">
        <f t="shared" si="251"/>
        <v/>
      </c>
      <c r="AI471" s="132" t="str">
        <f t="shared" si="252"/>
        <v/>
      </c>
      <c r="AJ471" s="133" t="str">
        <f t="shared" si="264"/>
        <v/>
      </c>
      <c r="AK471" s="133" t="str" cm="1">
        <f t="array" ref="AK471">IF(OR(E471="", H471=""), "",
  IFERROR(
     (
      INDEX($AM$3:$AM$22, MATCH(E471, $AL$3:$AL$22, 1)) +
      (E471 - INDEX($AL$3:$AL$22, MATCH(E471, $AL$3:$AL$22, 1))) *
      (INDEX($AM$3:$AM$22, MATCH(E471, $AL$3:$AL$22, 1)+1) - INDEX($AM$3:$AM$22, MATCH(E471, $AL$3:$AL$22, 1))) /
      (INDEX($AL$3:$AL$22, MATCH(E471, $AL$3:$AL$22, 1)+1) - INDEX($AL$3:$AL$22, MATCH(E471, $AL$3:$AL$22, 1)))
    ) - H471,
    ""
  )
)</f>
        <v/>
      </c>
      <c r="AL471" s="135"/>
      <c r="AM471" s="135"/>
      <c r="AN471" s="136"/>
    </row>
    <row r="472" spans="1:40" x14ac:dyDescent="0.35">
      <c r="A472" s="109">
        <f t="shared" si="267"/>
        <v>3</v>
      </c>
      <c r="B472" s="110">
        <f t="shared" si="267"/>
        <v>19</v>
      </c>
      <c r="C472" s="111" t="str">
        <f t="shared" si="245"/>
        <v/>
      </c>
      <c r="D472" s="112"/>
      <c r="E472" s="111" t="str">
        <f t="shared" ref="E472:E503" si="268">IF(D472&gt;0,D472-B472,"")</f>
        <v/>
      </c>
      <c r="F472" s="112"/>
      <c r="G472" s="112"/>
      <c r="H472" s="113" t="str">
        <f t="shared" si="246"/>
        <v/>
      </c>
      <c r="I472" s="111" t="str">
        <f t="shared" si="247"/>
        <v/>
      </c>
      <c r="J472" s="112" t="str">
        <f t="shared" si="243"/>
        <v/>
      </c>
      <c r="K472" s="111" t="str">
        <f t="shared" ref="K472:K503" si="269">IF(L472="","",J472+L472)</f>
        <v/>
      </c>
      <c r="L472" s="114"/>
      <c r="M472" s="115"/>
      <c r="N472" s="111" t="str">
        <f t="shared" si="255"/>
        <v/>
      </c>
      <c r="O472" s="111">
        <f t="shared" si="253"/>
        <v>0</v>
      </c>
      <c r="P472" s="116" t="str">
        <f t="shared" si="248"/>
        <v/>
      </c>
      <c r="Q472" s="117" t="str">
        <f t="shared" ref="Q472:Q503" si="270">IF(ISNUMBER(P472),(IF(Y472&gt;0,"R","L")),"")</f>
        <v/>
      </c>
      <c r="R472" s="111" t="str">
        <f t="shared" si="256"/>
        <v/>
      </c>
      <c r="S472" s="111" t="str">
        <f t="shared" si="254"/>
        <v/>
      </c>
      <c r="T472" s="111" t="str">
        <f t="shared" si="257"/>
        <v/>
      </c>
      <c r="U472" s="111" t="str">
        <f t="shared" si="258"/>
        <v/>
      </c>
      <c r="V472" s="113" t="str">
        <f t="shared" si="266"/>
        <v/>
      </c>
      <c r="W472" s="111" t="str">
        <f t="shared" si="249"/>
        <v/>
      </c>
      <c r="X472" s="111" t="str">
        <f t="shared" si="250"/>
        <v/>
      </c>
      <c r="Y472" s="111" t="str">
        <f t="shared" si="259"/>
        <v/>
      </c>
      <c r="Z472" s="111" t="str">
        <f t="shared" si="240"/>
        <v/>
      </c>
      <c r="AA472" s="118" t="str">
        <f t="shared" si="260"/>
        <v/>
      </c>
      <c r="AB472" s="111" t="str">
        <f t="shared" si="265"/>
        <v/>
      </c>
      <c r="AC472" s="119"/>
      <c r="AD472" s="120" t="str">
        <f t="shared" si="261"/>
        <v/>
      </c>
      <c r="AE472" s="120" t="str">
        <f t="shared" si="261"/>
        <v/>
      </c>
      <c r="AF472" s="120" t="str">
        <f t="shared" si="262"/>
        <v/>
      </c>
      <c r="AG472" s="120" t="str">
        <f t="shared" si="263"/>
        <v/>
      </c>
      <c r="AH472" s="120" t="str">
        <f t="shared" si="251"/>
        <v/>
      </c>
      <c r="AI472" s="120" t="str">
        <f t="shared" si="252"/>
        <v/>
      </c>
      <c r="AJ472" s="121" t="str">
        <f t="shared" si="264"/>
        <v/>
      </c>
      <c r="AK472" s="121" t="str" cm="1">
        <f t="array" ref="AK472">IF(OR(E472="", H472=""), "",
  IFERROR(
     (
      INDEX($AM$3:$AM$22, MATCH(E472, $AL$3:$AL$22, 1)) +
      (E472 - INDEX($AL$3:$AL$22, MATCH(E472, $AL$3:$AL$22, 1))) *
      (INDEX($AM$3:$AM$22, MATCH(E472, $AL$3:$AL$22, 1)+1) - INDEX($AM$3:$AM$22, MATCH(E472, $AL$3:$AL$22, 1))) /
      (INDEX($AL$3:$AL$22, MATCH(E472, $AL$3:$AL$22, 1)+1) - INDEX($AL$3:$AL$22, MATCH(E472, $AL$3:$AL$22, 1)))
    ) - H472,
    ""
  )
)</f>
        <v/>
      </c>
      <c r="AL472" s="137"/>
      <c r="AM472" s="137"/>
      <c r="AN472" s="138"/>
    </row>
    <row r="473" spans="1:40" x14ac:dyDescent="0.35">
      <c r="A473" s="122">
        <f t="shared" si="267"/>
        <v>3</v>
      </c>
      <c r="B473" s="123">
        <f t="shared" si="267"/>
        <v>19</v>
      </c>
      <c r="C473" s="124" t="str">
        <f t="shared" si="245"/>
        <v/>
      </c>
      <c r="D473" s="125"/>
      <c r="E473" s="124" t="str">
        <f t="shared" si="268"/>
        <v/>
      </c>
      <c r="F473" s="125"/>
      <c r="G473" s="125"/>
      <c r="H473" s="126" t="str">
        <f t="shared" si="246"/>
        <v/>
      </c>
      <c r="I473" s="124" t="str">
        <f t="shared" si="247"/>
        <v/>
      </c>
      <c r="J473" s="125" t="str">
        <f t="shared" si="243"/>
        <v/>
      </c>
      <c r="K473" s="124" t="str">
        <f t="shared" si="269"/>
        <v/>
      </c>
      <c r="L473" s="127"/>
      <c r="M473" s="134"/>
      <c r="N473" s="124" t="str">
        <f t="shared" si="255"/>
        <v/>
      </c>
      <c r="O473" s="124">
        <f t="shared" si="253"/>
        <v>0</v>
      </c>
      <c r="P473" s="128" t="str">
        <f t="shared" si="248"/>
        <v/>
      </c>
      <c r="Q473" s="129" t="str">
        <f t="shared" si="270"/>
        <v/>
      </c>
      <c r="R473" s="124" t="str">
        <f t="shared" si="256"/>
        <v/>
      </c>
      <c r="S473" s="124" t="str">
        <f t="shared" si="254"/>
        <v/>
      </c>
      <c r="T473" s="124" t="str">
        <f t="shared" si="257"/>
        <v/>
      </c>
      <c r="U473" s="124" t="str">
        <f t="shared" si="258"/>
        <v/>
      </c>
      <c r="V473" s="126" t="str">
        <f t="shared" si="266"/>
        <v/>
      </c>
      <c r="W473" s="124" t="str">
        <f t="shared" si="249"/>
        <v/>
      </c>
      <c r="X473" s="124" t="str">
        <f t="shared" si="250"/>
        <v/>
      </c>
      <c r="Y473" s="124" t="str">
        <f t="shared" si="259"/>
        <v/>
      </c>
      <c r="Z473" s="124" t="str">
        <f t="shared" si="240"/>
        <v/>
      </c>
      <c r="AA473" s="130" t="str">
        <f t="shared" si="260"/>
        <v/>
      </c>
      <c r="AB473" s="124" t="str">
        <f t="shared" si="265"/>
        <v/>
      </c>
      <c r="AC473" s="131"/>
      <c r="AD473" s="132" t="str">
        <f t="shared" si="261"/>
        <v/>
      </c>
      <c r="AE473" s="132" t="str">
        <f t="shared" si="261"/>
        <v/>
      </c>
      <c r="AF473" s="132" t="str">
        <f t="shared" si="262"/>
        <v/>
      </c>
      <c r="AG473" s="132" t="str">
        <f t="shared" si="263"/>
        <v/>
      </c>
      <c r="AH473" s="132" t="str">
        <f t="shared" si="251"/>
        <v/>
      </c>
      <c r="AI473" s="132" t="str">
        <f t="shared" si="252"/>
        <v/>
      </c>
      <c r="AJ473" s="133" t="str">
        <f t="shared" si="264"/>
        <v/>
      </c>
      <c r="AK473" s="133" t="str" cm="1">
        <f t="array" ref="AK473">IF(OR(E473="", H473=""), "",
  IFERROR(
     (
      INDEX($AM$3:$AM$22, MATCH(E473, $AL$3:$AL$22, 1)) +
      (E473 - INDEX($AL$3:$AL$22, MATCH(E473, $AL$3:$AL$22, 1))) *
      (INDEX($AM$3:$AM$22, MATCH(E473, $AL$3:$AL$22, 1)+1) - INDEX($AM$3:$AM$22, MATCH(E473, $AL$3:$AL$22, 1))) /
      (INDEX($AL$3:$AL$22, MATCH(E473, $AL$3:$AL$22, 1)+1) - INDEX($AL$3:$AL$22, MATCH(E473, $AL$3:$AL$22, 1)))
    ) - H473,
    ""
  )
)</f>
        <v/>
      </c>
      <c r="AL473" s="135"/>
      <c r="AM473" s="135"/>
      <c r="AN473" s="136"/>
    </row>
    <row r="474" spans="1:40" x14ac:dyDescent="0.35">
      <c r="A474" s="109">
        <f t="shared" si="267"/>
        <v>3</v>
      </c>
      <c r="B474" s="110">
        <f t="shared" si="267"/>
        <v>19</v>
      </c>
      <c r="C474" s="111" t="str">
        <f t="shared" si="245"/>
        <v/>
      </c>
      <c r="D474" s="112"/>
      <c r="E474" s="111" t="str">
        <f t="shared" si="268"/>
        <v/>
      </c>
      <c r="F474" s="112"/>
      <c r="G474" s="112"/>
      <c r="H474" s="113" t="str">
        <f t="shared" si="246"/>
        <v/>
      </c>
      <c r="I474" s="111" t="str">
        <f t="shared" si="247"/>
        <v/>
      </c>
      <c r="J474" s="112" t="str">
        <f t="shared" si="243"/>
        <v/>
      </c>
      <c r="K474" s="111" t="str">
        <f t="shared" si="269"/>
        <v/>
      </c>
      <c r="L474" s="114"/>
      <c r="M474" s="115"/>
      <c r="N474" s="111" t="str">
        <f t="shared" si="255"/>
        <v/>
      </c>
      <c r="O474" s="111">
        <f t="shared" si="253"/>
        <v>0</v>
      </c>
      <c r="P474" s="116" t="str">
        <f t="shared" si="248"/>
        <v/>
      </c>
      <c r="Q474" s="117" t="str">
        <f t="shared" si="270"/>
        <v/>
      </c>
      <c r="R474" s="111" t="str">
        <f t="shared" si="256"/>
        <v/>
      </c>
      <c r="S474" s="111" t="str">
        <f t="shared" si="254"/>
        <v/>
      </c>
      <c r="T474" s="111" t="str">
        <f t="shared" si="257"/>
        <v/>
      </c>
      <c r="U474" s="111" t="str">
        <f t="shared" si="258"/>
        <v/>
      </c>
      <c r="V474" s="113" t="str">
        <f t="shared" si="266"/>
        <v/>
      </c>
      <c r="W474" s="111" t="str">
        <f t="shared" si="249"/>
        <v/>
      </c>
      <c r="X474" s="111" t="str">
        <f t="shared" si="250"/>
        <v/>
      </c>
      <c r="Y474" s="111" t="str">
        <f t="shared" si="259"/>
        <v/>
      </c>
      <c r="Z474" s="111" t="str">
        <f t="shared" si="240"/>
        <v/>
      </c>
      <c r="AA474" s="118" t="str">
        <f t="shared" si="260"/>
        <v/>
      </c>
      <c r="AB474" s="111" t="str">
        <f t="shared" si="265"/>
        <v/>
      </c>
      <c r="AC474" s="119"/>
      <c r="AD474" s="120" t="str">
        <f t="shared" si="261"/>
        <v/>
      </c>
      <c r="AE474" s="120" t="str">
        <f t="shared" si="261"/>
        <v/>
      </c>
      <c r="AF474" s="120" t="str">
        <f t="shared" si="262"/>
        <v/>
      </c>
      <c r="AG474" s="120" t="str">
        <f t="shared" si="263"/>
        <v/>
      </c>
      <c r="AH474" s="120" t="str">
        <f t="shared" si="251"/>
        <v/>
      </c>
      <c r="AI474" s="120" t="str">
        <f t="shared" si="252"/>
        <v/>
      </c>
      <c r="AJ474" s="121" t="str">
        <f t="shared" si="264"/>
        <v/>
      </c>
      <c r="AK474" s="121" t="str" cm="1">
        <f t="array" ref="AK474">IF(OR(E474="", H474=""), "",
  IFERROR(
     (
      INDEX($AM$3:$AM$22, MATCH(E474, $AL$3:$AL$22, 1)) +
      (E474 - INDEX($AL$3:$AL$22, MATCH(E474, $AL$3:$AL$22, 1))) *
      (INDEX($AM$3:$AM$22, MATCH(E474, $AL$3:$AL$22, 1)+1) - INDEX($AM$3:$AM$22, MATCH(E474, $AL$3:$AL$22, 1))) /
      (INDEX($AL$3:$AL$22, MATCH(E474, $AL$3:$AL$22, 1)+1) - INDEX($AL$3:$AL$22, MATCH(E474, $AL$3:$AL$22, 1)))
    ) - H474,
    ""
  )
)</f>
        <v/>
      </c>
      <c r="AL474" s="137"/>
      <c r="AM474" s="137"/>
      <c r="AN474" s="138"/>
    </row>
    <row r="475" spans="1:40" x14ac:dyDescent="0.35">
      <c r="A475" s="122">
        <f t="shared" si="267"/>
        <v>3</v>
      </c>
      <c r="B475" s="123">
        <f t="shared" si="267"/>
        <v>19</v>
      </c>
      <c r="C475" s="124" t="str">
        <f t="shared" si="245"/>
        <v/>
      </c>
      <c r="D475" s="125"/>
      <c r="E475" s="124" t="str">
        <f t="shared" si="268"/>
        <v/>
      </c>
      <c r="F475" s="125"/>
      <c r="G475" s="125"/>
      <c r="H475" s="126" t="str">
        <f t="shared" si="246"/>
        <v/>
      </c>
      <c r="I475" s="124" t="str">
        <f t="shared" si="247"/>
        <v/>
      </c>
      <c r="J475" s="125" t="str">
        <f t="shared" si="243"/>
        <v/>
      </c>
      <c r="K475" s="124" t="str">
        <f t="shared" si="269"/>
        <v/>
      </c>
      <c r="L475" s="127"/>
      <c r="M475" s="134"/>
      <c r="N475" s="124" t="str">
        <f t="shared" si="255"/>
        <v/>
      </c>
      <c r="O475" s="124">
        <f t="shared" si="253"/>
        <v>0</v>
      </c>
      <c r="P475" s="128" t="str">
        <f t="shared" si="248"/>
        <v/>
      </c>
      <c r="Q475" s="129" t="str">
        <f t="shared" si="270"/>
        <v/>
      </c>
      <c r="R475" s="124" t="str">
        <f t="shared" si="256"/>
        <v/>
      </c>
      <c r="S475" s="124" t="str">
        <f t="shared" si="254"/>
        <v/>
      </c>
      <c r="T475" s="124" t="str">
        <f t="shared" si="257"/>
        <v/>
      </c>
      <c r="U475" s="124" t="str">
        <f t="shared" si="258"/>
        <v/>
      </c>
      <c r="V475" s="126" t="str">
        <f t="shared" si="266"/>
        <v/>
      </c>
      <c r="W475" s="124" t="str">
        <f t="shared" si="249"/>
        <v/>
      </c>
      <c r="X475" s="124" t="str">
        <f t="shared" si="250"/>
        <v/>
      </c>
      <c r="Y475" s="124" t="str">
        <f t="shared" si="259"/>
        <v/>
      </c>
      <c r="Z475" s="124" t="str">
        <f t="shared" si="240"/>
        <v/>
      </c>
      <c r="AA475" s="130" t="str">
        <f t="shared" si="260"/>
        <v/>
      </c>
      <c r="AB475" s="124" t="str">
        <f t="shared" si="265"/>
        <v/>
      </c>
      <c r="AC475" s="131"/>
      <c r="AD475" s="132" t="str">
        <f t="shared" si="261"/>
        <v/>
      </c>
      <c r="AE475" s="132" t="str">
        <f t="shared" si="261"/>
        <v/>
      </c>
      <c r="AF475" s="132" t="str">
        <f t="shared" si="262"/>
        <v/>
      </c>
      <c r="AG475" s="132" t="str">
        <f t="shared" si="263"/>
        <v/>
      </c>
      <c r="AH475" s="132" t="str">
        <f t="shared" si="251"/>
        <v/>
      </c>
      <c r="AI475" s="132" t="str">
        <f t="shared" si="252"/>
        <v/>
      </c>
      <c r="AJ475" s="133" t="str">
        <f t="shared" si="264"/>
        <v/>
      </c>
      <c r="AK475" s="133" t="str" cm="1">
        <f t="array" ref="AK475">IF(OR(E475="", H475=""), "",
  IFERROR(
     (
      INDEX($AM$3:$AM$22, MATCH(E475, $AL$3:$AL$22, 1)) +
      (E475 - INDEX($AL$3:$AL$22, MATCH(E475, $AL$3:$AL$22, 1))) *
      (INDEX($AM$3:$AM$22, MATCH(E475, $AL$3:$AL$22, 1)+1) - INDEX($AM$3:$AM$22, MATCH(E475, $AL$3:$AL$22, 1))) /
      (INDEX($AL$3:$AL$22, MATCH(E475, $AL$3:$AL$22, 1)+1) - INDEX($AL$3:$AL$22, MATCH(E475, $AL$3:$AL$22, 1)))
    ) - H475,
    ""
  )
)</f>
        <v/>
      </c>
      <c r="AL475" s="135"/>
      <c r="AM475" s="135"/>
      <c r="AN475" s="136"/>
    </row>
    <row r="476" spans="1:40" x14ac:dyDescent="0.35">
      <c r="A476" s="109">
        <f t="shared" si="267"/>
        <v>3</v>
      </c>
      <c r="B476" s="110">
        <f t="shared" si="267"/>
        <v>19</v>
      </c>
      <c r="C476" s="111" t="str">
        <f t="shared" si="245"/>
        <v/>
      </c>
      <c r="D476" s="112"/>
      <c r="E476" s="111" t="str">
        <f t="shared" si="268"/>
        <v/>
      </c>
      <c r="F476" s="112"/>
      <c r="G476" s="112"/>
      <c r="H476" s="113" t="str">
        <f t="shared" si="246"/>
        <v/>
      </c>
      <c r="I476" s="111" t="str">
        <f t="shared" si="247"/>
        <v/>
      </c>
      <c r="J476" s="112" t="str">
        <f t="shared" si="243"/>
        <v/>
      </c>
      <c r="K476" s="111" t="str">
        <f t="shared" si="269"/>
        <v/>
      </c>
      <c r="L476" s="114"/>
      <c r="M476" s="115"/>
      <c r="N476" s="111" t="str">
        <f t="shared" si="255"/>
        <v/>
      </c>
      <c r="O476" s="111">
        <f t="shared" si="253"/>
        <v>0</v>
      </c>
      <c r="P476" s="116" t="str">
        <f t="shared" si="248"/>
        <v/>
      </c>
      <c r="Q476" s="117" t="str">
        <f t="shared" si="270"/>
        <v/>
      </c>
      <c r="R476" s="111" t="str">
        <f t="shared" si="256"/>
        <v/>
      </c>
      <c r="S476" s="111" t="str">
        <f t="shared" si="254"/>
        <v/>
      </c>
      <c r="T476" s="111" t="str">
        <f t="shared" si="257"/>
        <v/>
      </c>
      <c r="U476" s="111" t="str">
        <f t="shared" si="258"/>
        <v/>
      </c>
      <c r="V476" s="113" t="str">
        <f t="shared" si="266"/>
        <v/>
      </c>
      <c r="W476" s="111" t="str">
        <f t="shared" si="249"/>
        <v/>
      </c>
      <c r="X476" s="111" t="str">
        <f t="shared" si="250"/>
        <v/>
      </c>
      <c r="Y476" s="111" t="str">
        <f t="shared" si="259"/>
        <v/>
      </c>
      <c r="Z476" s="111" t="str">
        <f t="shared" si="240"/>
        <v/>
      </c>
      <c r="AA476" s="118" t="str">
        <f t="shared" si="260"/>
        <v/>
      </c>
      <c r="AB476" s="111" t="str">
        <f t="shared" si="265"/>
        <v/>
      </c>
      <c r="AC476" s="119"/>
      <c r="AD476" s="120" t="str">
        <f t="shared" si="261"/>
        <v/>
      </c>
      <c r="AE476" s="120" t="str">
        <f t="shared" si="261"/>
        <v/>
      </c>
      <c r="AF476" s="120" t="str">
        <f t="shared" si="262"/>
        <v/>
      </c>
      <c r="AG476" s="120" t="str">
        <f t="shared" si="263"/>
        <v/>
      </c>
      <c r="AH476" s="120" t="str">
        <f t="shared" si="251"/>
        <v/>
      </c>
      <c r="AI476" s="120" t="str">
        <f t="shared" si="252"/>
        <v/>
      </c>
      <c r="AJ476" s="121" t="str">
        <f t="shared" si="264"/>
        <v/>
      </c>
      <c r="AK476" s="121" t="str" cm="1">
        <f t="array" ref="AK476">IF(OR(E476="", H476=""), "",
  IFERROR(
     (
      INDEX($AM$3:$AM$22, MATCH(E476, $AL$3:$AL$22, 1)) +
      (E476 - INDEX($AL$3:$AL$22, MATCH(E476, $AL$3:$AL$22, 1))) *
      (INDEX($AM$3:$AM$22, MATCH(E476, $AL$3:$AL$22, 1)+1) - INDEX($AM$3:$AM$22, MATCH(E476, $AL$3:$AL$22, 1))) /
      (INDEX($AL$3:$AL$22, MATCH(E476, $AL$3:$AL$22, 1)+1) - INDEX($AL$3:$AL$22, MATCH(E476, $AL$3:$AL$22, 1)))
    ) - H476,
    ""
  )
)</f>
        <v/>
      </c>
      <c r="AL476" s="137"/>
      <c r="AM476" s="137"/>
      <c r="AN476" s="138"/>
    </row>
    <row r="477" spans="1:40" x14ac:dyDescent="0.35">
      <c r="A477" s="122">
        <f t="shared" si="267"/>
        <v>3</v>
      </c>
      <c r="B477" s="123">
        <f t="shared" si="267"/>
        <v>19</v>
      </c>
      <c r="C477" s="124" t="str">
        <f t="shared" si="245"/>
        <v/>
      </c>
      <c r="D477" s="125"/>
      <c r="E477" s="124" t="str">
        <f t="shared" si="268"/>
        <v/>
      </c>
      <c r="F477" s="125"/>
      <c r="G477" s="125"/>
      <c r="H477" s="126" t="str">
        <f t="shared" si="246"/>
        <v/>
      </c>
      <c r="I477" s="124" t="str">
        <f t="shared" si="247"/>
        <v/>
      </c>
      <c r="J477" s="125" t="str">
        <f t="shared" si="243"/>
        <v/>
      </c>
      <c r="K477" s="124" t="str">
        <f t="shared" si="269"/>
        <v/>
      </c>
      <c r="L477" s="127"/>
      <c r="M477" s="134"/>
      <c r="N477" s="124" t="str">
        <f t="shared" si="255"/>
        <v/>
      </c>
      <c r="O477" s="124">
        <f t="shared" si="253"/>
        <v>0</v>
      </c>
      <c r="P477" s="128" t="str">
        <f t="shared" si="248"/>
        <v/>
      </c>
      <c r="Q477" s="129" t="str">
        <f t="shared" si="270"/>
        <v/>
      </c>
      <c r="R477" s="124" t="str">
        <f t="shared" si="256"/>
        <v/>
      </c>
      <c r="S477" s="124" t="str">
        <f t="shared" si="254"/>
        <v/>
      </c>
      <c r="T477" s="124" t="str">
        <f t="shared" si="257"/>
        <v/>
      </c>
      <c r="U477" s="124" t="str">
        <f t="shared" si="258"/>
        <v/>
      </c>
      <c r="V477" s="126" t="str">
        <f t="shared" si="266"/>
        <v/>
      </c>
      <c r="W477" s="124" t="str">
        <f t="shared" si="249"/>
        <v/>
      </c>
      <c r="X477" s="124" t="str">
        <f t="shared" si="250"/>
        <v/>
      </c>
      <c r="Y477" s="124" t="str">
        <f t="shared" si="259"/>
        <v/>
      </c>
      <c r="Z477" s="124" t="str">
        <f t="shared" ref="Z477:Z503" si="271">IF(V477="","",IF(N477="",I477,AI477/N477*I477))</f>
        <v/>
      </c>
      <c r="AA477" s="130" t="str">
        <f t="shared" si="260"/>
        <v/>
      </c>
      <c r="AB477" s="124" t="str">
        <f t="shared" si="265"/>
        <v/>
      </c>
      <c r="AC477" s="131"/>
      <c r="AD477" s="132" t="str">
        <f t="shared" si="261"/>
        <v/>
      </c>
      <c r="AE477" s="132" t="str">
        <f t="shared" si="261"/>
        <v/>
      </c>
      <c r="AF477" s="132" t="str">
        <f t="shared" si="262"/>
        <v/>
      </c>
      <c r="AG477" s="132" t="str">
        <f t="shared" si="263"/>
        <v/>
      </c>
      <c r="AH477" s="132" t="str">
        <f t="shared" si="251"/>
        <v/>
      </c>
      <c r="AI477" s="132" t="str">
        <f t="shared" si="252"/>
        <v/>
      </c>
      <c r="AJ477" s="133" t="str">
        <f t="shared" si="264"/>
        <v/>
      </c>
      <c r="AK477" s="133" t="str" cm="1">
        <f t="array" ref="AK477">IF(OR(E477="", H477=""), "",
  IFERROR(
     (
      INDEX($AM$3:$AM$22, MATCH(E477, $AL$3:$AL$22, 1)) +
      (E477 - INDEX($AL$3:$AL$22, MATCH(E477, $AL$3:$AL$22, 1))) *
      (INDEX($AM$3:$AM$22, MATCH(E477, $AL$3:$AL$22, 1)+1) - INDEX($AM$3:$AM$22, MATCH(E477, $AL$3:$AL$22, 1))) /
      (INDEX($AL$3:$AL$22, MATCH(E477, $AL$3:$AL$22, 1)+1) - INDEX($AL$3:$AL$22, MATCH(E477, $AL$3:$AL$22, 1)))
    ) - H477,
    ""
  )
)</f>
        <v/>
      </c>
      <c r="AL477" s="135"/>
      <c r="AM477" s="135"/>
      <c r="AN477" s="136"/>
    </row>
    <row r="478" spans="1:40" x14ac:dyDescent="0.35">
      <c r="A478" s="109">
        <f t="shared" si="267"/>
        <v>3</v>
      </c>
      <c r="B478" s="110">
        <f t="shared" si="267"/>
        <v>19</v>
      </c>
      <c r="C478" s="111" t="str">
        <f t="shared" si="245"/>
        <v/>
      </c>
      <c r="D478" s="112"/>
      <c r="E478" s="111" t="str">
        <f t="shared" si="268"/>
        <v/>
      </c>
      <c r="F478" s="112"/>
      <c r="G478" s="112"/>
      <c r="H478" s="113" t="str">
        <f t="shared" si="246"/>
        <v/>
      </c>
      <c r="I478" s="111" t="str">
        <f t="shared" si="247"/>
        <v/>
      </c>
      <c r="J478" s="112" t="str">
        <f t="shared" si="243"/>
        <v/>
      </c>
      <c r="K478" s="111" t="str">
        <f t="shared" si="269"/>
        <v/>
      </c>
      <c r="L478" s="114"/>
      <c r="M478" s="115"/>
      <c r="N478" s="111" t="str">
        <f t="shared" si="255"/>
        <v/>
      </c>
      <c r="O478" s="111">
        <f t="shared" si="253"/>
        <v>0</v>
      </c>
      <c r="P478" s="116" t="str">
        <f t="shared" si="248"/>
        <v/>
      </c>
      <c r="Q478" s="117" t="str">
        <f t="shared" si="270"/>
        <v/>
      </c>
      <c r="R478" s="111" t="str">
        <f t="shared" si="256"/>
        <v/>
      </c>
      <c r="S478" s="111" t="str">
        <f t="shared" si="254"/>
        <v/>
      </c>
      <c r="T478" s="111" t="str">
        <f t="shared" si="257"/>
        <v/>
      </c>
      <c r="U478" s="111" t="str">
        <f t="shared" si="258"/>
        <v/>
      </c>
      <c r="V478" s="113" t="str">
        <f t="shared" si="266"/>
        <v/>
      </c>
      <c r="W478" s="111" t="str">
        <f t="shared" si="249"/>
        <v/>
      </c>
      <c r="X478" s="111" t="str">
        <f t="shared" si="250"/>
        <v/>
      </c>
      <c r="Y478" s="111" t="str">
        <f t="shared" si="259"/>
        <v/>
      </c>
      <c r="Z478" s="111" t="str">
        <f t="shared" si="271"/>
        <v/>
      </c>
      <c r="AA478" s="118" t="str">
        <f t="shared" si="260"/>
        <v/>
      </c>
      <c r="AB478" s="111" t="str">
        <f t="shared" si="265"/>
        <v/>
      </c>
      <c r="AC478" s="119"/>
      <c r="AD478" s="120" t="str">
        <f t="shared" si="261"/>
        <v/>
      </c>
      <c r="AE478" s="120" t="str">
        <f t="shared" si="261"/>
        <v/>
      </c>
      <c r="AF478" s="120" t="str">
        <f t="shared" si="262"/>
        <v/>
      </c>
      <c r="AG478" s="120" t="str">
        <f t="shared" si="263"/>
        <v/>
      </c>
      <c r="AH478" s="120" t="str">
        <f t="shared" si="251"/>
        <v/>
      </c>
      <c r="AI478" s="120" t="str">
        <f t="shared" si="252"/>
        <v/>
      </c>
      <c r="AJ478" s="121" t="str">
        <f t="shared" si="264"/>
        <v/>
      </c>
      <c r="AK478" s="121" t="str" cm="1">
        <f t="array" ref="AK478">IF(OR(E478="", H478=""), "",
  IFERROR(
     (
      INDEX($AM$3:$AM$22, MATCH(E478, $AL$3:$AL$22, 1)) +
      (E478 - INDEX($AL$3:$AL$22, MATCH(E478, $AL$3:$AL$22, 1))) *
      (INDEX($AM$3:$AM$22, MATCH(E478, $AL$3:$AL$22, 1)+1) - INDEX($AM$3:$AM$22, MATCH(E478, $AL$3:$AL$22, 1))) /
      (INDEX($AL$3:$AL$22, MATCH(E478, $AL$3:$AL$22, 1)+1) - INDEX($AL$3:$AL$22, MATCH(E478, $AL$3:$AL$22, 1)))
    ) - H478,
    ""
  )
)</f>
        <v/>
      </c>
      <c r="AL478" s="137"/>
      <c r="AM478" s="137"/>
      <c r="AN478" s="138"/>
    </row>
    <row r="479" spans="1:40" x14ac:dyDescent="0.35">
      <c r="A479" s="122">
        <f t="shared" si="267"/>
        <v>3</v>
      </c>
      <c r="B479" s="123">
        <f t="shared" si="267"/>
        <v>19</v>
      </c>
      <c r="C479" s="124" t="str">
        <f t="shared" si="245"/>
        <v/>
      </c>
      <c r="D479" s="125"/>
      <c r="E479" s="124" t="str">
        <f t="shared" si="268"/>
        <v/>
      </c>
      <c r="F479" s="125"/>
      <c r="G479" s="125"/>
      <c r="H479" s="126" t="str">
        <f t="shared" si="246"/>
        <v/>
      </c>
      <c r="I479" s="124" t="str">
        <f t="shared" si="247"/>
        <v/>
      </c>
      <c r="J479" s="125" t="str">
        <f t="shared" si="243"/>
        <v/>
      </c>
      <c r="K479" s="124" t="str">
        <f t="shared" si="269"/>
        <v/>
      </c>
      <c r="L479" s="127"/>
      <c r="M479" s="134"/>
      <c r="N479" s="124" t="str">
        <f t="shared" si="255"/>
        <v/>
      </c>
      <c r="O479" s="124">
        <f t="shared" si="253"/>
        <v>0</v>
      </c>
      <c r="P479" s="128" t="str">
        <f t="shared" si="248"/>
        <v/>
      </c>
      <c r="Q479" s="129" t="str">
        <f t="shared" si="270"/>
        <v/>
      </c>
      <c r="R479" s="124" t="str">
        <f t="shared" si="256"/>
        <v/>
      </c>
      <c r="S479" s="124" t="str">
        <f t="shared" si="254"/>
        <v/>
      </c>
      <c r="T479" s="124" t="str">
        <f t="shared" si="257"/>
        <v/>
      </c>
      <c r="U479" s="124" t="str">
        <f t="shared" si="258"/>
        <v/>
      </c>
      <c r="V479" s="126" t="str">
        <f t="shared" si="266"/>
        <v/>
      </c>
      <c r="W479" s="124" t="str">
        <f t="shared" si="249"/>
        <v/>
      </c>
      <c r="X479" s="124" t="str">
        <f t="shared" si="250"/>
        <v/>
      </c>
      <c r="Y479" s="124" t="str">
        <f t="shared" si="259"/>
        <v/>
      </c>
      <c r="Z479" s="124" t="str">
        <f t="shared" si="271"/>
        <v/>
      </c>
      <c r="AA479" s="130" t="str">
        <f t="shared" si="260"/>
        <v/>
      </c>
      <c r="AB479" s="124" t="str">
        <f t="shared" si="265"/>
        <v/>
      </c>
      <c r="AC479" s="131"/>
      <c r="AD479" s="132" t="str">
        <f t="shared" si="261"/>
        <v/>
      </c>
      <c r="AE479" s="132" t="str">
        <f t="shared" si="261"/>
        <v/>
      </c>
      <c r="AF479" s="132" t="str">
        <f t="shared" si="262"/>
        <v/>
      </c>
      <c r="AG479" s="132" t="str">
        <f t="shared" si="263"/>
        <v/>
      </c>
      <c r="AH479" s="132" t="str">
        <f t="shared" si="251"/>
        <v/>
      </c>
      <c r="AI479" s="132" t="str">
        <f t="shared" si="252"/>
        <v/>
      </c>
      <c r="AJ479" s="133" t="str">
        <f t="shared" si="264"/>
        <v/>
      </c>
      <c r="AK479" s="133" t="str" cm="1">
        <f t="array" ref="AK479">IF(OR(E479="", H479=""), "",
  IFERROR(
     (
      INDEX($AM$3:$AM$22, MATCH(E479, $AL$3:$AL$22, 1)) +
      (E479 - INDEX($AL$3:$AL$22, MATCH(E479, $AL$3:$AL$22, 1))) *
      (INDEX($AM$3:$AM$22, MATCH(E479, $AL$3:$AL$22, 1)+1) - INDEX($AM$3:$AM$22, MATCH(E479, $AL$3:$AL$22, 1))) /
      (INDEX($AL$3:$AL$22, MATCH(E479, $AL$3:$AL$22, 1)+1) - INDEX($AL$3:$AL$22, MATCH(E479, $AL$3:$AL$22, 1)))
    ) - H479,
    ""
  )
)</f>
        <v/>
      </c>
      <c r="AL479" s="135"/>
      <c r="AM479" s="135"/>
      <c r="AN479" s="136"/>
    </row>
    <row r="480" spans="1:40" x14ac:dyDescent="0.35">
      <c r="A480" s="109">
        <f t="shared" ref="A480:B495" si="272">+A479</f>
        <v>3</v>
      </c>
      <c r="B480" s="110">
        <f t="shared" si="272"/>
        <v>19</v>
      </c>
      <c r="C480" s="111" t="str">
        <f t="shared" si="245"/>
        <v/>
      </c>
      <c r="D480" s="112"/>
      <c r="E480" s="111" t="str">
        <f t="shared" si="268"/>
        <v/>
      </c>
      <c r="F480" s="112"/>
      <c r="G480" s="112"/>
      <c r="H480" s="113" t="str">
        <f t="shared" si="246"/>
        <v/>
      </c>
      <c r="I480" s="111" t="str">
        <f t="shared" si="247"/>
        <v/>
      </c>
      <c r="J480" s="112" t="str">
        <f t="shared" si="243"/>
        <v/>
      </c>
      <c r="K480" s="111" t="str">
        <f t="shared" si="269"/>
        <v/>
      </c>
      <c r="L480" s="114"/>
      <c r="M480" s="115"/>
      <c r="N480" s="111" t="str">
        <f t="shared" si="255"/>
        <v/>
      </c>
      <c r="O480" s="111">
        <f t="shared" si="253"/>
        <v>0</v>
      </c>
      <c r="P480" s="116" t="str">
        <f t="shared" si="248"/>
        <v/>
      </c>
      <c r="Q480" s="117" t="str">
        <f t="shared" si="270"/>
        <v/>
      </c>
      <c r="R480" s="111" t="str">
        <f t="shared" si="256"/>
        <v/>
      </c>
      <c r="S480" s="111" t="str">
        <f t="shared" si="254"/>
        <v/>
      </c>
      <c r="T480" s="111" t="str">
        <f t="shared" si="257"/>
        <v/>
      </c>
      <c r="U480" s="111" t="str">
        <f t="shared" si="258"/>
        <v/>
      </c>
      <c r="V480" s="113" t="str">
        <f t="shared" si="266"/>
        <v/>
      </c>
      <c r="W480" s="111" t="str">
        <f t="shared" si="249"/>
        <v/>
      </c>
      <c r="X480" s="111" t="str">
        <f t="shared" si="250"/>
        <v/>
      </c>
      <c r="Y480" s="111" t="str">
        <f t="shared" si="259"/>
        <v/>
      </c>
      <c r="Z480" s="111" t="str">
        <f t="shared" si="271"/>
        <v/>
      </c>
      <c r="AA480" s="118" t="str">
        <f t="shared" si="260"/>
        <v/>
      </c>
      <c r="AB480" s="111" t="str">
        <f t="shared" si="265"/>
        <v/>
      </c>
      <c r="AC480" s="119"/>
      <c r="AD480" s="120" t="str">
        <f t="shared" si="261"/>
        <v/>
      </c>
      <c r="AE480" s="120" t="str">
        <f t="shared" si="261"/>
        <v/>
      </c>
      <c r="AF480" s="120" t="str">
        <f t="shared" si="262"/>
        <v/>
      </c>
      <c r="AG480" s="120" t="str">
        <f t="shared" si="263"/>
        <v/>
      </c>
      <c r="AH480" s="120" t="str">
        <f t="shared" si="251"/>
        <v/>
      </c>
      <c r="AI480" s="120" t="str">
        <f t="shared" si="252"/>
        <v/>
      </c>
      <c r="AJ480" s="121" t="str">
        <f t="shared" si="264"/>
        <v/>
      </c>
      <c r="AK480" s="121" t="str" cm="1">
        <f t="array" ref="AK480">IF(OR(E480="", H480=""), "",
  IFERROR(
     (
      INDEX($AM$3:$AM$22, MATCH(E480, $AL$3:$AL$22, 1)) +
      (E480 - INDEX($AL$3:$AL$22, MATCH(E480, $AL$3:$AL$22, 1))) *
      (INDEX($AM$3:$AM$22, MATCH(E480, $AL$3:$AL$22, 1)+1) - INDEX($AM$3:$AM$22, MATCH(E480, $AL$3:$AL$22, 1))) /
      (INDEX($AL$3:$AL$22, MATCH(E480, $AL$3:$AL$22, 1)+1) - INDEX($AL$3:$AL$22, MATCH(E480, $AL$3:$AL$22, 1)))
    ) - H480,
    ""
  )
)</f>
        <v/>
      </c>
      <c r="AL480" s="137"/>
      <c r="AM480" s="137"/>
      <c r="AN480" s="138"/>
    </row>
    <row r="481" spans="1:40" x14ac:dyDescent="0.35">
      <c r="A481" s="122">
        <f t="shared" si="272"/>
        <v>3</v>
      </c>
      <c r="B481" s="123">
        <f t="shared" si="272"/>
        <v>19</v>
      </c>
      <c r="C481" s="124" t="str">
        <f t="shared" si="245"/>
        <v/>
      </c>
      <c r="D481" s="125"/>
      <c r="E481" s="124" t="str">
        <f t="shared" si="268"/>
        <v/>
      </c>
      <c r="F481" s="125"/>
      <c r="G481" s="125"/>
      <c r="H481" s="126" t="str">
        <f t="shared" si="246"/>
        <v/>
      </c>
      <c r="I481" s="124" t="str">
        <f t="shared" si="247"/>
        <v/>
      </c>
      <c r="J481" s="125" t="str">
        <f t="shared" si="243"/>
        <v/>
      </c>
      <c r="K481" s="124" t="str">
        <f t="shared" si="269"/>
        <v/>
      </c>
      <c r="L481" s="127"/>
      <c r="M481" s="134"/>
      <c r="N481" s="124" t="str">
        <f t="shared" si="255"/>
        <v/>
      </c>
      <c r="O481" s="124">
        <f t="shared" si="253"/>
        <v>0</v>
      </c>
      <c r="P481" s="128" t="str">
        <f t="shared" si="248"/>
        <v/>
      </c>
      <c r="Q481" s="129" t="str">
        <f t="shared" si="270"/>
        <v/>
      </c>
      <c r="R481" s="124" t="str">
        <f t="shared" si="256"/>
        <v/>
      </c>
      <c r="S481" s="124" t="str">
        <f t="shared" si="254"/>
        <v/>
      </c>
      <c r="T481" s="124" t="str">
        <f t="shared" si="257"/>
        <v/>
      </c>
      <c r="U481" s="124" t="str">
        <f t="shared" si="258"/>
        <v/>
      </c>
      <c r="V481" s="126" t="str">
        <f t="shared" si="266"/>
        <v/>
      </c>
      <c r="W481" s="124" t="str">
        <f t="shared" si="249"/>
        <v/>
      </c>
      <c r="X481" s="124" t="str">
        <f t="shared" si="250"/>
        <v/>
      </c>
      <c r="Y481" s="124" t="str">
        <f t="shared" si="259"/>
        <v/>
      </c>
      <c r="Z481" s="124" t="str">
        <f t="shared" si="271"/>
        <v/>
      </c>
      <c r="AA481" s="130" t="str">
        <f t="shared" si="260"/>
        <v/>
      </c>
      <c r="AB481" s="124" t="str">
        <f t="shared" si="265"/>
        <v/>
      </c>
      <c r="AC481" s="131"/>
      <c r="AD481" s="132" t="str">
        <f t="shared" si="261"/>
        <v/>
      </c>
      <c r="AE481" s="132" t="str">
        <f t="shared" si="261"/>
        <v/>
      </c>
      <c r="AF481" s="132" t="str">
        <f t="shared" si="262"/>
        <v/>
      </c>
      <c r="AG481" s="132" t="str">
        <f t="shared" si="263"/>
        <v/>
      </c>
      <c r="AH481" s="132" t="str">
        <f t="shared" si="251"/>
        <v/>
      </c>
      <c r="AI481" s="132" t="str">
        <f t="shared" si="252"/>
        <v/>
      </c>
      <c r="AJ481" s="133" t="str">
        <f t="shared" si="264"/>
        <v/>
      </c>
      <c r="AK481" s="133" t="str" cm="1">
        <f t="array" ref="AK481">IF(OR(E481="", H481=""), "",
  IFERROR(
     (
      INDEX($AM$3:$AM$22, MATCH(E481, $AL$3:$AL$22, 1)) +
      (E481 - INDEX($AL$3:$AL$22, MATCH(E481, $AL$3:$AL$22, 1))) *
      (INDEX($AM$3:$AM$22, MATCH(E481, $AL$3:$AL$22, 1)+1) - INDEX($AM$3:$AM$22, MATCH(E481, $AL$3:$AL$22, 1))) /
      (INDEX($AL$3:$AL$22, MATCH(E481, $AL$3:$AL$22, 1)+1) - INDEX($AL$3:$AL$22, MATCH(E481, $AL$3:$AL$22, 1)))
    ) - H481,
    ""
  )
)</f>
        <v/>
      </c>
      <c r="AL481" s="135"/>
      <c r="AM481" s="135"/>
      <c r="AN481" s="136"/>
    </row>
    <row r="482" spans="1:40" x14ac:dyDescent="0.35">
      <c r="A482" s="109">
        <f t="shared" si="272"/>
        <v>3</v>
      </c>
      <c r="B482" s="110">
        <f t="shared" si="272"/>
        <v>19</v>
      </c>
      <c r="C482" s="111" t="str">
        <f t="shared" si="245"/>
        <v/>
      </c>
      <c r="D482" s="112"/>
      <c r="E482" s="111" t="str">
        <f t="shared" si="268"/>
        <v/>
      </c>
      <c r="F482" s="112"/>
      <c r="G482" s="112"/>
      <c r="H482" s="113" t="str">
        <f t="shared" si="246"/>
        <v/>
      </c>
      <c r="I482" s="111" t="str">
        <f t="shared" si="247"/>
        <v/>
      </c>
      <c r="J482" s="112" t="str">
        <f t="shared" si="243"/>
        <v/>
      </c>
      <c r="K482" s="111" t="str">
        <f t="shared" si="269"/>
        <v/>
      </c>
      <c r="L482" s="114"/>
      <c r="M482" s="115"/>
      <c r="N482" s="111" t="str">
        <f t="shared" si="255"/>
        <v/>
      </c>
      <c r="O482" s="111">
        <f t="shared" si="253"/>
        <v>0</v>
      </c>
      <c r="P482" s="116" t="str">
        <f t="shared" si="248"/>
        <v/>
      </c>
      <c r="Q482" s="117" t="str">
        <f t="shared" si="270"/>
        <v/>
      </c>
      <c r="R482" s="111" t="str">
        <f t="shared" si="256"/>
        <v/>
      </c>
      <c r="S482" s="111" t="str">
        <f t="shared" si="254"/>
        <v/>
      </c>
      <c r="T482" s="111" t="str">
        <f t="shared" si="257"/>
        <v/>
      </c>
      <c r="U482" s="111" t="str">
        <f t="shared" si="258"/>
        <v/>
      </c>
      <c r="V482" s="113" t="str">
        <f t="shared" si="266"/>
        <v/>
      </c>
      <c r="W482" s="111" t="str">
        <f t="shared" si="249"/>
        <v/>
      </c>
      <c r="X482" s="111" t="str">
        <f t="shared" si="250"/>
        <v/>
      </c>
      <c r="Y482" s="111" t="str">
        <f t="shared" si="259"/>
        <v/>
      </c>
      <c r="Z482" s="111" t="str">
        <f t="shared" si="271"/>
        <v/>
      </c>
      <c r="AA482" s="118" t="str">
        <f t="shared" si="260"/>
        <v/>
      </c>
      <c r="AB482" s="111" t="str">
        <f t="shared" si="265"/>
        <v/>
      </c>
      <c r="AC482" s="119"/>
      <c r="AD482" s="120" t="str">
        <f t="shared" si="261"/>
        <v/>
      </c>
      <c r="AE482" s="120" t="str">
        <f t="shared" si="261"/>
        <v/>
      </c>
      <c r="AF482" s="120" t="str">
        <f t="shared" si="262"/>
        <v/>
      </c>
      <c r="AG482" s="120" t="str">
        <f t="shared" si="263"/>
        <v/>
      </c>
      <c r="AH482" s="120" t="str">
        <f t="shared" si="251"/>
        <v/>
      </c>
      <c r="AI482" s="120" t="str">
        <f t="shared" si="252"/>
        <v/>
      </c>
      <c r="AJ482" s="121" t="str">
        <f t="shared" si="264"/>
        <v/>
      </c>
      <c r="AK482" s="121" t="str" cm="1">
        <f t="array" ref="AK482">IF(OR(E482="", H482=""), "",
  IFERROR(
     (
      INDEX($AM$3:$AM$22, MATCH(E482, $AL$3:$AL$22, 1)) +
      (E482 - INDEX($AL$3:$AL$22, MATCH(E482, $AL$3:$AL$22, 1))) *
      (INDEX($AM$3:$AM$22, MATCH(E482, $AL$3:$AL$22, 1)+1) - INDEX($AM$3:$AM$22, MATCH(E482, $AL$3:$AL$22, 1))) /
      (INDEX($AL$3:$AL$22, MATCH(E482, $AL$3:$AL$22, 1)+1) - INDEX($AL$3:$AL$22, MATCH(E482, $AL$3:$AL$22, 1)))
    ) - H482,
    ""
  )
)</f>
        <v/>
      </c>
      <c r="AL482" s="137"/>
      <c r="AM482" s="137"/>
      <c r="AN482" s="138"/>
    </row>
    <row r="483" spans="1:40" x14ac:dyDescent="0.35">
      <c r="A483" s="122">
        <f t="shared" si="272"/>
        <v>3</v>
      </c>
      <c r="B483" s="123">
        <f t="shared" si="272"/>
        <v>19</v>
      </c>
      <c r="C483" s="124" t="str">
        <f t="shared" si="245"/>
        <v/>
      </c>
      <c r="D483" s="125"/>
      <c r="E483" s="124" t="str">
        <f t="shared" si="268"/>
        <v/>
      </c>
      <c r="F483" s="125"/>
      <c r="G483" s="125"/>
      <c r="H483" s="126" t="str">
        <f t="shared" si="246"/>
        <v/>
      </c>
      <c r="I483" s="124" t="str">
        <f t="shared" si="247"/>
        <v/>
      </c>
      <c r="J483" s="125" t="str">
        <f t="shared" si="243"/>
        <v/>
      </c>
      <c r="K483" s="124" t="str">
        <f t="shared" si="269"/>
        <v/>
      </c>
      <c r="L483" s="127"/>
      <c r="M483" s="134"/>
      <c r="N483" s="124" t="str">
        <f t="shared" si="255"/>
        <v/>
      </c>
      <c r="O483" s="124">
        <f t="shared" si="253"/>
        <v>0</v>
      </c>
      <c r="P483" s="128" t="str">
        <f t="shared" si="248"/>
        <v/>
      </c>
      <c r="Q483" s="129" t="str">
        <f t="shared" si="270"/>
        <v/>
      </c>
      <c r="R483" s="124" t="str">
        <f t="shared" si="256"/>
        <v/>
      </c>
      <c r="S483" s="124" t="str">
        <f t="shared" si="254"/>
        <v/>
      </c>
      <c r="T483" s="124" t="str">
        <f t="shared" si="257"/>
        <v/>
      </c>
      <c r="U483" s="124" t="str">
        <f t="shared" si="258"/>
        <v/>
      </c>
      <c r="V483" s="126" t="str">
        <f t="shared" si="266"/>
        <v/>
      </c>
      <c r="W483" s="124" t="str">
        <f t="shared" si="249"/>
        <v/>
      </c>
      <c r="X483" s="124" t="str">
        <f t="shared" si="250"/>
        <v/>
      </c>
      <c r="Y483" s="124" t="str">
        <f t="shared" si="259"/>
        <v/>
      </c>
      <c r="Z483" s="124" t="str">
        <f t="shared" si="271"/>
        <v/>
      </c>
      <c r="AA483" s="130" t="str">
        <f t="shared" si="260"/>
        <v/>
      </c>
      <c r="AB483" s="124" t="str">
        <f t="shared" si="265"/>
        <v/>
      </c>
      <c r="AC483" s="131"/>
      <c r="AD483" s="132" t="str">
        <f t="shared" si="261"/>
        <v/>
      </c>
      <c r="AE483" s="132" t="str">
        <f t="shared" si="261"/>
        <v/>
      </c>
      <c r="AF483" s="132" t="str">
        <f t="shared" si="262"/>
        <v/>
      </c>
      <c r="AG483" s="132" t="str">
        <f t="shared" si="263"/>
        <v/>
      </c>
      <c r="AH483" s="132" t="str">
        <f t="shared" si="251"/>
        <v/>
      </c>
      <c r="AI483" s="132" t="str">
        <f t="shared" si="252"/>
        <v/>
      </c>
      <c r="AJ483" s="133" t="str">
        <f t="shared" si="264"/>
        <v/>
      </c>
      <c r="AK483" s="133" t="str" cm="1">
        <f t="array" ref="AK483">IF(OR(E483="", H483=""), "",
  IFERROR(
     (
      INDEX($AM$3:$AM$22, MATCH(E483, $AL$3:$AL$22, 1)) +
      (E483 - INDEX($AL$3:$AL$22, MATCH(E483, $AL$3:$AL$22, 1))) *
      (INDEX($AM$3:$AM$22, MATCH(E483, $AL$3:$AL$22, 1)+1) - INDEX($AM$3:$AM$22, MATCH(E483, $AL$3:$AL$22, 1))) /
      (INDEX($AL$3:$AL$22, MATCH(E483, $AL$3:$AL$22, 1)+1) - INDEX($AL$3:$AL$22, MATCH(E483, $AL$3:$AL$22, 1)))
    ) - H483,
    ""
  )
)</f>
        <v/>
      </c>
      <c r="AL483" s="135"/>
      <c r="AM483" s="135"/>
      <c r="AN483" s="136"/>
    </row>
    <row r="484" spans="1:40" x14ac:dyDescent="0.35">
      <c r="A484" s="109">
        <f t="shared" si="272"/>
        <v>3</v>
      </c>
      <c r="B484" s="110">
        <f t="shared" si="272"/>
        <v>19</v>
      </c>
      <c r="C484" s="111" t="str">
        <f t="shared" si="245"/>
        <v/>
      </c>
      <c r="D484" s="112"/>
      <c r="E484" s="111" t="str">
        <f t="shared" si="268"/>
        <v/>
      </c>
      <c r="F484" s="112"/>
      <c r="G484" s="112"/>
      <c r="H484" s="113" t="str">
        <f t="shared" si="246"/>
        <v/>
      </c>
      <c r="I484" s="111" t="str">
        <f t="shared" si="247"/>
        <v/>
      </c>
      <c r="J484" s="112" t="str">
        <f t="shared" si="243"/>
        <v/>
      </c>
      <c r="K484" s="111" t="str">
        <f t="shared" si="269"/>
        <v/>
      </c>
      <c r="L484" s="114"/>
      <c r="M484" s="115"/>
      <c r="N484" s="111" t="str">
        <f t="shared" si="255"/>
        <v/>
      </c>
      <c r="O484" s="111">
        <f t="shared" si="253"/>
        <v>0</v>
      </c>
      <c r="P484" s="116" t="str">
        <f t="shared" si="248"/>
        <v/>
      </c>
      <c r="Q484" s="117" t="str">
        <f t="shared" si="270"/>
        <v/>
      </c>
      <c r="R484" s="111" t="str">
        <f t="shared" si="256"/>
        <v/>
      </c>
      <c r="S484" s="111" t="str">
        <f t="shared" si="254"/>
        <v/>
      </c>
      <c r="T484" s="111" t="str">
        <f t="shared" si="257"/>
        <v/>
      </c>
      <c r="U484" s="111" t="str">
        <f t="shared" si="258"/>
        <v/>
      </c>
      <c r="V484" s="113" t="str">
        <f t="shared" si="266"/>
        <v/>
      </c>
      <c r="W484" s="111" t="str">
        <f t="shared" si="249"/>
        <v/>
      </c>
      <c r="X484" s="111" t="str">
        <f t="shared" si="250"/>
        <v/>
      </c>
      <c r="Y484" s="111" t="str">
        <f t="shared" si="259"/>
        <v/>
      </c>
      <c r="Z484" s="111" t="str">
        <f t="shared" si="271"/>
        <v/>
      </c>
      <c r="AA484" s="118" t="str">
        <f t="shared" si="260"/>
        <v/>
      </c>
      <c r="AB484" s="111" t="str">
        <f t="shared" si="265"/>
        <v/>
      </c>
      <c r="AC484" s="119"/>
      <c r="AD484" s="120" t="str">
        <f t="shared" si="261"/>
        <v/>
      </c>
      <c r="AE484" s="120" t="str">
        <f t="shared" si="261"/>
        <v/>
      </c>
      <c r="AF484" s="120" t="str">
        <f t="shared" si="262"/>
        <v/>
      </c>
      <c r="AG484" s="120" t="str">
        <f t="shared" si="263"/>
        <v/>
      </c>
      <c r="AH484" s="120" t="str">
        <f t="shared" si="251"/>
        <v/>
      </c>
      <c r="AI484" s="120" t="str">
        <f t="shared" si="252"/>
        <v/>
      </c>
      <c r="AJ484" s="121" t="str">
        <f t="shared" si="264"/>
        <v/>
      </c>
      <c r="AK484" s="121" t="str" cm="1">
        <f t="array" ref="AK484">IF(OR(E484="", H484=""), "",
  IFERROR(
     (
      INDEX($AM$3:$AM$22, MATCH(E484, $AL$3:$AL$22, 1)) +
      (E484 - INDEX($AL$3:$AL$22, MATCH(E484, $AL$3:$AL$22, 1))) *
      (INDEX($AM$3:$AM$22, MATCH(E484, $AL$3:$AL$22, 1)+1) - INDEX($AM$3:$AM$22, MATCH(E484, $AL$3:$AL$22, 1))) /
      (INDEX($AL$3:$AL$22, MATCH(E484, $AL$3:$AL$22, 1)+1) - INDEX($AL$3:$AL$22, MATCH(E484, $AL$3:$AL$22, 1)))
    ) - H484,
    ""
  )
)</f>
        <v/>
      </c>
      <c r="AL484" s="137"/>
      <c r="AM484" s="137"/>
      <c r="AN484" s="138"/>
    </row>
    <row r="485" spans="1:40" x14ac:dyDescent="0.35">
      <c r="A485" s="122">
        <f t="shared" si="272"/>
        <v>3</v>
      </c>
      <c r="B485" s="123">
        <f t="shared" si="272"/>
        <v>19</v>
      </c>
      <c r="C485" s="124" t="str">
        <f t="shared" si="245"/>
        <v/>
      </c>
      <c r="D485" s="125"/>
      <c r="E485" s="124" t="str">
        <f t="shared" si="268"/>
        <v/>
      </c>
      <c r="F485" s="125"/>
      <c r="G485" s="125"/>
      <c r="H485" s="126" t="str">
        <f t="shared" si="246"/>
        <v/>
      </c>
      <c r="I485" s="124" t="str">
        <f t="shared" si="247"/>
        <v/>
      </c>
      <c r="J485" s="125" t="str">
        <f t="shared" si="243"/>
        <v/>
      </c>
      <c r="K485" s="124" t="str">
        <f t="shared" si="269"/>
        <v/>
      </c>
      <c r="L485" s="127"/>
      <c r="M485" s="134"/>
      <c r="N485" s="124" t="str">
        <f t="shared" si="255"/>
        <v/>
      </c>
      <c r="O485" s="124">
        <f t="shared" si="253"/>
        <v>0</v>
      </c>
      <c r="P485" s="128" t="str">
        <f t="shared" si="248"/>
        <v/>
      </c>
      <c r="Q485" s="129" t="str">
        <f t="shared" si="270"/>
        <v/>
      </c>
      <c r="R485" s="124" t="str">
        <f t="shared" si="256"/>
        <v/>
      </c>
      <c r="S485" s="124" t="str">
        <f t="shared" si="254"/>
        <v/>
      </c>
      <c r="T485" s="124" t="str">
        <f t="shared" si="257"/>
        <v/>
      </c>
      <c r="U485" s="124" t="str">
        <f t="shared" si="258"/>
        <v/>
      </c>
      <c r="V485" s="126" t="str">
        <f t="shared" si="266"/>
        <v/>
      </c>
      <c r="W485" s="124" t="str">
        <f t="shared" si="249"/>
        <v/>
      </c>
      <c r="X485" s="124" t="str">
        <f t="shared" si="250"/>
        <v/>
      </c>
      <c r="Y485" s="124" t="str">
        <f t="shared" si="259"/>
        <v/>
      </c>
      <c r="Z485" s="124" t="str">
        <f t="shared" si="271"/>
        <v/>
      </c>
      <c r="AA485" s="130" t="str">
        <f t="shared" si="260"/>
        <v/>
      </c>
      <c r="AB485" s="124" t="str">
        <f t="shared" si="265"/>
        <v/>
      </c>
      <c r="AC485" s="131"/>
      <c r="AD485" s="132" t="str">
        <f t="shared" si="261"/>
        <v/>
      </c>
      <c r="AE485" s="132" t="str">
        <f t="shared" si="261"/>
        <v/>
      </c>
      <c r="AF485" s="132" t="str">
        <f t="shared" si="262"/>
        <v/>
      </c>
      <c r="AG485" s="132" t="str">
        <f t="shared" si="263"/>
        <v/>
      </c>
      <c r="AH485" s="132" t="str">
        <f t="shared" si="251"/>
        <v/>
      </c>
      <c r="AI485" s="132" t="str">
        <f t="shared" si="252"/>
        <v/>
      </c>
      <c r="AJ485" s="133" t="str">
        <f t="shared" si="264"/>
        <v/>
      </c>
      <c r="AK485" s="133" t="str" cm="1">
        <f t="array" ref="AK485">IF(OR(E485="", H485=""), "",
  IFERROR(
     (
      INDEX($AM$3:$AM$22, MATCH(E485, $AL$3:$AL$22, 1)) +
      (E485 - INDEX($AL$3:$AL$22, MATCH(E485, $AL$3:$AL$22, 1))) *
      (INDEX($AM$3:$AM$22, MATCH(E485, $AL$3:$AL$22, 1)+1) - INDEX($AM$3:$AM$22, MATCH(E485, $AL$3:$AL$22, 1))) /
      (INDEX($AL$3:$AL$22, MATCH(E485, $AL$3:$AL$22, 1)+1) - INDEX($AL$3:$AL$22, MATCH(E485, $AL$3:$AL$22, 1)))
    ) - H485,
    ""
  )
)</f>
        <v/>
      </c>
      <c r="AL485" s="135"/>
      <c r="AM485" s="135"/>
      <c r="AN485" s="136"/>
    </row>
    <row r="486" spans="1:40" x14ac:dyDescent="0.35">
      <c r="A486" s="109">
        <f t="shared" si="272"/>
        <v>3</v>
      </c>
      <c r="B486" s="110">
        <f t="shared" si="272"/>
        <v>19</v>
      </c>
      <c r="C486" s="111" t="str">
        <f t="shared" si="245"/>
        <v/>
      </c>
      <c r="D486" s="112"/>
      <c r="E486" s="111" t="str">
        <f t="shared" si="268"/>
        <v/>
      </c>
      <c r="F486" s="112"/>
      <c r="G486" s="112"/>
      <c r="H486" s="113" t="str">
        <f t="shared" si="246"/>
        <v/>
      </c>
      <c r="I486" s="111" t="str">
        <f t="shared" si="247"/>
        <v/>
      </c>
      <c r="J486" s="112" t="str">
        <f t="shared" si="243"/>
        <v/>
      </c>
      <c r="K486" s="111" t="str">
        <f t="shared" si="269"/>
        <v/>
      </c>
      <c r="L486" s="114"/>
      <c r="M486" s="115"/>
      <c r="N486" s="111" t="str">
        <f t="shared" si="255"/>
        <v/>
      </c>
      <c r="O486" s="111">
        <f t="shared" si="253"/>
        <v>0</v>
      </c>
      <c r="P486" s="116" t="str">
        <f t="shared" si="248"/>
        <v/>
      </c>
      <c r="Q486" s="117" t="str">
        <f t="shared" si="270"/>
        <v/>
      </c>
      <c r="R486" s="111" t="str">
        <f t="shared" si="256"/>
        <v/>
      </c>
      <c r="S486" s="111" t="str">
        <f t="shared" si="254"/>
        <v/>
      </c>
      <c r="T486" s="111" t="str">
        <f t="shared" si="257"/>
        <v/>
      </c>
      <c r="U486" s="111" t="str">
        <f t="shared" si="258"/>
        <v/>
      </c>
      <c r="V486" s="113" t="str">
        <f t="shared" si="266"/>
        <v/>
      </c>
      <c r="W486" s="111" t="str">
        <f t="shared" si="249"/>
        <v/>
      </c>
      <c r="X486" s="111" t="str">
        <f t="shared" si="250"/>
        <v/>
      </c>
      <c r="Y486" s="111" t="str">
        <f t="shared" si="259"/>
        <v/>
      </c>
      <c r="Z486" s="111" t="str">
        <f t="shared" si="271"/>
        <v/>
      </c>
      <c r="AA486" s="118" t="str">
        <f t="shared" si="260"/>
        <v/>
      </c>
      <c r="AB486" s="111" t="str">
        <f t="shared" si="265"/>
        <v/>
      </c>
      <c r="AC486" s="119"/>
      <c r="AD486" s="120" t="str">
        <f t="shared" si="261"/>
        <v/>
      </c>
      <c r="AE486" s="120" t="str">
        <f t="shared" si="261"/>
        <v/>
      </c>
      <c r="AF486" s="120" t="str">
        <f t="shared" si="262"/>
        <v/>
      </c>
      <c r="AG486" s="120" t="str">
        <f t="shared" si="263"/>
        <v/>
      </c>
      <c r="AH486" s="120" t="str">
        <f t="shared" si="251"/>
        <v/>
      </c>
      <c r="AI486" s="120" t="str">
        <f t="shared" si="252"/>
        <v/>
      </c>
      <c r="AJ486" s="121" t="str">
        <f t="shared" si="264"/>
        <v/>
      </c>
      <c r="AK486" s="121" t="str" cm="1">
        <f t="array" ref="AK486">IF(OR(E486="", H486=""), "",
  IFERROR(
     (
      INDEX($AM$3:$AM$22, MATCH(E486, $AL$3:$AL$22, 1)) +
      (E486 - INDEX($AL$3:$AL$22, MATCH(E486, $AL$3:$AL$22, 1))) *
      (INDEX($AM$3:$AM$22, MATCH(E486, $AL$3:$AL$22, 1)+1) - INDEX($AM$3:$AM$22, MATCH(E486, $AL$3:$AL$22, 1))) /
      (INDEX($AL$3:$AL$22, MATCH(E486, $AL$3:$AL$22, 1)+1) - INDEX($AL$3:$AL$22, MATCH(E486, $AL$3:$AL$22, 1)))
    ) - H486,
    ""
  )
)</f>
        <v/>
      </c>
      <c r="AL486" s="137"/>
      <c r="AM486" s="137"/>
      <c r="AN486" s="138"/>
    </row>
    <row r="487" spans="1:40" x14ac:dyDescent="0.35">
      <c r="A487" s="122">
        <f t="shared" si="272"/>
        <v>3</v>
      </c>
      <c r="B487" s="123">
        <f t="shared" si="272"/>
        <v>19</v>
      </c>
      <c r="C487" s="124" t="str">
        <f t="shared" si="245"/>
        <v/>
      </c>
      <c r="D487" s="125"/>
      <c r="E487" s="124" t="str">
        <f t="shared" si="268"/>
        <v/>
      </c>
      <c r="F487" s="125"/>
      <c r="G487" s="125"/>
      <c r="H487" s="126" t="str">
        <f t="shared" si="246"/>
        <v/>
      </c>
      <c r="I487" s="124" t="str">
        <f t="shared" si="247"/>
        <v/>
      </c>
      <c r="J487" s="125" t="str">
        <f t="shared" si="243"/>
        <v/>
      </c>
      <c r="K487" s="124" t="str">
        <f t="shared" si="269"/>
        <v/>
      </c>
      <c r="L487" s="127"/>
      <c r="M487" s="134"/>
      <c r="N487" s="124" t="str">
        <f t="shared" si="255"/>
        <v/>
      </c>
      <c r="O487" s="124">
        <f t="shared" si="253"/>
        <v>0</v>
      </c>
      <c r="P487" s="128" t="str">
        <f t="shared" si="248"/>
        <v/>
      </c>
      <c r="Q487" s="129" t="str">
        <f t="shared" si="270"/>
        <v/>
      </c>
      <c r="R487" s="124" t="str">
        <f t="shared" si="256"/>
        <v/>
      </c>
      <c r="S487" s="124" t="str">
        <f t="shared" si="254"/>
        <v/>
      </c>
      <c r="T487" s="124" t="str">
        <f t="shared" si="257"/>
        <v/>
      </c>
      <c r="U487" s="124" t="str">
        <f t="shared" si="258"/>
        <v/>
      </c>
      <c r="V487" s="126" t="str">
        <f t="shared" si="266"/>
        <v/>
      </c>
      <c r="W487" s="124" t="str">
        <f t="shared" si="249"/>
        <v/>
      </c>
      <c r="X487" s="124" t="str">
        <f t="shared" si="250"/>
        <v/>
      </c>
      <c r="Y487" s="124" t="str">
        <f t="shared" si="259"/>
        <v/>
      </c>
      <c r="Z487" s="124" t="str">
        <f t="shared" si="271"/>
        <v/>
      </c>
      <c r="AA487" s="130" t="str">
        <f t="shared" si="260"/>
        <v/>
      </c>
      <c r="AB487" s="124" t="str">
        <f t="shared" si="265"/>
        <v/>
      </c>
      <c r="AC487" s="131"/>
      <c r="AD487" s="132" t="str">
        <f t="shared" si="261"/>
        <v/>
      </c>
      <c r="AE487" s="132" t="str">
        <f t="shared" si="261"/>
        <v/>
      </c>
      <c r="AF487" s="132" t="str">
        <f t="shared" si="262"/>
        <v/>
      </c>
      <c r="AG487" s="132" t="str">
        <f t="shared" si="263"/>
        <v/>
      </c>
      <c r="AH487" s="132" t="str">
        <f t="shared" si="251"/>
        <v/>
      </c>
      <c r="AI487" s="132" t="str">
        <f t="shared" si="252"/>
        <v/>
      </c>
      <c r="AJ487" s="133" t="str">
        <f t="shared" si="264"/>
        <v/>
      </c>
      <c r="AK487" s="133" t="str" cm="1">
        <f t="array" ref="AK487">IF(OR(E487="", H487=""), "",
  IFERROR(
     (
      INDEX($AM$3:$AM$22, MATCH(E487, $AL$3:$AL$22, 1)) +
      (E487 - INDEX($AL$3:$AL$22, MATCH(E487, $AL$3:$AL$22, 1))) *
      (INDEX($AM$3:$AM$22, MATCH(E487, $AL$3:$AL$22, 1)+1) - INDEX($AM$3:$AM$22, MATCH(E487, $AL$3:$AL$22, 1))) /
      (INDEX($AL$3:$AL$22, MATCH(E487, $AL$3:$AL$22, 1)+1) - INDEX($AL$3:$AL$22, MATCH(E487, $AL$3:$AL$22, 1)))
    ) - H487,
    ""
  )
)</f>
        <v/>
      </c>
      <c r="AL487" s="135"/>
      <c r="AM487" s="135"/>
      <c r="AN487" s="136"/>
    </row>
    <row r="488" spans="1:40" x14ac:dyDescent="0.35">
      <c r="A488" s="109">
        <f t="shared" si="272"/>
        <v>3</v>
      </c>
      <c r="B488" s="110">
        <f t="shared" si="272"/>
        <v>19</v>
      </c>
      <c r="C488" s="111" t="str">
        <f t="shared" si="245"/>
        <v/>
      </c>
      <c r="D488" s="112"/>
      <c r="E488" s="111" t="str">
        <f t="shared" si="268"/>
        <v/>
      </c>
      <c r="F488" s="112"/>
      <c r="G488" s="112"/>
      <c r="H488" s="113" t="str">
        <f t="shared" si="246"/>
        <v/>
      </c>
      <c r="I488" s="111" t="str">
        <f t="shared" si="247"/>
        <v/>
      </c>
      <c r="J488" s="112" t="str">
        <f t="shared" si="243"/>
        <v/>
      </c>
      <c r="K488" s="111" t="str">
        <f t="shared" si="269"/>
        <v/>
      </c>
      <c r="L488" s="114"/>
      <c r="M488" s="115"/>
      <c r="N488" s="111" t="str">
        <f t="shared" si="255"/>
        <v/>
      </c>
      <c r="O488" s="111">
        <f t="shared" si="253"/>
        <v>0</v>
      </c>
      <c r="P488" s="116" t="str">
        <f t="shared" si="248"/>
        <v/>
      </c>
      <c r="Q488" s="117" t="str">
        <f t="shared" si="270"/>
        <v/>
      </c>
      <c r="R488" s="111" t="str">
        <f t="shared" si="256"/>
        <v/>
      </c>
      <c r="S488" s="111" t="str">
        <f t="shared" si="254"/>
        <v/>
      </c>
      <c r="T488" s="111" t="str">
        <f t="shared" si="257"/>
        <v/>
      </c>
      <c r="U488" s="111" t="str">
        <f t="shared" si="258"/>
        <v/>
      </c>
      <c r="V488" s="113" t="str">
        <f t="shared" si="266"/>
        <v/>
      </c>
      <c r="W488" s="111" t="str">
        <f t="shared" si="249"/>
        <v/>
      </c>
      <c r="X488" s="111" t="str">
        <f t="shared" si="250"/>
        <v/>
      </c>
      <c r="Y488" s="111" t="str">
        <f t="shared" si="259"/>
        <v/>
      </c>
      <c r="Z488" s="111" t="str">
        <f t="shared" si="271"/>
        <v/>
      </c>
      <c r="AA488" s="118" t="str">
        <f t="shared" si="260"/>
        <v/>
      </c>
      <c r="AB488" s="111" t="str">
        <f t="shared" si="265"/>
        <v/>
      </c>
      <c r="AC488" s="119"/>
      <c r="AD488" s="120" t="str">
        <f t="shared" si="261"/>
        <v/>
      </c>
      <c r="AE488" s="120" t="str">
        <f t="shared" si="261"/>
        <v/>
      </c>
      <c r="AF488" s="120" t="str">
        <f t="shared" si="262"/>
        <v/>
      </c>
      <c r="AG488" s="120" t="str">
        <f t="shared" si="263"/>
        <v/>
      </c>
      <c r="AH488" s="120" t="str">
        <f t="shared" si="251"/>
        <v/>
      </c>
      <c r="AI488" s="120" t="str">
        <f t="shared" si="252"/>
        <v/>
      </c>
      <c r="AJ488" s="121" t="str">
        <f t="shared" si="264"/>
        <v/>
      </c>
      <c r="AK488" s="121" t="str" cm="1">
        <f t="array" ref="AK488">IF(OR(E488="", H488=""), "",
  IFERROR(
     (
      INDEX($AM$3:$AM$22, MATCH(E488, $AL$3:$AL$22, 1)) +
      (E488 - INDEX($AL$3:$AL$22, MATCH(E488, $AL$3:$AL$22, 1))) *
      (INDEX($AM$3:$AM$22, MATCH(E488, $AL$3:$AL$22, 1)+1) - INDEX($AM$3:$AM$22, MATCH(E488, $AL$3:$AL$22, 1))) /
      (INDEX($AL$3:$AL$22, MATCH(E488, $AL$3:$AL$22, 1)+1) - INDEX($AL$3:$AL$22, MATCH(E488, $AL$3:$AL$22, 1)))
    ) - H488,
    ""
  )
)</f>
        <v/>
      </c>
      <c r="AL488" s="137"/>
      <c r="AM488" s="137"/>
      <c r="AN488" s="138"/>
    </row>
    <row r="489" spans="1:40" x14ac:dyDescent="0.35">
      <c r="A489" s="122">
        <f t="shared" si="272"/>
        <v>3</v>
      </c>
      <c r="B489" s="123">
        <f t="shared" si="272"/>
        <v>19</v>
      </c>
      <c r="C489" s="124" t="str">
        <f t="shared" si="245"/>
        <v/>
      </c>
      <c r="D489" s="125"/>
      <c r="E489" s="124" t="str">
        <f t="shared" si="268"/>
        <v/>
      </c>
      <c r="F489" s="125"/>
      <c r="G489" s="125"/>
      <c r="H489" s="126" t="str">
        <f t="shared" si="246"/>
        <v/>
      </c>
      <c r="I489" s="124" t="str">
        <f t="shared" si="247"/>
        <v/>
      </c>
      <c r="J489" s="125" t="str">
        <f t="shared" si="243"/>
        <v/>
      </c>
      <c r="K489" s="124" t="str">
        <f t="shared" si="269"/>
        <v/>
      </c>
      <c r="L489" s="127"/>
      <c r="M489" s="134"/>
      <c r="N489" s="124" t="str">
        <f t="shared" si="255"/>
        <v/>
      </c>
      <c r="O489" s="124">
        <f t="shared" si="253"/>
        <v>0</v>
      </c>
      <c r="P489" s="128" t="str">
        <f t="shared" si="248"/>
        <v/>
      </c>
      <c r="Q489" s="129" t="str">
        <f t="shared" si="270"/>
        <v/>
      </c>
      <c r="R489" s="124" t="str">
        <f t="shared" si="256"/>
        <v/>
      </c>
      <c r="S489" s="124" t="str">
        <f t="shared" si="254"/>
        <v/>
      </c>
      <c r="T489" s="124" t="str">
        <f t="shared" si="257"/>
        <v/>
      </c>
      <c r="U489" s="124" t="str">
        <f t="shared" si="258"/>
        <v/>
      </c>
      <c r="V489" s="126" t="str">
        <f t="shared" si="266"/>
        <v/>
      </c>
      <c r="W489" s="124" t="str">
        <f t="shared" si="249"/>
        <v/>
      </c>
      <c r="X489" s="124" t="str">
        <f t="shared" si="250"/>
        <v/>
      </c>
      <c r="Y489" s="124" t="str">
        <f t="shared" si="259"/>
        <v/>
      </c>
      <c r="Z489" s="124" t="str">
        <f t="shared" si="271"/>
        <v/>
      </c>
      <c r="AA489" s="130" t="str">
        <f t="shared" si="260"/>
        <v/>
      </c>
      <c r="AB489" s="124" t="str">
        <f t="shared" si="265"/>
        <v/>
      </c>
      <c r="AC489" s="131"/>
      <c r="AD489" s="132" t="str">
        <f t="shared" si="261"/>
        <v/>
      </c>
      <c r="AE489" s="132" t="str">
        <f t="shared" si="261"/>
        <v/>
      </c>
      <c r="AF489" s="132" t="str">
        <f t="shared" si="262"/>
        <v/>
      </c>
      <c r="AG489" s="132" t="str">
        <f t="shared" si="263"/>
        <v/>
      </c>
      <c r="AH489" s="132" t="str">
        <f t="shared" si="251"/>
        <v/>
      </c>
      <c r="AI489" s="132" t="str">
        <f t="shared" si="252"/>
        <v/>
      </c>
      <c r="AJ489" s="133" t="str">
        <f t="shared" si="264"/>
        <v/>
      </c>
      <c r="AK489" s="133" t="str" cm="1">
        <f t="array" ref="AK489">IF(OR(E489="", H489=""), "",
  IFERROR(
     (
      INDEX($AM$3:$AM$22, MATCH(E489, $AL$3:$AL$22, 1)) +
      (E489 - INDEX($AL$3:$AL$22, MATCH(E489, $AL$3:$AL$22, 1))) *
      (INDEX($AM$3:$AM$22, MATCH(E489, $AL$3:$AL$22, 1)+1) - INDEX($AM$3:$AM$22, MATCH(E489, $AL$3:$AL$22, 1))) /
      (INDEX($AL$3:$AL$22, MATCH(E489, $AL$3:$AL$22, 1)+1) - INDEX($AL$3:$AL$22, MATCH(E489, $AL$3:$AL$22, 1)))
    ) - H489,
    ""
  )
)</f>
        <v/>
      </c>
      <c r="AL489" s="135"/>
      <c r="AM489" s="135"/>
      <c r="AN489" s="136"/>
    </row>
    <row r="490" spans="1:40" x14ac:dyDescent="0.35">
      <c r="A490" s="109">
        <f t="shared" si="272"/>
        <v>3</v>
      </c>
      <c r="B490" s="110">
        <f t="shared" si="272"/>
        <v>19</v>
      </c>
      <c r="C490" s="111" t="str">
        <f t="shared" si="245"/>
        <v/>
      </c>
      <c r="D490" s="112"/>
      <c r="E490" s="111" t="str">
        <f t="shared" si="268"/>
        <v/>
      </c>
      <c r="F490" s="112"/>
      <c r="G490" s="112"/>
      <c r="H490" s="113" t="str">
        <f t="shared" si="246"/>
        <v/>
      </c>
      <c r="I490" s="111" t="str">
        <f t="shared" si="247"/>
        <v/>
      </c>
      <c r="J490" s="112" t="str">
        <f t="shared" si="243"/>
        <v/>
      </c>
      <c r="K490" s="111" t="str">
        <f t="shared" si="269"/>
        <v/>
      </c>
      <c r="L490" s="114"/>
      <c r="M490" s="115"/>
      <c r="N490" s="111" t="str">
        <f t="shared" si="255"/>
        <v/>
      </c>
      <c r="O490" s="111">
        <f t="shared" si="253"/>
        <v>0</v>
      </c>
      <c r="P490" s="116" t="str">
        <f t="shared" si="248"/>
        <v/>
      </c>
      <c r="Q490" s="117" t="str">
        <f t="shared" si="270"/>
        <v/>
      </c>
      <c r="R490" s="111" t="str">
        <f t="shared" si="256"/>
        <v/>
      </c>
      <c r="S490" s="111" t="str">
        <f t="shared" si="254"/>
        <v/>
      </c>
      <c r="T490" s="111" t="str">
        <f t="shared" si="257"/>
        <v/>
      </c>
      <c r="U490" s="111" t="str">
        <f t="shared" si="258"/>
        <v/>
      </c>
      <c r="V490" s="113" t="str">
        <f t="shared" si="266"/>
        <v/>
      </c>
      <c r="W490" s="111" t="str">
        <f t="shared" si="249"/>
        <v/>
      </c>
      <c r="X490" s="111" t="str">
        <f t="shared" si="250"/>
        <v/>
      </c>
      <c r="Y490" s="111" t="str">
        <f t="shared" si="259"/>
        <v/>
      </c>
      <c r="Z490" s="111" t="str">
        <f t="shared" si="271"/>
        <v/>
      </c>
      <c r="AA490" s="118" t="str">
        <f t="shared" si="260"/>
        <v/>
      </c>
      <c r="AB490" s="111" t="str">
        <f t="shared" si="265"/>
        <v/>
      </c>
      <c r="AC490" s="119"/>
      <c r="AD490" s="120" t="str">
        <f t="shared" si="261"/>
        <v/>
      </c>
      <c r="AE490" s="120" t="str">
        <f t="shared" si="261"/>
        <v/>
      </c>
      <c r="AF490" s="120" t="str">
        <f t="shared" si="262"/>
        <v/>
      </c>
      <c r="AG490" s="120" t="str">
        <f t="shared" si="263"/>
        <v/>
      </c>
      <c r="AH490" s="120" t="str">
        <f t="shared" si="251"/>
        <v/>
      </c>
      <c r="AI490" s="120" t="str">
        <f t="shared" si="252"/>
        <v/>
      </c>
      <c r="AJ490" s="121" t="str">
        <f t="shared" si="264"/>
        <v/>
      </c>
      <c r="AK490" s="121" t="str" cm="1">
        <f t="array" ref="AK490">IF(OR(E490="", H490=""), "",
  IFERROR(
     (
      INDEX($AM$3:$AM$22, MATCH(E490, $AL$3:$AL$22, 1)) +
      (E490 - INDEX($AL$3:$AL$22, MATCH(E490, $AL$3:$AL$22, 1))) *
      (INDEX($AM$3:$AM$22, MATCH(E490, $AL$3:$AL$22, 1)+1) - INDEX($AM$3:$AM$22, MATCH(E490, $AL$3:$AL$22, 1))) /
      (INDEX($AL$3:$AL$22, MATCH(E490, $AL$3:$AL$22, 1)+1) - INDEX($AL$3:$AL$22, MATCH(E490, $AL$3:$AL$22, 1)))
    ) - H490,
    ""
  )
)</f>
        <v/>
      </c>
      <c r="AL490" s="137"/>
      <c r="AM490" s="137"/>
      <c r="AN490" s="138"/>
    </row>
    <row r="491" spans="1:40" x14ac:dyDescent="0.35">
      <c r="A491" s="122">
        <f t="shared" si="272"/>
        <v>3</v>
      </c>
      <c r="B491" s="123">
        <f t="shared" si="272"/>
        <v>19</v>
      </c>
      <c r="C491" s="124" t="str">
        <f t="shared" si="245"/>
        <v/>
      </c>
      <c r="D491" s="125"/>
      <c r="E491" s="124" t="str">
        <f t="shared" si="268"/>
        <v/>
      </c>
      <c r="F491" s="125"/>
      <c r="G491" s="125"/>
      <c r="H491" s="126" t="str">
        <f t="shared" si="246"/>
        <v/>
      </c>
      <c r="I491" s="124" t="str">
        <f t="shared" si="247"/>
        <v/>
      </c>
      <c r="J491" s="125" t="str">
        <f t="shared" si="243"/>
        <v/>
      </c>
      <c r="K491" s="124" t="str">
        <f t="shared" si="269"/>
        <v/>
      </c>
      <c r="L491" s="127"/>
      <c r="M491" s="134"/>
      <c r="N491" s="124" t="str">
        <f t="shared" si="255"/>
        <v/>
      </c>
      <c r="O491" s="124">
        <f t="shared" si="253"/>
        <v>0</v>
      </c>
      <c r="P491" s="128" t="str">
        <f t="shared" si="248"/>
        <v/>
      </c>
      <c r="Q491" s="129" t="str">
        <f t="shared" si="270"/>
        <v/>
      </c>
      <c r="R491" s="124" t="str">
        <f t="shared" si="256"/>
        <v/>
      </c>
      <c r="S491" s="124" t="str">
        <f t="shared" si="254"/>
        <v/>
      </c>
      <c r="T491" s="124" t="str">
        <f t="shared" si="257"/>
        <v/>
      </c>
      <c r="U491" s="124" t="str">
        <f t="shared" si="258"/>
        <v/>
      </c>
      <c r="V491" s="126" t="str">
        <f t="shared" si="266"/>
        <v/>
      </c>
      <c r="W491" s="124" t="str">
        <f t="shared" si="249"/>
        <v/>
      </c>
      <c r="X491" s="124" t="str">
        <f t="shared" si="250"/>
        <v/>
      </c>
      <c r="Y491" s="124" t="str">
        <f t="shared" si="259"/>
        <v/>
      </c>
      <c r="Z491" s="124" t="str">
        <f t="shared" si="271"/>
        <v/>
      </c>
      <c r="AA491" s="130" t="str">
        <f t="shared" si="260"/>
        <v/>
      </c>
      <c r="AB491" s="124" t="str">
        <f t="shared" si="265"/>
        <v/>
      </c>
      <c r="AC491" s="131"/>
      <c r="AD491" s="132" t="str">
        <f t="shared" si="261"/>
        <v/>
      </c>
      <c r="AE491" s="132" t="str">
        <f t="shared" si="261"/>
        <v/>
      </c>
      <c r="AF491" s="132" t="str">
        <f t="shared" si="262"/>
        <v/>
      </c>
      <c r="AG491" s="132" t="str">
        <f t="shared" si="263"/>
        <v/>
      </c>
      <c r="AH491" s="132" t="str">
        <f t="shared" si="251"/>
        <v/>
      </c>
      <c r="AI491" s="132" t="str">
        <f t="shared" si="252"/>
        <v/>
      </c>
      <c r="AJ491" s="133" t="str">
        <f t="shared" si="264"/>
        <v/>
      </c>
      <c r="AK491" s="133" t="str" cm="1">
        <f t="array" ref="AK491">IF(OR(E491="", H491=""), "",
  IFERROR(
     (
      INDEX($AM$3:$AM$22, MATCH(E491, $AL$3:$AL$22, 1)) +
      (E491 - INDEX($AL$3:$AL$22, MATCH(E491, $AL$3:$AL$22, 1))) *
      (INDEX($AM$3:$AM$22, MATCH(E491, $AL$3:$AL$22, 1)+1) - INDEX($AM$3:$AM$22, MATCH(E491, $AL$3:$AL$22, 1))) /
      (INDEX($AL$3:$AL$22, MATCH(E491, $AL$3:$AL$22, 1)+1) - INDEX($AL$3:$AL$22, MATCH(E491, $AL$3:$AL$22, 1)))
    ) - H491,
    ""
  )
)</f>
        <v/>
      </c>
      <c r="AL491" s="135"/>
      <c r="AM491" s="135"/>
      <c r="AN491" s="136"/>
    </row>
    <row r="492" spans="1:40" x14ac:dyDescent="0.35">
      <c r="A492" s="109">
        <f t="shared" si="272"/>
        <v>3</v>
      </c>
      <c r="B492" s="110">
        <f t="shared" si="272"/>
        <v>19</v>
      </c>
      <c r="C492" s="111" t="str">
        <f t="shared" si="245"/>
        <v/>
      </c>
      <c r="D492" s="112"/>
      <c r="E492" s="111" t="str">
        <f t="shared" si="268"/>
        <v/>
      </c>
      <c r="F492" s="112"/>
      <c r="G492" s="112"/>
      <c r="H492" s="113" t="str">
        <f t="shared" si="246"/>
        <v/>
      </c>
      <c r="I492" s="111" t="str">
        <f t="shared" si="247"/>
        <v/>
      </c>
      <c r="J492" s="112" t="str">
        <f t="shared" si="243"/>
        <v/>
      </c>
      <c r="K492" s="111" t="str">
        <f t="shared" si="269"/>
        <v/>
      </c>
      <c r="L492" s="114"/>
      <c r="M492" s="115"/>
      <c r="N492" s="111" t="str">
        <f t="shared" si="255"/>
        <v/>
      </c>
      <c r="O492" s="111">
        <f t="shared" si="253"/>
        <v>0</v>
      </c>
      <c r="P492" s="116" t="str">
        <f t="shared" si="248"/>
        <v/>
      </c>
      <c r="Q492" s="117" t="str">
        <f t="shared" si="270"/>
        <v/>
      </c>
      <c r="R492" s="111" t="str">
        <f t="shared" si="256"/>
        <v/>
      </c>
      <c r="S492" s="111" t="str">
        <f t="shared" si="254"/>
        <v/>
      </c>
      <c r="T492" s="111" t="str">
        <f t="shared" si="257"/>
        <v/>
      </c>
      <c r="U492" s="111" t="str">
        <f t="shared" si="258"/>
        <v/>
      </c>
      <c r="V492" s="113" t="str">
        <f t="shared" si="266"/>
        <v/>
      </c>
      <c r="W492" s="111" t="str">
        <f t="shared" si="249"/>
        <v/>
      </c>
      <c r="X492" s="111" t="str">
        <f t="shared" si="250"/>
        <v/>
      </c>
      <c r="Y492" s="111" t="str">
        <f t="shared" si="259"/>
        <v/>
      </c>
      <c r="Z492" s="111" t="str">
        <f t="shared" si="271"/>
        <v/>
      </c>
      <c r="AA492" s="118" t="str">
        <f t="shared" si="260"/>
        <v/>
      </c>
      <c r="AB492" s="111" t="str">
        <f t="shared" si="265"/>
        <v/>
      </c>
      <c r="AC492" s="119"/>
      <c r="AD492" s="120" t="str">
        <f t="shared" si="261"/>
        <v/>
      </c>
      <c r="AE492" s="120" t="str">
        <f t="shared" si="261"/>
        <v/>
      </c>
      <c r="AF492" s="120" t="str">
        <f t="shared" si="262"/>
        <v/>
      </c>
      <c r="AG492" s="120" t="str">
        <f t="shared" si="263"/>
        <v/>
      </c>
      <c r="AH492" s="120" t="str">
        <f t="shared" si="251"/>
        <v/>
      </c>
      <c r="AI492" s="120" t="str">
        <f t="shared" si="252"/>
        <v/>
      </c>
      <c r="AJ492" s="121" t="str">
        <f t="shared" si="264"/>
        <v/>
      </c>
      <c r="AK492" s="121" t="str" cm="1">
        <f t="array" ref="AK492">IF(OR(E492="", H492=""), "",
  IFERROR(
     (
      INDEX($AM$3:$AM$22, MATCH(E492, $AL$3:$AL$22, 1)) +
      (E492 - INDEX($AL$3:$AL$22, MATCH(E492, $AL$3:$AL$22, 1))) *
      (INDEX($AM$3:$AM$22, MATCH(E492, $AL$3:$AL$22, 1)+1) - INDEX($AM$3:$AM$22, MATCH(E492, $AL$3:$AL$22, 1))) /
      (INDEX($AL$3:$AL$22, MATCH(E492, $AL$3:$AL$22, 1)+1) - INDEX($AL$3:$AL$22, MATCH(E492, $AL$3:$AL$22, 1)))
    ) - H492,
    ""
  )
)</f>
        <v/>
      </c>
      <c r="AL492" s="137"/>
      <c r="AM492" s="137"/>
      <c r="AN492" s="138"/>
    </row>
    <row r="493" spans="1:40" x14ac:dyDescent="0.35">
      <c r="A493" s="122">
        <f t="shared" si="272"/>
        <v>3</v>
      </c>
      <c r="B493" s="123">
        <f t="shared" si="272"/>
        <v>19</v>
      </c>
      <c r="C493" s="124" t="str">
        <f t="shared" si="245"/>
        <v/>
      </c>
      <c r="D493" s="125"/>
      <c r="E493" s="124" t="str">
        <f t="shared" si="268"/>
        <v/>
      </c>
      <c r="F493" s="125"/>
      <c r="G493" s="125"/>
      <c r="H493" s="126" t="str">
        <f t="shared" si="246"/>
        <v/>
      </c>
      <c r="I493" s="124" t="str">
        <f t="shared" si="247"/>
        <v/>
      </c>
      <c r="J493" s="125" t="str">
        <f t="shared" si="243"/>
        <v/>
      </c>
      <c r="K493" s="124" t="str">
        <f t="shared" si="269"/>
        <v/>
      </c>
      <c r="L493" s="127"/>
      <c r="M493" s="134"/>
      <c r="N493" s="124" t="str">
        <f t="shared" si="255"/>
        <v/>
      </c>
      <c r="O493" s="124">
        <f t="shared" si="253"/>
        <v>0</v>
      </c>
      <c r="P493" s="128" t="str">
        <f t="shared" si="248"/>
        <v/>
      </c>
      <c r="Q493" s="129" t="str">
        <f t="shared" si="270"/>
        <v/>
      </c>
      <c r="R493" s="124" t="str">
        <f t="shared" si="256"/>
        <v/>
      </c>
      <c r="S493" s="124" t="str">
        <f t="shared" si="254"/>
        <v/>
      </c>
      <c r="T493" s="124" t="str">
        <f t="shared" si="257"/>
        <v/>
      </c>
      <c r="U493" s="124" t="str">
        <f t="shared" si="258"/>
        <v/>
      </c>
      <c r="V493" s="126" t="str">
        <f t="shared" si="266"/>
        <v/>
      </c>
      <c r="W493" s="124" t="str">
        <f t="shared" si="249"/>
        <v/>
      </c>
      <c r="X493" s="124" t="str">
        <f t="shared" si="250"/>
        <v/>
      </c>
      <c r="Y493" s="124" t="str">
        <f t="shared" si="259"/>
        <v/>
      </c>
      <c r="Z493" s="124" t="str">
        <f t="shared" si="271"/>
        <v/>
      </c>
      <c r="AA493" s="130" t="str">
        <f t="shared" si="260"/>
        <v/>
      </c>
      <c r="AB493" s="124" t="str">
        <f t="shared" si="265"/>
        <v/>
      </c>
      <c r="AC493" s="131"/>
      <c r="AD493" s="132" t="str">
        <f t="shared" si="261"/>
        <v/>
      </c>
      <c r="AE493" s="132" t="str">
        <f t="shared" si="261"/>
        <v/>
      </c>
      <c r="AF493" s="132" t="str">
        <f t="shared" si="262"/>
        <v/>
      </c>
      <c r="AG493" s="132" t="str">
        <f t="shared" si="263"/>
        <v/>
      </c>
      <c r="AH493" s="132" t="str">
        <f t="shared" si="251"/>
        <v/>
      </c>
      <c r="AI493" s="132" t="str">
        <f t="shared" si="252"/>
        <v/>
      </c>
      <c r="AJ493" s="133" t="str">
        <f t="shared" si="264"/>
        <v/>
      </c>
      <c r="AK493" s="133" t="str" cm="1">
        <f t="array" ref="AK493">IF(OR(E493="", H493=""), "",
  IFERROR(
     (
      INDEX($AM$3:$AM$22, MATCH(E493, $AL$3:$AL$22, 1)) +
      (E493 - INDEX($AL$3:$AL$22, MATCH(E493, $AL$3:$AL$22, 1))) *
      (INDEX($AM$3:$AM$22, MATCH(E493, $AL$3:$AL$22, 1)+1) - INDEX($AM$3:$AM$22, MATCH(E493, $AL$3:$AL$22, 1))) /
      (INDEX($AL$3:$AL$22, MATCH(E493, $AL$3:$AL$22, 1)+1) - INDEX($AL$3:$AL$22, MATCH(E493, $AL$3:$AL$22, 1)))
    ) - H493,
    ""
  )
)</f>
        <v/>
      </c>
      <c r="AL493" s="135"/>
      <c r="AM493" s="135"/>
      <c r="AN493" s="136"/>
    </row>
    <row r="494" spans="1:40" x14ac:dyDescent="0.35">
      <c r="A494" s="109">
        <f t="shared" si="272"/>
        <v>3</v>
      </c>
      <c r="B494" s="110">
        <f t="shared" si="272"/>
        <v>19</v>
      </c>
      <c r="C494" s="111" t="str">
        <f t="shared" si="245"/>
        <v/>
      </c>
      <c r="D494" s="112"/>
      <c r="E494" s="111" t="str">
        <f t="shared" si="268"/>
        <v/>
      </c>
      <c r="F494" s="112"/>
      <c r="G494" s="112"/>
      <c r="H494" s="113" t="str">
        <f t="shared" si="246"/>
        <v/>
      </c>
      <c r="I494" s="111" t="str">
        <f t="shared" si="247"/>
        <v/>
      </c>
      <c r="J494" s="112" t="str">
        <f t="shared" si="243"/>
        <v/>
      </c>
      <c r="K494" s="111" t="str">
        <f t="shared" si="269"/>
        <v/>
      </c>
      <c r="L494" s="114"/>
      <c r="M494" s="115"/>
      <c r="N494" s="111" t="str">
        <f t="shared" si="255"/>
        <v/>
      </c>
      <c r="O494" s="111">
        <f t="shared" si="253"/>
        <v>0</v>
      </c>
      <c r="P494" s="116" t="str">
        <f t="shared" si="248"/>
        <v/>
      </c>
      <c r="Q494" s="117" t="str">
        <f t="shared" si="270"/>
        <v/>
      </c>
      <c r="R494" s="111" t="str">
        <f t="shared" si="256"/>
        <v/>
      </c>
      <c r="S494" s="111" t="str">
        <f t="shared" si="254"/>
        <v/>
      </c>
      <c r="T494" s="111" t="str">
        <f t="shared" si="257"/>
        <v/>
      </c>
      <c r="U494" s="111" t="str">
        <f t="shared" si="258"/>
        <v/>
      </c>
      <c r="V494" s="113" t="str">
        <f t="shared" si="266"/>
        <v/>
      </c>
      <c r="W494" s="111" t="str">
        <f t="shared" si="249"/>
        <v/>
      </c>
      <c r="X494" s="111" t="str">
        <f t="shared" si="250"/>
        <v/>
      </c>
      <c r="Y494" s="111" t="str">
        <f t="shared" si="259"/>
        <v/>
      </c>
      <c r="Z494" s="111" t="str">
        <f t="shared" si="271"/>
        <v/>
      </c>
      <c r="AA494" s="118" t="str">
        <f t="shared" si="260"/>
        <v/>
      </c>
      <c r="AB494" s="111" t="str">
        <f t="shared" si="265"/>
        <v/>
      </c>
      <c r="AC494" s="119"/>
      <c r="AD494" s="120" t="str">
        <f t="shared" si="261"/>
        <v/>
      </c>
      <c r="AE494" s="120" t="str">
        <f t="shared" si="261"/>
        <v/>
      </c>
      <c r="AF494" s="120" t="str">
        <f t="shared" si="262"/>
        <v/>
      </c>
      <c r="AG494" s="120" t="str">
        <f t="shared" si="263"/>
        <v/>
      </c>
      <c r="AH494" s="120" t="str">
        <f t="shared" si="251"/>
        <v/>
      </c>
      <c r="AI494" s="120" t="str">
        <f t="shared" si="252"/>
        <v/>
      </c>
      <c r="AJ494" s="121" t="str">
        <f t="shared" si="264"/>
        <v/>
      </c>
      <c r="AK494" s="121" t="str" cm="1">
        <f t="array" ref="AK494">IF(OR(E494="", H494=""), "",
  IFERROR(
     (
      INDEX($AM$3:$AM$22, MATCH(E494, $AL$3:$AL$22, 1)) +
      (E494 - INDEX($AL$3:$AL$22, MATCH(E494, $AL$3:$AL$22, 1))) *
      (INDEX($AM$3:$AM$22, MATCH(E494, $AL$3:$AL$22, 1)+1) - INDEX($AM$3:$AM$22, MATCH(E494, $AL$3:$AL$22, 1))) /
      (INDEX($AL$3:$AL$22, MATCH(E494, $AL$3:$AL$22, 1)+1) - INDEX($AL$3:$AL$22, MATCH(E494, $AL$3:$AL$22, 1)))
    ) - H494,
    ""
  )
)</f>
        <v/>
      </c>
      <c r="AL494" s="137"/>
      <c r="AM494" s="137"/>
      <c r="AN494" s="138"/>
    </row>
    <row r="495" spans="1:40" x14ac:dyDescent="0.35">
      <c r="A495" s="122">
        <f t="shared" si="272"/>
        <v>3</v>
      </c>
      <c r="B495" s="123">
        <f t="shared" si="272"/>
        <v>19</v>
      </c>
      <c r="C495" s="124" t="str">
        <f t="shared" si="245"/>
        <v/>
      </c>
      <c r="D495" s="125"/>
      <c r="E495" s="124" t="str">
        <f t="shared" si="268"/>
        <v/>
      </c>
      <c r="F495" s="125"/>
      <c r="G495" s="125"/>
      <c r="H495" s="126" t="str">
        <f t="shared" si="246"/>
        <v/>
      </c>
      <c r="I495" s="124" t="str">
        <f t="shared" si="247"/>
        <v/>
      </c>
      <c r="J495" s="125" t="str">
        <f t="shared" si="243"/>
        <v/>
      </c>
      <c r="K495" s="124" t="str">
        <f t="shared" si="269"/>
        <v/>
      </c>
      <c r="L495" s="127"/>
      <c r="M495" s="134"/>
      <c r="N495" s="124" t="str">
        <f t="shared" si="255"/>
        <v/>
      </c>
      <c r="O495" s="124">
        <f t="shared" si="253"/>
        <v>0</v>
      </c>
      <c r="P495" s="128" t="str">
        <f t="shared" si="248"/>
        <v/>
      </c>
      <c r="Q495" s="129" t="str">
        <f t="shared" si="270"/>
        <v/>
      </c>
      <c r="R495" s="124" t="str">
        <f t="shared" si="256"/>
        <v/>
      </c>
      <c r="S495" s="124" t="str">
        <f t="shared" si="254"/>
        <v/>
      </c>
      <c r="T495" s="124" t="str">
        <f t="shared" si="257"/>
        <v/>
      </c>
      <c r="U495" s="124" t="str">
        <f t="shared" si="258"/>
        <v/>
      </c>
      <c r="V495" s="126" t="str">
        <f t="shared" si="266"/>
        <v/>
      </c>
      <c r="W495" s="124" t="str">
        <f t="shared" si="249"/>
        <v/>
      </c>
      <c r="X495" s="124" t="str">
        <f t="shared" si="250"/>
        <v/>
      </c>
      <c r="Y495" s="124" t="str">
        <f t="shared" si="259"/>
        <v/>
      </c>
      <c r="Z495" s="124" t="str">
        <f t="shared" si="271"/>
        <v/>
      </c>
      <c r="AA495" s="130" t="str">
        <f t="shared" si="260"/>
        <v/>
      </c>
      <c r="AB495" s="124" t="str">
        <f t="shared" si="265"/>
        <v/>
      </c>
      <c r="AC495" s="131"/>
      <c r="AD495" s="132" t="str">
        <f t="shared" si="261"/>
        <v/>
      </c>
      <c r="AE495" s="132" t="str">
        <f t="shared" si="261"/>
        <v/>
      </c>
      <c r="AF495" s="132" t="str">
        <f t="shared" si="262"/>
        <v/>
      </c>
      <c r="AG495" s="132" t="str">
        <f t="shared" si="263"/>
        <v/>
      </c>
      <c r="AH495" s="132" t="str">
        <f t="shared" si="251"/>
        <v/>
      </c>
      <c r="AI495" s="132" t="str">
        <f t="shared" si="252"/>
        <v/>
      </c>
      <c r="AJ495" s="133" t="str">
        <f t="shared" si="264"/>
        <v/>
      </c>
      <c r="AK495" s="133" t="str" cm="1">
        <f t="array" ref="AK495">IF(OR(E495="", H495=""), "",
  IFERROR(
     (
      INDEX($AM$3:$AM$22, MATCH(E495, $AL$3:$AL$22, 1)) +
      (E495 - INDEX($AL$3:$AL$22, MATCH(E495, $AL$3:$AL$22, 1))) *
      (INDEX($AM$3:$AM$22, MATCH(E495, $AL$3:$AL$22, 1)+1) - INDEX($AM$3:$AM$22, MATCH(E495, $AL$3:$AL$22, 1))) /
      (INDEX($AL$3:$AL$22, MATCH(E495, $AL$3:$AL$22, 1)+1) - INDEX($AL$3:$AL$22, MATCH(E495, $AL$3:$AL$22, 1)))
    ) - H495,
    ""
  )
)</f>
        <v/>
      </c>
      <c r="AL495" s="135"/>
      <c r="AM495" s="135"/>
      <c r="AN495" s="136"/>
    </row>
    <row r="496" spans="1:40" x14ac:dyDescent="0.35">
      <c r="A496" s="109">
        <f t="shared" ref="A496:B502" si="273">+A495</f>
        <v>3</v>
      </c>
      <c r="B496" s="110">
        <f t="shared" si="273"/>
        <v>19</v>
      </c>
      <c r="C496" s="111" t="str">
        <f t="shared" si="245"/>
        <v/>
      </c>
      <c r="D496" s="112"/>
      <c r="E496" s="111" t="str">
        <f t="shared" si="268"/>
        <v/>
      </c>
      <c r="F496" s="112"/>
      <c r="G496" s="112"/>
      <c r="H496" s="113" t="str">
        <f t="shared" si="246"/>
        <v/>
      </c>
      <c r="I496" s="111" t="str">
        <f t="shared" si="247"/>
        <v/>
      </c>
      <c r="J496" s="112" t="str">
        <f t="shared" si="243"/>
        <v/>
      </c>
      <c r="K496" s="111" t="str">
        <f t="shared" si="269"/>
        <v/>
      </c>
      <c r="L496" s="114"/>
      <c r="M496" s="115"/>
      <c r="N496" s="111" t="str">
        <f t="shared" si="255"/>
        <v/>
      </c>
      <c r="O496" s="111">
        <f t="shared" si="253"/>
        <v>0</v>
      </c>
      <c r="P496" s="116" t="str">
        <f t="shared" si="248"/>
        <v/>
      </c>
      <c r="Q496" s="117" t="str">
        <f t="shared" si="270"/>
        <v/>
      </c>
      <c r="R496" s="111" t="str">
        <f t="shared" si="256"/>
        <v/>
      </c>
      <c r="S496" s="111" t="str">
        <f t="shared" si="254"/>
        <v/>
      </c>
      <c r="T496" s="111" t="str">
        <f t="shared" si="257"/>
        <v/>
      </c>
      <c r="U496" s="111" t="str">
        <f t="shared" si="258"/>
        <v/>
      </c>
      <c r="V496" s="113" t="str">
        <f t="shared" si="266"/>
        <v/>
      </c>
      <c r="W496" s="111" t="str">
        <f t="shared" si="249"/>
        <v/>
      </c>
      <c r="X496" s="111" t="str">
        <f t="shared" si="250"/>
        <v/>
      </c>
      <c r="Y496" s="111" t="str">
        <f t="shared" si="259"/>
        <v/>
      </c>
      <c r="Z496" s="111" t="str">
        <f t="shared" si="271"/>
        <v/>
      </c>
      <c r="AA496" s="118" t="str">
        <f t="shared" si="260"/>
        <v/>
      </c>
      <c r="AB496" s="111" t="str">
        <f t="shared" si="265"/>
        <v/>
      </c>
      <c r="AC496" s="119"/>
      <c r="AD496" s="120" t="str">
        <f t="shared" si="261"/>
        <v/>
      </c>
      <c r="AE496" s="120" t="str">
        <f t="shared" si="261"/>
        <v/>
      </c>
      <c r="AF496" s="120" t="str">
        <f t="shared" si="262"/>
        <v/>
      </c>
      <c r="AG496" s="120" t="str">
        <f t="shared" si="263"/>
        <v/>
      </c>
      <c r="AH496" s="120" t="str">
        <f t="shared" si="251"/>
        <v/>
      </c>
      <c r="AI496" s="120" t="str">
        <f t="shared" si="252"/>
        <v/>
      </c>
      <c r="AJ496" s="121" t="str">
        <f t="shared" si="264"/>
        <v/>
      </c>
      <c r="AK496" s="121" t="str" cm="1">
        <f t="array" ref="AK496">IF(OR(E496="", H496=""), "",
  IFERROR(
     (
      INDEX($AM$3:$AM$22, MATCH(E496, $AL$3:$AL$22, 1)) +
      (E496 - INDEX($AL$3:$AL$22, MATCH(E496, $AL$3:$AL$22, 1))) *
      (INDEX($AM$3:$AM$22, MATCH(E496, $AL$3:$AL$22, 1)+1) - INDEX($AM$3:$AM$22, MATCH(E496, $AL$3:$AL$22, 1))) /
      (INDEX($AL$3:$AL$22, MATCH(E496, $AL$3:$AL$22, 1)+1) - INDEX($AL$3:$AL$22, MATCH(E496, $AL$3:$AL$22, 1)))
    ) - H496,
    ""
  )
)</f>
        <v/>
      </c>
      <c r="AL496" s="137"/>
      <c r="AM496" s="137"/>
      <c r="AN496" s="138"/>
    </row>
    <row r="497" spans="1:40" x14ac:dyDescent="0.35">
      <c r="A497" s="122">
        <f t="shared" si="273"/>
        <v>3</v>
      </c>
      <c r="B497" s="123">
        <f t="shared" si="273"/>
        <v>19</v>
      </c>
      <c r="C497" s="124" t="str">
        <f t="shared" si="245"/>
        <v/>
      </c>
      <c r="D497" s="125"/>
      <c r="E497" s="124" t="str">
        <f t="shared" si="268"/>
        <v/>
      </c>
      <c r="F497" s="125"/>
      <c r="G497" s="125"/>
      <c r="H497" s="126" t="str">
        <f t="shared" si="246"/>
        <v/>
      </c>
      <c r="I497" s="124" t="str">
        <f t="shared" si="247"/>
        <v/>
      </c>
      <c r="J497" s="125" t="str">
        <f t="shared" si="243"/>
        <v/>
      </c>
      <c r="K497" s="124" t="str">
        <f t="shared" si="269"/>
        <v/>
      </c>
      <c r="L497" s="127"/>
      <c r="M497" s="134"/>
      <c r="N497" s="124" t="str">
        <f t="shared" si="255"/>
        <v/>
      </c>
      <c r="O497" s="124">
        <f t="shared" si="253"/>
        <v>0</v>
      </c>
      <c r="P497" s="128" t="str">
        <f t="shared" si="248"/>
        <v/>
      </c>
      <c r="Q497" s="129" t="str">
        <f t="shared" si="270"/>
        <v/>
      </c>
      <c r="R497" s="124" t="str">
        <f t="shared" si="256"/>
        <v/>
      </c>
      <c r="S497" s="124" t="str">
        <f t="shared" si="254"/>
        <v/>
      </c>
      <c r="T497" s="124" t="str">
        <f t="shared" si="257"/>
        <v/>
      </c>
      <c r="U497" s="124" t="str">
        <f t="shared" si="258"/>
        <v/>
      </c>
      <c r="V497" s="126" t="str">
        <f t="shared" si="266"/>
        <v/>
      </c>
      <c r="W497" s="124" t="str">
        <f t="shared" si="249"/>
        <v/>
      </c>
      <c r="X497" s="124" t="str">
        <f t="shared" si="250"/>
        <v/>
      </c>
      <c r="Y497" s="124" t="str">
        <f t="shared" si="259"/>
        <v/>
      </c>
      <c r="Z497" s="124" t="str">
        <f t="shared" si="271"/>
        <v/>
      </c>
      <c r="AA497" s="130" t="str">
        <f t="shared" si="260"/>
        <v/>
      </c>
      <c r="AB497" s="124" t="str">
        <f t="shared" si="265"/>
        <v/>
      </c>
      <c r="AC497" s="131"/>
      <c r="AD497" s="132" t="str">
        <f t="shared" si="261"/>
        <v/>
      </c>
      <c r="AE497" s="132" t="str">
        <f t="shared" si="261"/>
        <v/>
      </c>
      <c r="AF497" s="132" t="str">
        <f t="shared" si="262"/>
        <v/>
      </c>
      <c r="AG497" s="132" t="str">
        <f t="shared" si="263"/>
        <v/>
      </c>
      <c r="AH497" s="132" t="str">
        <f t="shared" si="251"/>
        <v/>
      </c>
      <c r="AI497" s="132" t="str">
        <f t="shared" si="252"/>
        <v/>
      </c>
      <c r="AJ497" s="133" t="str">
        <f t="shared" si="264"/>
        <v/>
      </c>
      <c r="AK497" s="133" t="str" cm="1">
        <f t="array" ref="AK497">IF(OR(E497="", H497=""), "",
  IFERROR(
     (
      INDEX($AM$3:$AM$22, MATCH(E497, $AL$3:$AL$22, 1)) +
      (E497 - INDEX($AL$3:$AL$22, MATCH(E497, $AL$3:$AL$22, 1))) *
      (INDEX($AM$3:$AM$22, MATCH(E497, $AL$3:$AL$22, 1)+1) - INDEX($AM$3:$AM$22, MATCH(E497, $AL$3:$AL$22, 1))) /
      (INDEX($AL$3:$AL$22, MATCH(E497, $AL$3:$AL$22, 1)+1) - INDEX($AL$3:$AL$22, MATCH(E497, $AL$3:$AL$22, 1)))
    ) - H497,
    ""
  )
)</f>
        <v/>
      </c>
      <c r="AL497" s="135"/>
      <c r="AM497" s="135"/>
      <c r="AN497" s="136"/>
    </row>
    <row r="498" spans="1:40" x14ac:dyDescent="0.35">
      <c r="A498" s="109">
        <f t="shared" si="273"/>
        <v>3</v>
      </c>
      <c r="B498" s="110">
        <f t="shared" si="273"/>
        <v>19</v>
      </c>
      <c r="C498" s="111" t="str">
        <f t="shared" si="245"/>
        <v/>
      </c>
      <c r="D498" s="112"/>
      <c r="E498" s="111" t="str">
        <f t="shared" si="268"/>
        <v/>
      </c>
      <c r="F498" s="112"/>
      <c r="G498" s="112"/>
      <c r="H498" s="113" t="str">
        <f t="shared" si="246"/>
        <v/>
      </c>
      <c r="I498" s="111" t="str">
        <f t="shared" si="247"/>
        <v/>
      </c>
      <c r="J498" s="112" t="str">
        <f t="shared" si="243"/>
        <v/>
      </c>
      <c r="K498" s="111" t="str">
        <f t="shared" si="269"/>
        <v/>
      </c>
      <c r="L498" s="114"/>
      <c r="M498" s="115"/>
      <c r="N498" s="111" t="str">
        <f t="shared" si="255"/>
        <v/>
      </c>
      <c r="O498" s="111">
        <f t="shared" si="253"/>
        <v>0</v>
      </c>
      <c r="P498" s="116" t="str">
        <f t="shared" si="248"/>
        <v/>
      </c>
      <c r="Q498" s="117" t="str">
        <f t="shared" si="270"/>
        <v/>
      </c>
      <c r="R498" s="111" t="str">
        <f t="shared" si="256"/>
        <v/>
      </c>
      <c r="S498" s="111" t="str">
        <f t="shared" si="254"/>
        <v/>
      </c>
      <c r="T498" s="111" t="str">
        <f t="shared" si="257"/>
        <v/>
      </c>
      <c r="U498" s="111" t="str">
        <f t="shared" si="258"/>
        <v/>
      </c>
      <c r="V498" s="113" t="str">
        <f t="shared" si="266"/>
        <v/>
      </c>
      <c r="W498" s="111" t="str">
        <f t="shared" si="249"/>
        <v/>
      </c>
      <c r="X498" s="111" t="str">
        <f t="shared" si="250"/>
        <v/>
      </c>
      <c r="Y498" s="111" t="str">
        <f t="shared" si="259"/>
        <v/>
      </c>
      <c r="Z498" s="111" t="str">
        <f t="shared" si="271"/>
        <v/>
      </c>
      <c r="AA498" s="118" t="str">
        <f t="shared" si="260"/>
        <v/>
      </c>
      <c r="AB498" s="111" t="str">
        <f t="shared" si="265"/>
        <v/>
      </c>
      <c r="AC498" s="119"/>
      <c r="AD498" s="120" t="str">
        <f t="shared" si="261"/>
        <v/>
      </c>
      <c r="AE498" s="120" t="str">
        <f t="shared" si="261"/>
        <v/>
      </c>
      <c r="AF498" s="120" t="str">
        <f t="shared" si="262"/>
        <v/>
      </c>
      <c r="AG498" s="120" t="str">
        <f t="shared" si="263"/>
        <v/>
      </c>
      <c r="AH498" s="120" t="str">
        <f t="shared" si="251"/>
        <v/>
      </c>
      <c r="AI498" s="120" t="str">
        <f t="shared" si="252"/>
        <v/>
      </c>
      <c r="AJ498" s="121" t="str">
        <f t="shared" si="264"/>
        <v/>
      </c>
      <c r="AK498" s="121" t="str" cm="1">
        <f t="array" ref="AK498">IF(OR(E498="", H498=""), "",
  IFERROR(
     (
      INDEX($AM$3:$AM$22, MATCH(E498, $AL$3:$AL$22, 1)) +
      (E498 - INDEX($AL$3:$AL$22, MATCH(E498, $AL$3:$AL$22, 1))) *
      (INDEX($AM$3:$AM$22, MATCH(E498, $AL$3:$AL$22, 1)+1) - INDEX($AM$3:$AM$22, MATCH(E498, $AL$3:$AL$22, 1))) /
      (INDEX($AL$3:$AL$22, MATCH(E498, $AL$3:$AL$22, 1)+1) - INDEX($AL$3:$AL$22, MATCH(E498, $AL$3:$AL$22, 1)))
    ) - H498,
    ""
  )
)</f>
        <v/>
      </c>
      <c r="AL498" s="137"/>
      <c r="AM498" s="137"/>
      <c r="AN498" s="138"/>
    </row>
    <row r="499" spans="1:40" x14ac:dyDescent="0.35">
      <c r="A499" s="122">
        <f t="shared" si="273"/>
        <v>3</v>
      </c>
      <c r="B499" s="123">
        <f t="shared" si="273"/>
        <v>19</v>
      </c>
      <c r="C499" s="124" t="str">
        <f t="shared" si="245"/>
        <v/>
      </c>
      <c r="D499" s="125"/>
      <c r="E499" s="124" t="str">
        <f t="shared" si="268"/>
        <v/>
      </c>
      <c r="F499" s="125"/>
      <c r="G499" s="125"/>
      <c r="H499" s="126" t="str">
        <f t="shared" si="246"/>
        <v/>
      </c>
      <c r="I499" s="124" t="str">
        <f t="shared" si="247"/>
        <v/>
      </c>
      <c r="J499" s="125" t="str">
        <f t="shared" si="243"/>
        <v/>
      </c>
      <c r="K499" s="124" t="str">
        <f t="shared" si="269"/>
        <v/>
      </c>
      <c r="L499" s="127"/>
      <c r="M499" s="134"/>
      <c r="N499" s="124" t="str">
        <f t="shared" si="255"/>
        <v/>
      </c>
      <c r="O499" s="124">
        <f t="shared" si="253"/>
        <v>0</v>
      </c>
      <c r="P499" s="128" t="str">
        <f t="shared" si="248"/>
        <v/>
      </c>
      <c r="Q499" s="129" t="str">
        <f t="shared" si="270"/>
        <v/>
      </c>
      <c r="R499" s="124" t="str">
        <f t="shared" si="256"/>
        <v/>
      </c>
      <c r="S499" s="124" t="str">
        <f t="shared" si="254"/>
        <v/>
      </c>
      <c r="T499" s="124" t="str">
        <f t="shared" si="257"/>
        <v/>
      </c>
      <c r="U499" s="124" t="str">
        <f t="shared" si="258"/>
        <v/>
      </c>
      <c r="V499" s="126" t="str">
        <f t="shared" si="266"/>
        <v/>
      </c>
      <c r="W499" s="124" t="str">
        <f t="shared" si="249"/>
        <v/>
      </c>
      <c r="X499" s="124" t="str">
        <f t="shared" si="250"/>
        <v/>
      </c>
      <c r="Y499" s="124" t="str">
        <f t="shared" si="259"/>
        <v/>
      </c>
      <c r="Z499" s="124" t="str">
        <f t="shared" si="271"/>
        <v/>
      </c>
      <c r="AA499" s="130" t="str">
        <f t="shared" si="260"/>
        <v/>
      </c>
      <c r="AB499" s="124" t="str">
        <f t="shared" si="265"/>
        <v/>
      </c>
      <c r="AC499" s="131"/>
      <c r="AD499" s="132" t="str">
        <f t="shared" si="261"/>
        <v/>
      </c>
      <c r="AE499" s="132" t="str">
        <f t="shared" si="261"/>
        <v/>
      </c>
      <c r="AF499" s="132" t="str">
        <f t="shared" si="262"/>
        <v/>
      </c>
      <c r="AG499" s="132" t="str">
        <f t="shared" si="263"/>
        <v/>
      </c>
      <c r="AH499" s="132" t="str">
        <f t="shared" si="251"/>
        <v/>
      </c>
      <c r="AI499" s="132" t="str">
        <f t="shared" si="252"/>
        <v/>
      </c>
      <c r="AJ499" s="133" t="str">
        <f t="shared" si="264"/>
        <v/>
      </c>
      <c r="AK499" s="133" t="str" cm="1">
        <f t="array" ref="AK499">IF(OR(E499="", H499=""), "",
  IFERROR(
     (
      INDEX($AM$3:$AM$22, MATCH(E499, $AL$3:$AL$22, 1)) +
      (E499 - INDEX($AL$3:$AL$22, MATCH(E499, $AL$3:$AL$22, 1))) *
      (INDEX($AM$3:$AM$22, MATCH(E499, $AL$3:$AL$22, 1)+1) - INDEX($AM$3:$AM$22, MATCH(E499, $AL$3:$AL$22, 1))) /
      (INDEX($AL$3:$AL$22, MATCH(E499, $AL$3:$AL$22, 1)+1) - INDEX($AL$3:$AL$22, MATCH(E499, $AL$3:$AL$22, 1)))
    ) - H499,
    ""
  )
)</f>
        <v/>
      </c>
      <c r="AL499" s="135"/>
      <c r="AM499" s="135"/>
      <c r="AN499" s="136"/>
    </row>
    <row r="500" spans="1:40" x14ac:dyDescent="0.35">
      <c r="A500" s="109">
        <f t="shared" si="273"/>
        <v>3</v>
      </c>
      <c r="B500" s="110">
        <f t="shared" si="273"/>
        <v>19</v>
      </c>
      <c r="C500" s="111" t="str">
        <f t="shared" si="245"/>
        <v/>
      </c>
      <c r="D500" s="112"/>
      <c r="E500" s="111" t="str">
        <f t="shared" si="268"/>
        <v/>
      </c>
      <c r="F500" s="112"/>
      <c r="G500" s="112"/>
      <c r="H500" s="113" t="str">
        <f t="shared" si="246"/>
        <v/>
      </c>
      <c r="I500" s="111" t="str">
        <f t="shared" si="247"/>
        <v/>
      </c>
      <c r="J500" s="112" t="str">
        <f t="shared" si="243"/>
        <v/>
      </c>
      <c r="K500" s="111" t="str">
        <f t="shared" si="269"/>
        <v/>
      </c>
      <c r="L500" s="114"/>
      <c r="M500" s="115"/>
      <c r="N500" s="111" t="str">
        <f t="shared" si="255"/>
        <v/>
      </c>
      <c r="O500" s="111">
        <f t="shared" si="253"/>
        <v>0</v>
      </c>
      <c r="P500" s="116" t="str">
        <f t="shared" si="248"/>
        <v/>
      </c>
      <c r="Q500" s="117" t="str">
        <f t="shared" si="270"/>
        <v/>
      </c>
      <c r="R500" s="111" t="str">
        <f t="shared" si="256"/>
        <v/>
      </c>
      <c r="S500" s="111" t="str">
        <f t="shared" si="254"/>
        <v/>
      </c>
      <c r="T500" s="111" t="str">
        <f t="shared" si="257"/>
        <v/>
      </c>
      <c r="U500" s="111" t="str">
        <f t="shared" si="258"/>
        <v/>
      </c>
      <c r="V500" s="113" t="str">
        <f t="shared" si="266"/>
        <v/>
      </c>
      <c r="W500" s="111" t="str">
        <f t="shared" si="249"/>
        <v/>
      </c>
      <c r="X500" s="111" t="str">
        <f t="shared" si="250"/>
        <v/>
      </c>
      <c r="Y500" s="111" t="str">
        <f t="shared" si="259"/>
        <v/>
      </c>
      <c r="Z500" s="111" t="str">
        <f t="shared" si="271"/>
        <v/>
      </c>
      <c r="AA500" s="118" t="str">
        <f t="shared" si="260"/>
        <v/>
      </c>
      <c r="AB500" s="111" t="str">
        <f t="shared" si="265"/>
        <v/>
      </c>
      <c r="AC500" s="119"/>
      <c r="AD500" s="120" t="str">
        <f t="shared" ref="AD500:AE503" si="274">IF(F500&gt;0,RADIANS(F500),"")</f>
        <v/>
      </c>
      <c r="AE500" s="120" t="str">
        <f t="shared" si="274"/>
        <v/>
      </c>
      <c r="AF500" s="120" t="str">
        <f>IF(F500="","",2/RADIANS(I500)*TAN(RADIANS(I500)/2))</f>
        <v/>
      </c>
      <c r="AG500" s="120" t="str">
        <f>IF(S500="","",RADIANS(S500))</f>
        <v/>
      </c>
      <c r="AH500" s="120" t="str">
        <f t="shared" si="251"/>
        <v/>
      </c>
      <c r="AI500" s="120" t="str">
        <f t="shared" si="252"/>
        <v/>
      </c>
      <c r="AJ500" s="121" t="str">
        <f t="shared" si="264"/>
        <v/>
      </c>
      <c r="AK500" s="121" t="str" cm="1">
        <f t="array" ref="AK500">IF(OR(E500="", H500=""), "",
  IFERROR(
     (
      INDEX($AM$3:$AM$22, MATCH(E500, $AL$3:$AL$22, 1)) +
      (E500 - INDEX($AL$3:$AL$22, MATCH(E500, $AL$3:$AL$22, 1))) *
      (INDEX($AM$3:$AM$22, MATCH(E500, $AL$3:$AL$22, 1)+1) - INDEX($AM$3:$AM$22, MATCH(E500, $AL$3:$AL$22, 1))) /
      (INDEX($AL$3:$AL$22, MATCH(E500, $AL$3:$AL$22, 1)+1) - INDEX($AL$3:$AL$22, MATCH(E500, $AL$3:$AL$22, 1)))
    ) - H500,
    ""
  )
)</f>
        <v/>
      </c>
      <c r="AL500" s="137"/>
      <c r="AM500" s="137"/>
      <c r="AN500" s="138"/>
    </row>
    <row r="501" spans="1:40" x14ac:dyDescent="0.35">
      <c r="A501" s="122">
        <f t="shared" si="273"/>
        <v>3</v>
      </c>
      <c r="B501" s="123">
        <f t="shared" si="273"/>
        <v>19</v>
      </c>
      <c r="C501" s="124" t="str">
        <f t="shared" si="245"/>
        <v/>
      </c>
      <c r="D501" s="125"/>
      <c r="E501" s="124" t="str">
        <f t="shared" si="268"/>
        <v/>
      </c>
      <c r="F501" s="125"/>
      <c r="G501" s="125"/>
      <c r="H501" s="126" t="str">
        <f t="shared" si="246"/>
        <v/>
      </c>
      <c r="I501" s="124" t="str">
        <f t="shared" si="247"/>
        <v/>
      </c>
      <c r="J501" s="125" t="str">
        <f t="shared" si="243"/>
        <v/>
      </c>
      <c r="K501" s="124" t="str">
        <f t="shared" si="269"/>
        <v/>
      </c>
      <c r="L501" s="127"/>
      <c r="M501" s="134"/>
      <c r="N501" s="124" t="str">
        <f t="shared" si="255"/>
        <v/>
      </c>
      <c r="O501" s="124">
        <f t="shared" si="253"/>
        <v>0</v>
      </c>
      <c r="P501" s="128" t="str">
        <f t="shared" si="248"/>
        <v/>
      </c>
      <c r="Q501" s="129" t="str">
        <f t="shared" si="270"/>
        <v/>
      </c>
      <c r="R501" s="124" t="str">
        <f t="shared" si="256"/>
        <v/>
      </c>
      <c r="S501" s="124" t="str">
        <f t="shared" si="254"/>
        <v/>
      </c>
      <c r="T501" s="124" t="str">
        <f t="shared" si="257"/>
        <v/>
      </c>
      <c r="U501" s="124" t="str">
        <f t="shared" si="258"/>
        <v/>
      </c>
      <c r="V501" s="126" t="str">
        <f>IF(F501="","",IF(N501="",IF(O501="",(F501-F500)/30,AVERAGE(V500,V499,V498)),(F501-F500)/N501))</f>
        <v/>
      </c>
      <c r="W501" s="124" t="str">
        <f t="shared" si="249"/>
        <v/>
      </c>
      <c r="X501" s="124" t="str">
        <f t="shared" si="250"/>
        <v/>
      </c>
      <c r="Y501" s="124" t="str">
        <f t="shared" si="259"/>
        <v/>
      </c>
      <c r="Z501" s="124" t="str">
        <f t="shared" si="271"/>
        <v/>
      </c>
      <c r="AA501" s="130" t="str">
        <f t="shared" si="260"/>
        <v/>
      </c>
      <c r="AB501" s="124" t="str">
        <f t="shared" si="265"/>
        <v/>
      </c>
      <c r="AC501" s="131"/>
      <c r="AD501" s="132" t="str">
        <f t="shared" si="274"/>
        <v/>
      </c>
      <c r="AE501" s="132" t="str">
        <f t="shared" si="274"/>
        <v/>
      </c>
      <c r="AF501" s="132" t="str">
        <f>IF(F501="","",2/RADIANS(I501)*TAN(RADIANS(I501)/2))</f>
        <v/>
      </c>
      <c r="AG501" s="132" t="str">
        <f>IF(S501="","",RADIANS(S501))</f>
        <v/>
      </c>
      <c r="AH501" s="132" t="str">
        <f>IF(G501="","",IF(G501&gt;G500,IF((G501-G500)&gt;180,(G501-G500)-360,G501-G500),IF((G501-G500)&lt;-180,(G501-G500)+360,G501-G500)))</f>
        <v/>
      </c>
      <c r="AI501" s="132" t="str">
        <f>+IF(E501="","",E501-E500)</f>
        <v/>
      </c>
      <c r="AJ501" s="133" t="str">
        <f t="shared" si="264"/>
        <v/>
      </c>
      <c r="AK501" s="133" t="str" cm="1">
        <f t="array" ref="AK501">IF(OR(E501="", H501=""), "",
  IFERROR(
     (
      INDEX($AM$3:$AM$22, MATCH(E501, $AL$3:$AL$22, 1)) +
      (E501 - INDEX($AL$3:$AL$22, MATCH(E501, $AL$3:$AL$22, 1))) *
      (INDEX($AM$3:$AM$22, MATCH(E501, $AL$3:$AL$22, 1)+1) - INDEX($AM$3:$AM$22, MATCH(E501, $AL$3:$AL$22, 1))) /
      (INDEX($AL$3:$AL$22, MATCH(E501, $AL$3:$AL$22, 1)+1) - INDEX($AL$3:$AL$22, MATCH(E501, $AL$3:$AL$22, 1)))
    ) - H501,
    ""
  )
)</f>
        <v/>
      </c>
      <c r="AL501" s="135"/>
      <c r="AM501" s="135"/>
      <c r="AN501" s="136"/>
    </row>
    <row r="502" spans="1:40" x14ac:dyDescent="0.35">
      <c r="A502" s="109">
        <f t="shared" si="273"/>
        <v>3</v>
      </c>
      <c r="B502" s="110">
        <f t="shared" si="273"/>
        <v>19</v>
      </c>
      <c r="C502" s="111" t="str">
        <f t="shared" si="245"/>
        <v/>
      </c>
      <c r="D502" s="112"/>
      <c r="E502" s="111" t="str">
        <f t="shared" si="268"/>
        <v/>
      </c>
      <c r="F502" s="112"/>
      <c r="G502" s="112"/>
      <c r="H502" s="113" t="str">
        <f t="shared" si="246"/>
        <v/>
      </c>
      <c r="I502" s="111" t="str">
        <f t="shared" si="247"/>
        <v/>
      </c>
      <c r="J502" s="112" t="str">
        <f t="shared" ref="J502:J503" si="275">IF(L502="","",D502)</f>
        <v/>
      </c>
      <c r="K502" s="111" t="str">
        <f t="shared" si="269"/>
        <v/>
      </c>
      <c r="L502" s="114"/>
      <c r="M502" s="115"/>
      <c r="N502" s="111" t="str">
        <f t="shared" si="255"/>
        <v/>
      </c>
      <c r="O502" s="111">
        <f t="shared" si="253"/>
        <v>0</v>
      </c>
      <c r="P502" s="116" t="str">
        <f t="shared" si="248"/>
        <v/>
      </c>
      <c r="Q502" s="117" t="str">
        <f t="shared" si="270"/>
        <v/>
      </c>
      <c r="R502" s="111" t="str">
        <f t="shared" si="256"/>
        <v/>
      </c>
      <c r="S502" s="111" t="str">
        <f t="shared" si="254"/>
        <v/>
      </c>
      <c r="T502" s="111" t="str">
        <f t="shared" si="257"/>
        <v/>
      </c>
      <c r="U502" s="111" t="str">
        <f t="shared" si="258"/>
        <v/>
      </c>
      <c r="V502" s="113" t="str">
        <f>IF(F502="","",IF(N502="",IF(O502="",(F502-F501)/30,AVERAGE(V501,V500,V499)),(F502-F501)/N502))</f>
        <v/>
      </c>
      <c r="W502" s="111" t="str">
        <f t="shared" si="249"/>
        <v/>
      </c>
      <c r="X502" s="111" t="str">
        <f t="shared" si="250"/>
        <v/>
      </c>
      <c r="Y502" s="111" t="str">
        <f t="shared" si="259"/>
        <v/>
      </c>
      <c r="Z502" s="111" t="str">
        <f t="shared" si="271"/>
        <v/>
      </c>
      <c r="AA502" s="118" t="str">
        <f t="shared" si="260"/>
        <v/>
      </c>
      <c r="AB502" s="111" t="str">
        <f t="shared" si="265"/>
        <v/>
      </c>
      <c r="AC502" s="119"/>
      <c r="AD502" s="120" t="str">
        <f t="shared" si="274"/>
        <v/>
      </c>
      <c r="AE502" s="120" t="str">
        <f t="shared" si="274"/>
        <v/>
      </c>
      <c r="AF502" s="120" t="str">
        <f>IF(F502="","",2/RADIANS(I502)*TAN(RADIANS(I502)/2))</f>
        <v/>
      </c>
      <c r="AG502" s="120" t="str">
        <f>IF(S502="","",RADIANS(S502))</f>
        <v/>
      </c>
      <c r="AH502" s="120" t="str">
        <f>IF(G502="","",IF(G502&gt;G501,IF((G502-G501)&gt;180,(G502-G501)-360,G502-G501),IF((G502-G501)&lt;-180,(G502-G501)+360,G502-G501)))</f>
        <v/>
      </c>
      <c r="AI502" s="120" t="str">
        <f>+IF(E502="","",E502-E501)</f>
        <v/>
      </c>
      <c r="AJ502" s="121" t="str">
        <f t="shared" si="264"/>
        <v/>
      </c>
      <c r="AK502" s="121" t="str" cm="1">
        <f t="array" ref="AK502">IF(OR(E502="", H502=""), "",
  IFERROR(
     (
      INDEX($AM$3:$AM$22, MATCH(E502, $AL$3:$AL$22, 1)) +
      (E502 - INDEX($AL$3:$AL$22, MATCH(E502, $AL$3:$AL$22, 1))) *
      (INDEX($AM$3:$AM$22, MATCH(E502, $AL$3:$AL$22, 1)+1) - INDEX($AM$3:$AM$22, MATCH(E502, $AL$3:$AL$22, 1))) /
      (INDEX($AL$3:$AL$22, MATCH(E502, $AL$3:$AL$22, 1)+1) - INDEX($AL$3:$AL$22, MATCH(E502, $AL$3:$AL$22, 1)))
    ) - H502,
    ""
  )
)</f>
        <v/>
      </c>
      <c r="AL502" s="137"/>
      <c r="AM502" s="137"/>
      <c r="AN502" s="138"/>
    </row>
    <row r="503" spans="1:40" x14ac:dyDescent="0.35">
      <c r="A503" s="139">
        <f>+A502</f>
        <v>3</v>
      </c>
      <c r="B503" s="140">
        <f>+B502</f>
        <v>19</v>
      </c>
      <c r="C503" s="141" t="str">
        <f t="shared" si="245"/>
        <v/>
      </c>
      <c r="D503" s="142"/>
      <c r="E503" s="141" t="str">
        <f t="shared" si="268"/>
        <v/>
      </c>
      <c r="F503" s="142"/>
      <c r="G503" s="142"/>
      <c r="H503" s="143" t="str">
        <f t="shared" si="246"/>
        <v/>
      </c>
      <c r="I503" s="141" t="str">
        <f t="shared" si="247"/>
        <v/>
      </c>
      <c r="J503" s="142" t="str">
        <f t="shared" si="275"/>
        <v/>
      </c>
      <c r="K503" s="141" t="str">
        <f t="shared" si="269"/>
        <v/>
      </c>
      <c r="L503" s="144"/>
      <c r="M503" s="145"/>
      <c r="N503" s="141" t="str">
        <f t="shared" si="255"/>
        <v/>
      </c>
      <c r="O503" s="141">
        <f t="shared" si="253"/>
        <v>0</v>
      </c>
      <c r="P503" s="146" t="str">
        <f t="shared" si="248"/>
        <v/>
      </c>
      <c r="Q503" s="147" t="str">
        <f t="shared" si="270"/>
        <v/>
      </c>
      <c r="R503" s="141" t="str">
        <f t="shared" si="256"/>
        <v/>
      </c>
      <c r="S503" s="141" t="str">
        <f t="shared" si="254"/>
        <v/>
      </c>
      <c r="T503" s="141" t="str">
        <f t="shared" si="257"/>
        <v/>
      </c>
      <c r="U503" s="141" t="str">
        <f t="shared" si="258"/>
        <v/>
      </c>
      <c r="V503" s="143" t="str">
        <f>IF(F503="","",IF(N503="",IF(O503="",(F503-F502)/30,AVERAGE(V502,V501,V500)),(F503-F502)/N503))</f>
        <v/>
      </c>
      <c r="W503" s="141" t="str">
        <f t="shared" si="249"/>
        <v/>
      </c>
      <c r="X503" s="141" t="str">
        <f t="shared" si="250"/>
        <v/>
      </c>
      <c r="Y503" s="141" t="str">
        <f t="shared" si="259"/>
        <v/>
      </c>
      <c r="Z503" s="141" t="str">
        <f t="shared" si="271"/>
        <v/>
      </c>
      <c r="AA503" s="148" t="str">
        <f t="shared" si="260"/>
        <v/>
      </c>
      <c r="AB503" s="141" t="str">
        <f t="shared" si="265"/>
        <v/>
      </c>
      <c r="AC503" s="149"/>
      <c r="AD503" s="150" t="str">
        <f t="shared" si="274"/>
        <v/>
      </c>
      <c r="AE503" s="150" t="str">
        <f t="shared" si="274"/>
        <v/>
      </c>
      <c r="AF503" s="150" t="str">
        <f>IF(F503="","",2/RADIANS(I503)*TAN(RADIANS(I503)/2))</f>
        <v/>
      </c>
      <c r="AG503" s="150" t="str">
        <f>IF(S503="","",RADIANS(S503))</f>
        <v/>
      </c>
      <c r="AH503" s="150" t="str">
        <f>IF(G503="","",IF(G503&gt;G502,IF((G503-G502)&gt;180,(G503-G502)-360,G503-G502),IF((G503-G502)&lt;-180,(G503-G502)+360,G503-G502)))</f>
        <v/>
      </c>
      <c r="AI503" s="150" t="str">
        <f>+IF(E503="","",E503-E502)</f>
        <v/>
      </c>
      <c r="AJ503" s="151" t="str">
        <f t="shared" si="264"/>
        <v/>
      </c>
      <c r="AK503" s="151" t="str" cm="1">
        <f t="array" ref="AK503">IF(OR(E503="", H503=""), "",
  IFERROR(
     (
      INDEX($AM$3:$AM$22, MATCH(E503, $AL$3:$AL$22, 1)) +
      (E503 - INDEX($AL$3:$AL$22, MATCH(E503, $AL$3:$AL$22, 1))) *
      (INDEX($AM$3:$AM$22, MATCH(E503, $AL$3:$AL$22, 1)+1) - INDEX($AM$3:$AM$22, MATCH(E503, $AL$3:$AL$22, 1))) /
      (INDEX($AL$3:$AL$22, MATCH(E503, $AL$3:$AL$22, 1)+1) - INDEX($AL$3:$AL$22, MATCH(E503, $AL$3:$AL$22, 1)))
    ) - H503,
    ""
  )
)</f>
        <v/>
      </c>
      <c r="AL503" s="152"/>
      <c r="AM503" s="152"/>
      <c r="AN503" s="153"/>
    </row>
  </sheetData>
  <mergeCells count="18">
    <mergeCell ref="A1:B1"/>
    <mergeCell ref="C1:G1"/>
    <mergeCell ref="AL1:AN1"/>
    <mergeCell ref="A2:B2"/>
    <mergeCell ref="C2:G2"/>
    <mergeCell ref="H1:I1"/>
    <mergeCell ref="H2:I2"/>
    <mergeCell ref="AA1:AC4"/>
    <mergeCell ref="R1:T2"/>
    <mergeCell ref="A3:B3"/>
    <mergeCell ref="AJ3:AJ5"/>
    <mergeCell ref="AK3:AK5"/>
    <mergeCell ref="A4:B4"/>
    <mergeCell ref="P5:Q5"/>
    <mergeCell ref="C3:G3"/>
    <mergeCell ref="C4:G4"/>
    <mergeCell ref="H3:I3"/>
    <mergeCell ref="H4:I4"/>
  </mergeCells>
  <conditionalFormatting sqref="AK6:AK503">
    <cfRule type="colorScale" priority="1">
      <colorScale>
        <cfvo type="formula" val="$AK$2"/>
        <cfvo type="num" val="0"/>
        <cfvo type="formula" val="$AJ$2"/>
        <color theme="5" tint="0.39997558519241921"/>
        <color theme="6" tint="0.39997558519241921"/>
        <color theme="5" tint="0.39997558519241921"/>
      </colorScale>
    </cfRule>
  </conditionalFormatting>
  <pageMargins left="0.7" right="0.7" top="0.75" bottom="0.75" header="0.51180555555555551" footer="0.51180555555555551"/>
  <pageSetup paperSize="9" firstPageNumber="0" orientation="landscape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CF3F4-0020-4B04-96E1-B8919C82B91C}">
  <sheetPr codeName="Sheet59">
    <tabColor rgb="FF004F4F"/>
  </sheetPr>
  <dimension ref="A1:Y44"/>
  <sheetViews>
    <sheetView tabSelected="1" zoomScaleNormal="100" workbookViewId="0">
      <pane ySplit="7" topLeftCell="A8" activePane="bottomLeft" state="frozen"/>
      <selection pane="bottomLeft" activeCell="A8" sqref="A8"/>
    </sheetView>
  </sheetViews>
  <sheetFormatPr defaultRowHeight="12.5" x14ac:dyDescent="0.25"/>
  <cols>
    <col min="1" max="1" width="21.26953125" style="213" customWidth="1"/>
    <col min="2" max="3" width="8.81640625" style="213" customWidth="1"/>
    <col min="4" max="5" width="7.81640625" style="213" bestFit="1" customWidth="1"/>
    <col min="6" max="6" width="8.81640625" style="213" customWidth="1"/>
    <col min="7" max="7" width="7.54296875" style="213" bestFit="1" customWidth="1"/>
    <col min="8" max="8" width="7.54296875" style="213" customWidth="1"/>
    <col min="9" max="9" width="9.81640625" style="213" bestFit="1" customWidth="1"/>
    <col min="10" max="10" width="7.81640625" style="213" bestFit="1" customWidth="1"/>
    <col min="11" max="12" width="7" style="213" bestFit="1" customWidth="1"/>
    <col min="13" max="13" width="7.1796875" style="213" bestFit="1" customWidth="1"/>
    <col min="14" max="14" width="8.54296875" style="213" bestFit="1" customWidth="1"/>
    <col min="15" max="15" width="7" style="213" bestFit="1" customWidth="1"/>
    <col min="16" max="16" width="7.81640625" style="213" bestFit="1" customWidth="1"/>
    <col min="17" max="17" width="10.1796875" style="213" bestFit="1" customWidth="1"/>
    <col min="18" max="18" width="9.26953125" style="213" customWidth="1"/>
    <col min="19" max="19" width="10.54296875" style="213" bestFit="1" customWidth="1"/>
    <col min="20" max="20" width="9.81640625" style="213" bestFit="1" customWidth="1"/>
    <col min="21" max="21" width="7.7265625" style="213" customWidth="1"/>
    <col min="22" max="22" width="10.1796875" style="213" customWidth="1"/>
    <col min="23" max="23" width="8.7265625" style="213"/>
    <col min="24" max="24" width="12.08984375" style="213" bestFit="1" customWidth="1"/>
    <col min="25" max="256" width="8.7265625" style="213"/>
    <col min="257" max="257" width="21.26953125" style="213" customWidth="1"/>
    <col min="258" max="259" width="8.81640625" style="213" customWidth="1"/>
    <col min="260" max="261" width="7.81640625" style="213" bestFit="1" customWidth="1"/>
    <col min="262" max="262" width="8.81640625" style="213" customWidth="1"/>
    <col min="263" max="263" width="7.54296875" style="213" bestFit="1" customWidth="1"/>
    <col min="264" max="264" width="7.54296875" style="213" customWidth="1"/>
    <col min="265" max="265" width="9.81640625" style="213" bestFit="1" customWidth="1"/>
    <col min="266" max="266" width="7.81640625" style="213" bestFit="1" customWidth="1"/>
    <col min="267" max="268" width="7" style="213" bestFit="1" customWidth="1"/>
    <col min="269" max="269" width="7.1796875" style="213" bestFit="1" customWidth="1"/>
    <col min="270" max="270" width="8.54296875" style="213" bestFit="1" customWidth="1"/>
    <col min="271" max="271" width="7" style="213" bestFit="1" customWidth="1"/>
    <col min="272" max="272" width="7.81640625" style="213" bestFit="1" customWidth="1"/>
    <col min="273" max="273" width="10.1796875" style="213" bestFit="1" customWidth="1"/>
    <col min="274" max="274" width="9.26953125" style="213" customWidth="1"/>
    <col min="275" max="275" width="10.54296875" style="213" bestFit="1" customWidth="1"/>
    <col min="276" max="276" width="9.81640625" style="213" bestFit="1" customWidth="1"/>
    <col min="277" max="277" width="7.7265625" style="213" customWidth="1"/>
    <col min="278" max="278" width="10.1796875" style="213" customWidth="1"/>
    <col min="279" max="279" width="8.7265625" style="213"/>
    <col min="280" max="280" width="12.08984375" style="213" bestFit="1" customWidth="1"/>
    <col min="281" max="512" width="8.7265625" style="213"/>
    <col min="513" max="513" width="21.26953125" style="213" customWidth="1"/>
    <col min="514" max="515" width="8.81640625" style="213" customWidth="1"/>
    <col min="516" max="517" width="7.81640625" style="213" bestFit="1" customWidth="1"/>
    <col min="518" max="518" width="8.81640625" style="213" customWidth="1"/>
    <col min="519" max="519" width="7.54296875" style="213" bestFit="1" customWidth="1"/>
    <col min="520" max="520" width="7.54296875" style="213" customWidth="1"/>
    <col min="521" max="521" width="9.81640625" style="213" bestFit="1" customWidth="1"/>
    <col min="522" max="522" width="7.81640625" style="213" bestFit="1" customWidth="1"/>
    <col min="523" max="524" width="7" style="213" bestFit="1" customWidth="1"/>
    <col min="525" max="525" width="7.1796875" style="213" bestFit="1" customWidth="1"/>
    <col min="526" max="526" width="8.54296875" style="213" bestFit="1" customWidth="1"/>
    <col min="527" max="527" width="7" style="213" bestFit="1" customWidth="1"/>
    <col min="528" max="528" width="7.81640625" style="213" bestFit="1" customWidth="1"/>
    <col min="529" max="529" width="10.1796875" style="213" bestFit="1" customWidth="1"/>
    <col min="530" max="530" width="9.26953125" style="213" customWidth="1"/>
    <col min="531" max="531" width="10.54296875" style="213" bestFit="1" customWidth="1"/>
    <col min="532" max="532" width="9.81640625" style="213" bestFit="1" customWidth="1"/>
    <col min="533" max="533" width="7.7265625" style="213" customWidth="1"/>
    <col min="534" max="534" width="10.1796875" style="213" customWidth="1"/>
    <col min="535" max="535" width="8.7265625" style="213"/>
    <col min="536" max="536" width="12.08984375" style="213" bestFit="1" customWidth="1"/>
    <col min="537" max="768" width="8.7265625" style="213"/>
    <col min="769" max="769" width="21.26953125" style="213" customWidth="1"/>
    <col min="770" max="771" width="8.81640625" style="213" customWidth="1"/>
    <col min="772" max="773" width="7.81640625" style="213" bestFit="1" customWidth="1"/>
    <col min="774" max="774" width="8.81640625" style="213" customWidth="1"/>
    <col min="775" max="775" width="7.54296875" style="213" bestFit="1" customWidth="1"/>
    <col min="776" max="776" width="7.54296875" style="213" customWidth="1"/>
    <col min="777" max="777" width="9.81640625" style="213" bestFit="1" customWidth="1"/>
    <col min="778" max="778" width="7.81640625" style="213" bestFit="1" customWidth="1"/>
    <col min="779" max="780" width="7" style="213" bestFit="1" customWidth="1"/>
    <col min="781" max="781" width="7.1796875" style="213" bestFit="1" customWidth="1"/>
    <col min="782" max="782" width="8.54296875" style="213" bestFit="1" customWidth="1"/>
    <col min="783" max="783" width="7" style="213" bestFit="1" customWidth="1"/>
    <col min="784" max="784" width="7.81640625" style="213" bestFit="1" customWidth="1"/>
    <col min="785" max="785" width="10.1796875" style="213" bestFit="1" customWidth="1"/>
    <col min="786" max="786" width="9.26953125" style="213" customWidth="1"/>
    <col min="787" max="787" width="10.54296875" style="213" bestFit="1" customWidth="1"/>
    <col min="788" max="788" width="9.81640625" style="213" bestFit="1" customWidth="1"/>
    <col min="789" max="789" width="7.7265625" style="213" customWidth="1"/>
    <col min="790" max="790" width="10.1796875" style="213" customWidth="1"/>
    <col min="791" max="791" width="8.7265625" style="213"/>
    <col min="792" max="792" width="12.08984375" style="213" bestFit="1" customWidth="1"/>
    <col min="793" max="1024" width="8.7265625" style="213"/>
    <col min="1025" max="1025" width="21.26953125" style="213" customWidth="1"/>
    <col min="1026" max="1027" width="8.81640625" style="213" customWidth="1"/>
    <col min="1028" max="1029" width="7.81640625" style="213" bestFit="1" customWidth="1"/>
    <col min="1030" max="1030" width="8.81640625" style="213" customWidth="1"/>
    <col min="1031" max="1031" width="7.54296875" style="213" bestFit="1" customWidth="1"/>
    <col min="1032" max="1032" width="7.54296875" style="213" customWidth="1"/>
    <col min="1033" max="1033" width="9.81640625" style="213" bestFit="1" customWidth="1"/>
    <col min="1034" max="1034" width="7.81640625" style="213" bestFit="1" customWidth="1"/>
    <col min="1035" max="1036" width="7" style="213" bestFit="1" customWidth="1"/>
    <col min="1037" max="1037" width="7.1796875" style="213" bestFit="1" customWidth="1"/>
    <col min="1038" max="1038" width="8.54296875" style="213" bestFit="1" customWidth="1"/>
    <col min="1039" max="1039" width="7" style="213" bestFit="1" customWidth="1"/>
    <col min="1040" max="1040" width="7.81640625" style="213" bestFit="1" customWidth="1"/>
    <col min="1041" max="1041" width="10.1796875" style="213" bestFit="1" customWidth="1"/>
    <col min="1042" max="1042" width="9.26953125" style="213" customWidth="1"/>
    <col min="1043" max="1043" width="10.54296875" style="213" bestFit="1" customWidth="1"/>
    <col min="1044" max="1044" width="9.81640625" style="213" bestFit="1" customWidth="1"/>
    <col min="1045" max="1045" width="7.7265625" style="213" customWidth="1"/>
    <col min="1046" max="1046" width="10.1796875" style="213" customWidth="1"/>
    <col min="1047" max="1047" width="8.7265625" style="213"/>
    <col min="1048" max="1048" width="12.08984375" style="213" bestFit="1" customWidth="1"/>
    <col min="1049" max="1280" width="8.7265625" style="213"/>
    <col min="1281" max="1281" width="21.26953125" style="213" customWidth="1"/>
    <col min="1282" max="1283" width="8.81640625" style="213" customWidth="1"/>
    <col min="1284" max="1285" width="7.81640625" style="213" bestFit="1" customWidth="1"/>
    <col min="1286" max="1286" width="8.81640625" style="213" customWidth="1"/>
    <col min="1287" max="1287" width="7.54296875" style="213" bestFit="1" customWidth="1"/>
    <col min="1288" max="1288" width="7.54296875" style="213" customWidth="1"/>
    <col min="1289" max="1289" width="9.81640625" style="213" bestFit="1" customWidth="1"/>
    <col min="1290" max="1290" width="7.81640625" style="213" bestFit="1" customWidth="1"/>
    <col min="1291" max="1292" width="7" style="213" bestFit="1" customWidth="1"/>
    <col min="1293" max="1293" width="7.1796875" style="213" bestFit="1" customWidth="1"/>
    <col min="1294" max="1294" width="8.54296875" style="213" bestFit="1" customWidth="1"/>
    <col min="1295" max="1295" width="7" style="213" bestFit="1" customWidth="1"/>
    <col min="1296" max="1296" width="7.81640625" style="213" bestFit="1" customWidth="1"/>
    <col min="1297" max="1297" width="10.1796875" style="213" bestFit="1" customWidth="1"/>
    <col min="1298" max="1298" width="9.26953125" style="213" customWidth="1"/>
    <col min="1299" max="1299" width="10.54296875" style="213" bestFit="1" customWidth="1"/>
    <col min="1300" max="1300" width="9.81640625" style="213" bestFit="1" customWidth="1"/>
    <col min="1301" max="1301" width="7.7265625" style="213" customWidth="1"/>
    <col min="1302" max="1302" width="10.1796875" style="213" customWidth="1"/>
    <col min="1303" max="1303" width="8.7265625" style="213"/>
    <col min="1304" max="1304" width="12.08984375" style="213" bestFit="1" customWidth="1"/>
    <col min="1305" max="1536" width="8.7265625" style="213"/>
    <col min="1537" max="1537" width="21.26953125" style="213" customWidth="1"/>
    <col min="1538" max="1539" width="8.81640625" style="213" customWidth="1"/>
    <col min="1540" max="1541" width="7.81640625" style="213" bestFit="1" customWidth="1"/>
    <col min="1542" max="1542" width="8.81640625" style="213" customWidth="1"/>
    <col min="1543" max="1543" width="7.54296875" style="213" bestFit="1" customWidth="1"/>
    <col min="1544" max="1544" width="7.54296875" style="213" customWidth="1"/>
    <col min="1545" max="1545" width="9.81640625" style="213" bestFit="1" customWidth="1"/>
    <col min="1546" max="1546" width="7.81640625" style="213" bestFit="1" customWidth="1"/>
    <col min="1547" max="1548" width="7" style="213" bestFit="1" customWidth="1"/>
    <col min="1549" max="1549" width="7.1796875" style="213" bestFit="1" customWidth="1"/>
    <col min="1550" max="1550" width="8.54296875" style="213" bestFit="1" customWidth="1"/>
    <col min="1551" max="1551" width="7" style="213" bestFit="1" customWidth="1"/>
    <col min="1552" max="1552" width="7.81640625" style="213" bestFit="1" customWidth="1"/>
    <col min="1553" max="1553" width="10.1796875" style="213" bestFit="1" customWidth="1"/>
    <col min="1554" max="1554" width="9.26953125" style="213" customWidth="1"/>
    <col min="1555" max="1555" width="10.54296875" style="213" bestFit="1" customWidth="1"/>
    <col min="1556" max="1556" width="9.81640625" style="213" bestFit="1" customWidth="1"/>
    <col min="1557" max="1557" width="7.7265625" style="213" customWidth="1"/>
    <col min="1558" max="1558" width="10.1796875" style="213" customWidth="1"/>
    <col min="1559" max="1559" width="8.7265625" style="213"/>
    <col min="1560" max="1560" width="12.08984375" style="213" bestFit="1" customWidth="1"/>
    <col min="1561" max="1792" width="8.7265625" style="213"/>
    <col min="1793" max="1793" width="21.26953125" style="213" customWidth="1"/>
    <col min="1794" max="1795" width="8.81640625" style="213" customWidth="1"/>
    <col min="1796" max="1797" width="7.81640625" style="213" bestFit="1" customWidth="1"/>
    <col min="1798" max="1798" width="8.81640625" style="213" customWidth="1"/>
    <col min="1799" max="1799" width="7.54296875" style="213" bestFit="1" customWidth="1"/>
    <col min="1800" max="1800" width="7.54296875" style="213" customWidth="1"/>
    <col min="1801" max="1801" width="9.81640625" style="213" bestFit="1" customWidth="1"/>
    <col min="1802" max="1802" width="7.81640625" style="213" bestFit="1" customWidth="1"/>
    <col min="1803" max="1804" width="7" style="213" bestFit="1" customWidth="1"/>
    <col min="1805" max="1805" width="7.1796875" style="213" bestFit="1" customWidth="1"/>
    <col min="1806" max="1806" width="8.54296875" style="213" bestFit="1" customWidth="1"/>
    <col min="1807" max="1807" width="7" style="213" bestFit="1" customWidth="1"/>
    <col min="1808" max="1808" width="7.81640625" style="213" bestFit="1" customWidth="1"/>
    <col min="1809" max="1809" width="10.1796875" style="213" bestFit="1" customWidth="1"/>
    <col min="1810" max="1810" width="9.26953125" style="213" customWidth="1"/>
    <col min="1811" max="1811" width="10.54296875" style="213" bestFit="1" customWidth="1"/>
    <col min="1812" max="1812" width="9.81640625" style="213" bestFit="1" customWidth="1"/>
    <col min="1813" max="1813" width="7.7265625" style="213" customWidth="1"/>
    <col min="1814" max="1814" width="10.1796875" style="213" customWidth="1"/>
    <col min="1815" max="1815" width="8.7265625" style="213"/>
    <col min="1816" max="1816" width="12.08984375" style="213" bestFit="1" customWidth="1"/>
    <col min="1817" max="2048" width="8.7265625" style="213"/>
    <col min="2049" max="2049" width="21.26953125" style="213" customWidth="1"/>
    <col min="2050" max="2051" width="8.81640625" style="213" customWidth="1"/>
    <col min="2052" max="2053" width="7.81640625" style="213" bestFit="1" customWidth="1"/>
    <col min="2054" max="2054" width="8.81640625" style="213" customWidth="1"/>
    <col min="2055" max="2055" width="7.54296875" style="213" bestFit="1" customWidth="1"/>
    <col min="2056" max="2056" width="7.54296875" style="213" customWidth="1"/>
    <col min="2057" max="2057" width="9.81640625" style="213" bestFit="1" customWidth="1"/>
    <col min="2058" max="2058" width="7.81640625" style="213" bestFit="1" customWidth="1"/>
    <col min="2059" max="2060" width="7" style="213" bestFit="1" customWidth="1"/>
    <col min="2061" max="2061" width="7.1796875" style="213" bestFit="1" customWidth="1"/>
    <col min="2062" max="2062" width="8.54296875" style="213" bestFit="1" customWidth="1"/>
    <col min="2063" max="2063" width="7" style="213" bestFit="1" customWidth="1"/>
    <col min="2064" max="2064" width="7.81640625" style="213" bestFit="1" customWidth="1"/>
    <col min="2065" max="2065" width="10.1796875" style="213" bestFit="1" customWidth="1"/>
    <col min="2066" max="2066" width="9.26953125" style="213" customWidth="1"/>
    <col min="2067" max="2067" width="10.54296875" style="213" bestFit="1" customWidth="1"/>
    <col min="2068" max="2068" width="9.81640625" style="213" bestFit="1" customWidth="1"/>
    <col min="2069" max="2069" width="7.7265625" style="213" customWidth="1"/>
    <col min="2070" max="2070" width="10.1796875" style="213" customWidth="1"/>
    <col min="2071" max="2071" width="8.7265625" style="213"/>
    <col min="2072" max="2072" width="12.08984375" style="213" bestFit="1" customWidth="1"/>
    <col min="2073" max="2304" width="8.7265625" style="213"/>
    <col min="2305" max="2305" width="21.26953125" style="213" customWidth="1"/>
    <col min="2306" max="2307" width="8.81640625" style="213" customWidth="1"/>
    <col min="2308" max="2309" width="7.81640625" style="213" bestFit="1" customWidth="1"/>
    <col min="2310" max="2310" width="8.81640625" style="213" customWidth="1"/>
    <col min="2311" max="2311" width="7.54296875" style="213" bestFit="1" customWidth="1"/>
    <col min="2312" max="2312" width="7.54296875" style="213" customWidth="1"/>
    <col min="2313" max="2313" width="9.81640625" style="213" bestFit="1" customWidth="1"/>
    <col min="2314" max="2314" width="7.81640625" style="213" bestFit="1" customWidth="1"/>
    <col min="2315" max="2316" width="7" style="213" bestFit="1" customWidth="1"/>
    <col min="2317" max="2317" width="7.1796875" style="213" bestFit="1" customWidth="1"/>
    <col min="2318" max="2318" width="8.54296875" style="213" bestFit="1" customWidth="1"/>
    <col min="2319" max="2319" width="7" style="213" bestFit="1" customWidth="1"/>
    <col min="2320" max="2320" width="7.81640625" style="213" bestFit="1" customWidth="1"/>
    <col min="2321" max="2321" width="10.1796875" style="213" bestFit="1" customWidth="1"/>
    <col min="2322" max="2322" width="9.26953125" style="213" customWidth="1"/>
    <col min="2323" max="2323" width="10.54296875" style="213" bestFit="1" customWidth="1"/>
    <col min="2324" max="2324" width="9.81640625" style="213" bestFit="1" customWidth="1"/>
    <col min="2325" max="2325" width="7.7265625" style="213" customWidth="1"/>
    <col min="2326" max="2326" width="10.1796875" style="213" customWidth="1"/>
    <col min="2327" max="2327" width="8.7265625" style="213"/>
    <col min="2328" max="2328" width="12.08984375" style="213" bestFit="1" customWidth="1"/>
    <col min="2329" max="2560" width="8.7265625" style="213"/>
    <col min="2561" max="2561" width="21.26953125" style="213" customWidth="1"/>
    <col min="2562" max="2563" width="8.81640625" style="213" customWidth="1"/>
    <col min="2564" max="2565" width="7.81640625" style="213" bestFit="1" customWidth="1"/>
    <col min="2566" max="2566" width="8.81640625" style="213" customWidth="1"/>
    <col min="2567" max="2567" width="7.54296875" style="213" bestFit="1" customWidth="1"/>
    <col min="2568" max="2568" width="7.54296875" style="213" customWidth="1"/>
    <col min="2569" max="2569" width="9.81640625" style="213" bestFit="1" customWidth="1"/>
    <col min="2570" max="2570" width="7.81640625" style="213" bestFit="1" customWidth="1"/>
    <col min="2571" max="2572" width="7" style="213" bestFit="1" customWidth="1"/>
    <col min="2573" max="2573" width="7.1796875" style="213" bestFit="1" customWidth="1"/>
    <col min="2574" max="2574" width="8.54296875" style="213" bestFit="1" customWidth="1"/>
    <col min="2575" max="2575" width="7" style="213" bestFit="1" customWidth="1"/>
    <col min="2576" max="2576" width="7.81640625" style="213" bestFit="1" customWidth="1"/>
    <col min="2577" max="2577" width="10.1796875" style="213" bestFit="1" customWidth="1"/>
    <col min="2578" max="2578" width="9.26953125" style="213" customWidth="1"/>
    <col min="2579" max="2579" width="10.54296875" style="213" bestFit="1" customWidth="1"/>
    <col min="2580" max="2580" width="9.81640625" style="213" bestFit="1" customWidth="1"/>
    <col min="2581" max="2581" width="7.7265625" style="213" customWidth="1"/>
    <col min="2582" max="2582" width="10.1796875" style="213" customWidth="1"/>
    <col min="2583" max="2583" width="8.7265625" style="213"/>
    <col min="2584" max="2584" width="12.08984375" style="213" bestFit="1" customWidth="1"/>
    <col min="2585" max="2816" width="8.7265625" style="213"/>
    <col min="2817" max="2817" width="21.26953125" style="213" customWidth="1"/>
    <col min="2818" max="2819" width="8.81640625" style="213" customWidth="1"/>
    <col min="2820" max="2821" width="7.81640625" style="213" bestFit="1" customWidth="1"/>
    <col min="2822" max="2822" width="8.81640625" style="213" customWidth="1"/>
    <col min="2823" max="2823" width="7.54296875" style="213" bestFit="1" customWidth="1"/>
    <col min="2824" max="2824" width="7.54296875" style="213" customWidth="1"/>
    <col min="2825" max="2825" width="9.81640625" style="213" bestFit="1" customWidth="1"/>
    <col min="2826" max="2826" width="7.81640625" style="213" bestFit="1" customWidth="1"/>
    <col min="2827" max="2828" width="7" style="213" bestFit="1" customWidth="1"/>
    <col min="2829" max="2829" width="7.1796875" style="213" bestFit="1" customWidth="1"/>
    <col min="2830" max="2830" width="8.54296875" style="213" bestFit="1" customWidth="1"/>
    <col min="2831" max="2831" width="7" style="213" bestFit="1" customWidth="1"/>
    <col min="2832" max="2832" width="7.81640625" style="213" bestFit="1" customWidth="1"/>
    <col min="2833" max="2833" width="10.1796875" style="213" bestFit="1" customWidth="1"/>
    <col min="2834" max="2834" width="9.26953125" style="213" customWidth="1"/>
    <col min="2835" max="2835" width="10.54296875" style="213" bestFit="1" customWidth="1"/>
    <col min="2836" max="2836" width="9.81640625" style="213" bestFit="1" customWidth="1"/>
    <col min="2837" max="2837" width="7.7265625" style="213" customWidth="1"/>
    <col min="2838" max="2838" width="10.1796875" style="213" customWidth="1"/>
    <col min="2839" max="2839" width="8.7265625" style="213"/>
    <col min="2840" max="2840" width="12.08984375" style="213" bestFit="1" customWidth="1"/>
    <col min="2841" max="3072" width="8.7265625" style="213"/>
    <col min="3073" max="3073" width="21.26953125" style="213" customWidth="1"/>
    <col min="3074" max="3075" width="8.81640625" style="213" customWidth="1"/>
    <col min="3076" max="3077" width="7.81640625" style="213" bestFit="1" customWidth="1"/>
    <col min="3078" max="3078" width="8.81640625" style="213" customWidth="1"/>
    <col min="3079" max="3079" width="7.54296875" style="213" bestFit="1" customWidth="1"/>
    <col min="3080" max="3080" width="7.54296875" style="213" customWidth="1"/>
    <col min="3081" max="3081" width="9.81640625" style="213" bestFit="1" customWidth="1"/>
    <col min="3082" max="3082" width="7.81640625" style="213" bestFit="1" customWidth="1"/>
    <col min="3083" max="3084" width="7" style="213" bestFit="1" customWidth="1"/>
    <col min="3085" max="3085" width="7.1796875" style="213" bestFit="1" customWidth="1"/>
    <col min="3086" max="3086" width="8.54296875" style="213" bestFit="1" customWidth="1"/>
    <col min="3087" max="3087" width="7" style="213" bestFit="1" customWidth="1"/>
    <col min="3088" max="3088" width="7.81640625" style="213" bestFit="1" customWidth="1"/>
    <col min="3089" max="3089" width="10.1796875" style="213" bestFit="1" customWidth="1"/>
    <col min="3090" max="3090" width="9.26953125" style="213" customWidth="1"/>
    <col min="3091" max="3091" width="10.54296875" style="213" bestFit="1" customWidth="1"/>
    <col min="3092" max="3092" width="9.81640625" style="213" bestFit="1" customWidth="1"/>
    <col min="3093" max="3093" width="7.7265625" style="213" customWidth="1"/>
    <col min="3094" max="3094" width="10.1796875" style="213" customWidth="1"/>
    <col min="3095" max="3095" width="8.7265625" style="213"/>
    <col min="3096" max="3096" width="12.08984375" style="213" bestFit="1" customWidth="1"/>
    <col min="3097" max="3328" width="8.7265625" style="213"/>
    <col min="3329" max="3329" width="21.26953125" style="213" customWidth="1"/>
    <col min="3330" max="3331" width="8.81640625" style="213" customWidth="1"/>
    <col min="3332" max="3333" width="7.81640625" style="213" bestFit="1" customWidth="1"/>
    <col min="3334" max="3334" width="8.81640625" style="213" customWidth="1"/>
    <col min="3335" max="3335" width="7.54296875" style="213" bestFit="1" customWidth="1"/>
    <col min="3336" max="3336" width="7.54296875" style="213" customWidth="1"/>
    <col min="3337" max="3337" width="9.81640625" style="213" bestFit="1" customWidth="1"/>
    <col min="3338" max="3338" width="7.81640625" style="213" bestFit="1" customWidth="1"/>
    <col min="3339" max="3340" width="7" style="213" bestFit="1" customWidth="1"/>
    <col min="3341" max="3341" width="7.1796875" style="213" bestFit="1" customWidth="1"/>
    <col min="3342" max="3342" width="8.54296875" style="213" bestFit="1" customWidth="1"/>
    <col min="3343" max="3343" width="7" style="213" bestFit="1" customWidth="1"/>
    <col min="3344" max="3344" width="7.81640625" style="213" bestFit="1" customWidth="1"/>
    <col min="3345" max="3345" width="10.1796875" style="213" bestFit="1" customWidth="1"/>
    <col min="3346" max="3346" width="9.26953125" style="213" customWidth="1"/>
    <col min="3347" max="3347" width="10.54296875" style="213" bestFit="1" customWidth="1"/>
    <col min="3348" max="3348" width="9.81640625" style="213" bestFit="1" customWidth="1"/>
    <col min="3349" max="3349" width="7.7265625" style="213" customWidth="1"/>
    <col min="3350" max="3350" width="10.1796875" style="213" customWidth="1"/>
    <col min="3351" max="3351" width="8.7265625" style="213"/>
    <col min="3352" max="3352" width="12.08984375" style="213" bestFit="1" customWidth="1"/>
    <col min="3353" max="3584" width="8.7265625" style="213"/>
    <col min="3585" max="3585" width="21.26953125" style="213" customWidth="1"/>
    <col min="3586" max="3587" width="8.81640625" style="213" customWidth="1"/>
    <col min="3588" max="3589" width="7.81640625" style="213" bestFit="1" customWidth="1"/>
    <col min="3590" max="3590" width="8.81640625" style="213" customWidth="1"/>
    <col min="3591" max="3591" width="7.54296875" style="213" bestFit="1" customWidth="1"/>
    <col min="3592" max="3592" width="7.54296875" style="213" customWidth="1"/>
    <col min="3593" max="3593" width="9.81640625" style="213" bestFit="1" customWidth="1"/>
    <col min="3594" max="3594" width="7.81640625" style="213" bestFit="1" customWidth="1"/>
    <col min="3595" max="3596" width="7" style="213" bestFit="1" customWidth="1"/>
    <col min="3597" max="3597" width="7.1796875" style="213" bestFit="1" customWidth="1"/>
    <col min="3598" max="3598" width="8.54296875" style="213" bestFit="1" customWidth="1"/>
    <col min="3599" max="3599" width="7" style="213" bestFit="1" customWidth="1"/>
    <col min="3600" max="3600" width="7.81640625" style="213" bestFit="1" customWidth="1"/>
    <col min="3601" max="3601" width="10.1796875" style="213" bestFit="1" customWidth="1"/>
    <col min="3602" max="3602" width="9.26953125" style="213" customWidth="1"/>
    <col min="3603" max="3603" width="10.54296875" style="213" bestFit="1" customWidth="1"/>
    <col min="3604" max="3604" width="9.81640625" style="213" bestFit="1" customWidth="1"/>
    <col min="3605" max="3605" width="7.7265625" style="213" customWidth="1"/>
    <col min="3606" max="3606" width="10.1796875" style="213" customWidth="1"/>
    <col min="3607" max="3607" width="8.7265625" style="213"/>
    <col min="3608" max="3608" width="12.08984375" style="213" bestFit="1" customWidth="1"/>
    <col min="3609" max="3840" width="8.7265625" style="213"/>
    <col min="3841" max="3841" width="21.26953125" style="213" customWidth="1"/>
    <col min="3842" max="3843" width="8.81640625" style="213" customWidth="1"/>
    <col min="3844" max="3845" width="7.81640625" style="213" bestFit="1" customWidth="1"/>
    <col min="3846" max="3846" width="8.81640625" style="213" customWidth="1"/>
    <col min="3847" max="3847" width="7.54296875" style="213" bestFit="1" customWidth="1"/>
    <col min="3848" max="3848" width="7.54296875" style="213" customWidth="1"/>
    <col min="3849" max="3849" width="9.81640625" style="213" bestFit="1" customWidth="1"/>
    <col min="3850" max="3850" width="7.81640625" style="213" bestFit="1" customWidth="1"/>
    <col min="3851" max="3852" width="7" style="213" bestFit="1" customWidth="1"/>
    <col min="3853" max="3853" width="7.1796875" style="213" bestFit="1" customWidth="1"/>
    <col min="3854" max="3854" width="8.54296875" style="213" bestFit="1" customWidth="1"/>
    <col min="3855" max="3855" width="7" style="213" bestFit="1" customWidth="1"/>
    <col min="3856" max="3856" width="7.81640625" style="213" bestFit="1" customWidth="1"/>
    <col min="3857" max="3857" width="10.1796875" style="213" bestFit="1" customWidth="1"/>
    <col min="3858" max="3858" width="9.26953125" style="213" customWidth="1"/>
    <col min="3859" max="3859" width="10.54296875" style="213" bestFit="1" customWidth="1"/>
    <col min="3860" max="3860" width="9.81640625" style="213" bestFit="1" customWidth="1"/>
    <col min="3861" max="3861" width="7.7265625" style="213" customWidth="1"/>
    <col min="3862" max="3862" width="10.1796875" style="213" customWidth="1"/>
    <col min="3863" max="3863" width="8.7265625" style="213"/>
    <col min="3864" max="3864" width="12.08984375" style="213" bestFit="1" customWidth="1"/>
    <col min="3865" max="4096" width="8.7265625" style="213"/>
    <col min="4097" max="4097" width="21.26953125" style="213" customWidth="1"/>
    <col min="4098" max="4099" width="8.81640625" style="213" customWidth="1"/>
    <col min="4100" max="4101" width="7.81640625" style="213" bestFit="1" customWidth="1"/>
    <col min="4102" max="4102" width="8.81640625" style="213" customWidth="1"/>
    <col min="4103" max="4103" width="7.54296875" style="213" bestFit="1" customWidth="1"/>
    <col min="4104" max="4104" width="7.54296875" style="213" customWidth="1"/>
    <col min="4105" max="4105" width="9.81640625" style="213" bestFit="1" customWidth="1"/>
    <col min="4106" max="4106" width="7.81640625" style="213" bestFit="1" customWidth="1"/>
    <col min="4107" max="4108" width="7" style="213" bestFit="1" customWidth="1"/>
    <col min="4109" max="4109" width="7.1796875" style="213" bestFit="1" customWidth="1"/>
    <col min="4110" max="4110" width="8.54296875" style="213" bestFit="1" customWidth="1"/>
    <col min="4111" max="4111" width="7" style="213" bestFit="1" customWidth="1"/>
    <col min="4112" max="4112" width="7.81640625" style="213" bestFit="1" customWidth="1"/>
    <col min="4113" max="4113" width="10.1796875" style="213" bestFit="1" customWidth="1"/>
    <col min="4114" max="4114" width="9.26953125" style="213" customWidth="1"/>
    <col min="4115" max="4115" width="10.54296875" style="213" bestFit="1" customWidth="1"/>
    <col min="4116" max="4116" width="9.81640625" style="213" bestFit="1" customWidth="1"/>
    <col min="4117" max="4117" width="7.7265625" style="213" customWidth="1"/>
    <col min="4118" max="4118" width="10.1796875" style="213" customWidth="1"/>
    <col min="4119" max="4119" width="8.7265625" style="213"/>
    <col min="4120" max="4120" width="12.08984375" style="213" bestFit="1" customWidth="1"/>
    <col min="4121" max="4352" width="8.7265625" style="213"/>
    <col min="4353" max="4353" width="21.26953125" style="213" customWidth="1"/>
    <col min="4354" max="4355" width="8.81640625" style="213" customWidth="1"/>
    <col min="4356" max="4357" width="7.81640625" style="213" bestFit="1" customWidth="1"/>
    <col min="4358" max="4358" width="8.81640625" style="213" customWidth="1"/>
    <col min="4359" max="4359" width="7.54296875" style="213" bestFit="1" customWidth="1"/>
    <col min="4360" max="4360" width="7.54296875" style="213" customWidth="1"/>
    <col min="4361" max="4361" width="9.81640625" style="213" bestFit="1" customWidth="1"/>
    <col min="4362" max="4362" width="7.81640625" style="213" bestFit="1" customWidth="1"/>
    <col min="4363" max="4364" width="7" style="213" bestFit="1" customWidth="1"/>
    <col min="4365" max="4365" width="7.1796875" style="213" bestFit="1" customWidth="1"/>
    <col min="4366" max="4366" width="8.54296875" style="213" bestFit="1" customWidth="1"/>
    <col min="4367" max="4367" width="7" style="213" bestFit="1" customWidth="1"/>
    <col min="4368" max="4368" width="7.81640625" style="213" bestFit="1" customWidth="1"/>
    <col min="4369" max="4369" width="10.1796875" style="213" bestFit="1" customWidth="1"/>
    <col min="4370" max="4370" width="9.26953125" style="213" customWidth="1"/>
    <col min="4371" max="4371" width="10.54296875" style="213" bestFit="1" customWidth="1"/>
    <col min="4372" max="4372" width="9.81640625" style="213" bestFit="1" customWidth="1"/>
    <col min="4373" max="4373" width="7.7265625" style="213" customWidth="1"/>
    <col min="4374" max="4374" width="10.1796875" style="213" customWidth="1"/>
    <col min="4375" max="4375" width="8.7265625" style="213"/>
    <col min="4376" max="4376" width="12.08984375" style="213" bestFit="1" customWidth="1"/>
    <col min="4377" max="4608" width="8.7265625" style="213"/>
    <col min="4609" max="4609" width="21.26953125" style="213" customWidth="1"/>
    <col min="4610" max="4611" width="8.81640625" style="213" customWidth="1"/>
    <col min="4612" max="4613" width="7.81640625" style="213" bestFit="1" customWidth="1"/>
    <col min="4614" max="4614" width="8.81640625" style="213" customWidth="1"/>
    <col min="4615" max="4615" width="7.54296875" style="213" bestFit="1" customWidth="1"/>
    <col min="4616" max="4616" width="7.54296875" style="213" customWidth="1"/>
    <col min="4617" max="4617" width="9.81640625" style="213" bestFit="1" customWidth="1"/>
    <col min="4618" max="4618" width="7.81640625" style="213" bestFit="1" customWidth="1"/>
    <col min="4619" max="4620" width="7" style="213" bestFit="1" customWidth="1"/>
    <col min="4621" max="4621" width="7.1796875" style="213" bestFit="1" customWidth="1"/>
    <col min="4622" max="4622" width="8.54296875" style="213" bestFit="1" customWidth="1"/>
    <col min="4623" max="4623" width="7" style="213" bestFit="1" customWidth="1"/>
    <col min="4624" max="4624" width="7.81640625" style="213" bestFit="1" customWidth="1"/>
    <col min="4625" max="4625" width="10.1796875" style="213" bestFit="1" customWidth="1"/>
    <col min="4626" max="4626" width="9.26953125" style="213" customWidth="1"/>
    <col min="4627" max="4627" width="10.54296875" style="213" bestFit="1" customWidth="1"/>
    <col min="4628" max="4628" width="9.81640625" style="213" bestFit="1" customWidth="1"/>
    <col min="4629" max="4629" width="7.7265625" style="213" customWidth="1"/>
    <col min="4630" max="4630" width="10.1796875" style="213" customWidth="1"/>
    <col min="4631" max="4631" width="8.7265625" style="213"/>
    <col min="4632" max="4632" width="12.08984375" style="213" bestFit="1" customWidth="1"/>
    <col min="4633" max="4864" width="8.7265625" style="213"/>
    <col min="4865" max="4865" width="21.26953125" style="213" customWidth="1"/>
    <col min="4866" max="4867" width="8.81640625" style="213" customWidth="1"/>
    <col min="4868" max="4869" width="7.81640625" style="213" bestFit="1" customWidth="1"/>
    <col min="4870" max="4870" width="8.81640625" style="213" customWidth="1"/>
    <col min="4871" max="4871" width="7.54296875" style="213" bestFit="1" customWidth="1"/>
    <col min="4872" max="4872" width="7.54296875" style="213" customWidth="1"/>
    <col min="4873" max="4873" width="9.81640625" style="213" bestFit="1" customWidth="1"/>
    <col min="4874" max="4874" width="7.81640625" style="213" bestFit="1" customWidth="1"/>
    <col min="4875" max="4876" width="7" style="213" bestFit="1" customWidth="1"/>
    <col min="4877" max="4877" width="7.1796875" style="213" bestFit="1" customWidth="1"/>
    <col min="4878" max="4878" width="8.54296875" style="213" bestFit="1" customWidth="1"/>
    <col min="4879" max="4879" width="7" style="213" bestFit="1" customWidth="1"/>
    <col min="4880" max="4880" width="7.81640625" style="213" bestFit="1" customWidth="1"/>
    <col min="4881" max="4881" width="10.1796875" style="213" bestFit="1" customWidth="1"/>
    <col min="4882" max="4882" width="9.26953125" style="213" customWidth="1"/>
    <col min="4883" max="4883" width="10.54296875" style="213" bestFit="1" customWidth="1"/>
    <col min="4884" max="4884" width="9.81640625" style="213" bestFit="1" customWidth="1"/>
    <col min="4885" max="4885" width="7.7265625" style="213" customWidth="1"/>
    <col min="4886" max="4886" width="10.1796875" style="213" customWidth="1"/>
    <col min="4887" max="4887" width="8.7265625" style="213"/>
    <col min="4888" max="4888" width="12.08984375" style="213" bestFit="1" customWidth="1"/>
    <col min="4889" max="5120" width="8.7265625" style="213"/>
    <col min="5121" max="5121" width="21.26953125" style="213" customWidth="1"/>
    <col min="5122" max="5123" width="8.81640625" style="213" customWidth="1"/>
    <col min="5124" max="5125" width="7.81640625" style="213" bestFit="1" customWidth="1"/>
    <col min="5126" max="5126" width="8.81640625" style="213" customWidth="1"/>
    <col min="5127" max="5127" width="7.54296875" style="213" bestFit="1" customWidth="1"/>
    <col min="5128" max="5128" width="7.54296875" style="213" customWidth="1"/>
    <col min="5129" max="5129" width="9.81640625" style="213" bestFit="1" customWidth="1"/>
    <col min="5130" max="5130" width="7.81640625" style="213" bestFit="1" customWidth="1"/>
    <col min="5131" max="5132" width="7" style="213" bestFit="1" customWidth="1"/>
    <col min="5133" max="5133" width="7.1796875" style="213" bestFit="1" customWidth="1"/>
    <col min="5134" max="5134" width="8.54296875" style="213" bestFit="1" customWidth="1"/>
    <col min="5135" max="5135" width="7" style="213" bestFit="1" customWidth="1"/>
    <col min="5136" max="5136" width="7.81640625" style="213" bestFit="1" customWidth="1"/>
    <col min="5137" max="5137" width="10.1796875" style="213" bestFit="1" customWidth="1"/>
    <col min="5138" max="5138" width="9.26953125" style="213" customWidth="1"/>
    <col min="5139" max="5139" width="10.54296875" style="213" bestFit="1" customWidth="1"/>
    <col min="5140" max="5140" width="9.81640625" style="213" bestFit="1" customWidth="1"/>
    <col min="5141" max="5141" width="7.7265625" style="213" customWidth="1"/>
    <col min="5142" max="5142" width="10.1796875" style="213" customWidth="1"/>
    <col min="5143" max="5143" width="8.7265625" style="213"/>
    <col min="5144" max="5144" width="12.08984375" style="213" bestFit="1" customWidth="1"/>
    <col min="5145" max="5376" width="8.7265625" style="213"/>
    <col min="5377" max="5377" width="21.26953125" style="213" customWidth="1"/>
    <col min="5378" max="5379" width="8.81640625" style="213" customWidth="1"/>
    <col min="5380" max="5381" width="7.81640625" style="213" bestFit="1" customWidth="1"/>
    <col min="5382" max="5382" width="8.81640625" style="213" customWidth="1"/>
    <col min="5383" max="5383" width="7.54296875" style="213" bestFit="1" customWidth="1"/>
    <col min="5384" max="5384" width="7.54296875" style="213" customWidth="1"/>
    <col min="5385" max="5385" width="9.81640625" style="213" bestFit="1" customWidth="1"/>
    <col min="5386" max="5386" width="7.81640625" style="213" bestFit="1" customWidth="1"/>
    <col min="5387" max="5388" width="7" style="213" bestFit="1" customWidth="1"/>
    <col min="5389" max="5389" width="7.1796875" style="213" bestFit="1" customWidth="1"/>
    <col min="5390" max="5390" width="8.54296875" style="213" bestFit="1" customWidth="1"/>
    <col min="5391" max="5391" width="7" style="213" bestFit="1" customWidth="1"/>
    <col min="5392" max="5392" width="7.81640625" style="213" bestFit="1" customWidth="1"/>
    <col min="5393" max="5393" width="10.1796875" style="213" bestFit="1" customWidth="1"/>
    <col min="5394" max="5394" width="9.26953125" style="213" customWidth="1"/>
    <col min="5395" max="5395" width="10.54296875" style="213" bestFit="1" customWidth="1"/>
    <col min="5396" max="5396" width="9.81640625" style="213" bestFit="1" customWidth="1"/>
    <col min="5397" max="5397" width="7.7265625" style="213" customWidth="1"/>
    <col min="5398" max="5398" width="10.1796875" style="213" customWidth="1"/>
    <col min="5399" max="5399" width="8.7265625" style="213"/>
    <col min="5400" max="5400" width="12.08984375" style="213" bestFit="1" customWidth="1"/>
    <col min="5401" max="5632" width="8.7265625" style="213"/>
    <col min="5633" max="5633" width="21.26953125" style="213" customWidth="1"/>
    <col min="5634" max="5635" width="8.81640625" style="213" customWidth="1"/>
    <col min="5636" max="5637" width="7.81640625" style="213" bestFit="1" customWidth="1"/>
    <col min="5638" max="5638" width="8.81640625" style="213" customWidth="1"/>
    <col min="5639" max="5639" width="7.54296875" style="213" bestFit="1" customWidth="1"/>
    <col min="5640" max="5640" width="7.54296875" style="213" customWidth="1"/>
    <col min="5641" max="5641" width="9.81640625" style="213" bestFit="1" customWidth="1"/>
    <col min="5642" max="5642" width="7.81640625" style="213" bestFit="1" customWidth="1"/>
    <col min="5643" max="5644" width="7" style="213" bestFit="1" customWidth="1"/>
    <col min="5645" max="5645" width="7.1796875" style="213" bestFit="1" customWidth="1"/>
    <col min="5646" max="5646" width="8.54296875" style="213" bestFit="1" customWidth="1"/>
    <col min="5647" max="5647" width="7" style="213" bestFit="1" customWidth="1"/>
    <col min="5648" max="5648" width="7.81640625" style="213" bestFit="1" customWidth="1"/>
    <col min="5649" max="5649" width="10.1796875" style="213" bestFit="1" customWidth="1"/>
    <col min="5650" max="5650" width="9.26953125" style="213" customWidth="1"/>
    <col min="5651" max="5651" width="10.54296875" style="213" bestFit="1" customWidth="1"/>
    <col min="5652" max="5652" width="9.81640625" style="213" bestFit="1" customWidth="1"/>
    <col min="5653" max="5653" width="7.7265625" style="213" customWidth="1"/>
    <col min="5654" max="5654" width="10.1796875" style="213" customWidth="1"/>
    <col min="5655" max="5655" width="8.7265625" style="213"/>
    <col min="5656" max="5656" width="12.08984375" style="213" bestFit="1" customWidth="1"/>
    <col min="5657" max="5888" width="8.7265625" style="213"/>
    <col min="5889" max="5889" width="21.26953125" style="213" customWidth="1"/>
    <col min="5890" max="5891" width="8.81640625" style="213" customWidth="1"/>
    <col min="5892" max="5893" width="7.81640625" style="213" bestFit="1" customWidth="1"/>
    <col min="5894" max="5894" width="8.81640625" style="213" customWidth="1"/>
    <col min="5895" max="5895" width="7.54296875" style="213" bestFit="1" customWidth="1"/>
    <col min="5896" max="5896" width="7.54296875" style="213" customWidth="1"/>
    <col min="5897" max="5897" width="9.81640625" style="213" bestFit="1" customWidth="1"/>
    <col min="5898" max="5898" width="7.81640625" style="213" bestFit="1" customWidth="1"/>
    <col min="5899" max="5900" width="7" style="213" bestFit="1" customWidth="1"/>
    <col min="5901" max="5901" width="7.1796875" style="213" bestFit="1" customWidth="1"/>
    <col min="5902" max="5902" width="8.54296875" style="213" bestFit="1" customWidth="1"/>
    <col min="5903" max="5903" width="7" style="213" bestFit="1" customWidth="1"/>
    <col min="5904" max="5904" width="7.81640625" style="213" bestFit="1" customWidth="1"/>
    <col min="5905" max="5905" width="10.1796875" style="213" bestFit="1" customWidth="1"/>
    <col min="5906" max="5906" width="9.26953125" style="213" customWidth="1"/>
    <col min="5907" max="5907" width="10.54296875" style="213" bestFit="1" customWidth="1"/>
    <col min="5908" max="5908" width="9.81640625" style="213" bestFit="1" customWidth="1"/>
    <col min="5909" max="5909" width="7.7265625" style="213" customWidth="1"/>
    <col min="5910" max="5910" width="10.1796875" style="213" customWidth="1"/>
    <col min="5911" max="5911" width="8.7265625" style="213"/>
    <col min="5912" max="5912" width="12.08984375" style="213" bestFit="1" customWidth="1"/>
    <col min="5913" max="6144" width="8.7265625" style="213"/>
    <col min="6145" max="6145" width="21.26953125" style="213" customWidth="1"/>
    <col min="6146" max="6147" width="8.81640625" style="213" customWidth="1"/>
    <col min="6148" max="6149" width="7.81640625" style="213" bestFit="1" customWidth="1"/>
    <col min="6150" max="6150" width="8.81640625" style="213" customWidth="1"/>
    <col min="6151" max="6151" width="7.54296875" style="213" bestFit="1" customWidth="1"/>
    <col min="6152" max="6152" width="7.54296875" style="213" customWidth="1"/>
    <col min="6153" max="6153" width="9.81640625" style="213" bestFit="1" customWidth="1"/>
    <col min="6154" max="6154" width="7.81640625" style="213" bestFit="1" customWidth="1"/>
    <col min="6155" max="6156" width="7" style="213" bestFit="1" customWidth="1"/>
    <col min="6157" max="6157" width="7.1796875" style="213" bestFit="1" customWidth="1"/>
    <col min="6158" max="6158" width="8.54296875" style="213" bestFit="1" customWidth="1"/>
    <col min="6159" max="6159" width="7" style="213" bestFit="1" customWidth="1"/>
    <col min="6160" max="6160" width="7.81640625" style="213" bestFit="1" customWidth="1"/>
    <col min="6161" max="6161" width="10.1796875" style="213" bestFit="1" customWidth="1"/>
    <col min="6162" max="6162" width="9.26953125" style="213" customWidth="1"/>
    <col min="6163" max="6163" width="10.54296875" style="213" bestFit="1" customWidth="1"/>
    <col min="6164" max="6164" width="9.81640625" style="213" bestFit="1" customWidth="1"/>
    <col min="6165" max="6165" width="7.7265625" style="213" customWidth="1"/>
    <col min="6166" max="6166" width="10.1796875" style="213" customWidth="1"/>
    <col min="6167" max="6167" width="8.7265625" style="213"/>
    <col min="6168" max="6168" width="12.08984375" style="213" bestFit="1" customWidth="1"/>
    <col min="6169" max="6400" width="8.7265625" style="213"/>
    <col min="6401" max="6401" width="21.26953125" style="213" customWidth="1"/>
    <col min="6402" max="6403" width="8.81640625" style="213" customWidth="1"/>
    <col min="6404" max="6405" width="7.81640625" style="213" bestFit="1" customWidth="1"/>
    <col min="6406" max="6406" width="8.81640625" style="213" customWidth="1"/>
    <col min="6407" max="6407" width="7.54296875" style="213" bestFit="1" customWidth="1"/>
    <col min="6408" max="6408" width="7.54296875" style="213" customWidth="1"/>
    <col min="6409" max="6409" width="9.81640625" style="213" bestFit="1" customWidth="1"/>
    <col min="6410" max="6410" width="7.81640625" style="213" bestFit="1" customWidth="1"/>
    <col min="6411" max="6412" width="7" style="213" bestFit="1" customWidth="1"/>
    <col min="6413" max="6413" width="7.1796875" style="213" bestFit="1" customWidth="1"/>
    <col min="6414" max="6414" width="8.54296875" style="213" bestFit="1" customWidth="1"/>
    <col min="6415" max="6415" width="7" style="213" bestFit="1" customWidth="1"/>
    <col min="6416" max="6416" width="7.81640625" style="213" bestFit="1" customWidth="1"/>
    <col min="6417" max="6417" width="10.1796875" style="213" bestFit="1" customWidth="1"/>
    <col min="6418" max="6418" width="9.26953125" style="213" customWidth="1"/>
    <col min="6419" max="6419" width="10.54296875" style="213" bestFit="1" customWidth="1"/>
    <col min="6420" max="6420" width="9.81640625" style="213" bestFit="1" customWidth="1"/>
    <col min="6421" max="6421" width="7.7265625" style="213" customWidth="1"/>
    <col min="6422" max="6422" width="10.1796875" style="213" customWidth="1"/>
    <col min="6423" max="6423" width="8.7265625" style="213"/>
    <col min="6424" max="6424" width="12.08984375" style="213" bestFit="1" customWidth="1"/>
    <col min="6425" max="6656" width="8.7265625" style="213"/>
    <col min="6657" max="6657" width="21.26953125" style="213" customWidth="1"/>
    <col min="6658" max="6659" width="8.81640625" style="213" customWidth="1"/>
    <col min="6660" max="6661" width="7.81640625" style="213" bestFit="1" customWidth="1"/>
    <col min="6662" max="6662" width="8.81640625" style="213" customWidth="1"/>
    <col min="6663" max="6663" width="7.54296875" style="213" bestFit="1" customWidth="1"/>
    <col min="6664" max="6664" width="7.54296875" style="213" customWidth="1"/>
    <col min="6665" max="6665" width="9.81640625" style="213" bestFit="1" customWidth="1"/>
    <col min="6666" max="6666" width="7.81640625" style="213" bestFit="1" customWidth="1"/>
    <col min="6667" max="6668" width="7" style="213" bestFit="1" customWidth="1"/>
    <col min="6669" max="6669" width="7.1796875" style="213" bestFit="1" customWidth="1"/>
    <col min="6670" max="6670" width="8.54296875" style="213" bestFit="1" customWidth="1"/>
    <col min="6671" max="6671" width="7" style="213" bestFit="1" customWidth="1"/>
    <col min="6672" max="6672" width="7.81640625" style="213" bestFit="1" customWidth="1"/>
    <col min="6673" max="6673" width="10.1796875" style="213" bestFit="1" customWidth="1"/>
    <col min="6674" max="6674" width="9.26953125" style="213" customWidth="1"/>
    <col min="6675" max="6675" width="10.54296875" style="213" bestFit="1" customWidth="1"/>
    <col min="6676" max="6676" width="9.81640625" style="213" bestFit="1" customWidth="1"/>
    <col min="6677" max="6677" width="7.7265625" style="213" customWidth="1"/>
    <col min="6678" max="6678" width="10.1796875" style="213" customWidth="1"/>
    <col min="6679" max="6679" width="8.7265625" style="213"/>
    <col min="6680" max="6680" width="12.08984375" style="213" bestFit="1" customWidth="1"/>
    <col min="6681" max="6912" width="8.7265625" style="213"/>
    <col min="6913" max="6913" width="21.26953125" style="213" customWidth="1"/>
    <col min="6914" max="6915" width="8.81640625" style="213" customWidth="1"/>
    <col min="6916" max="6917" width="7.81640625" style="213" bestFit="1" customWidth="1"/>
    <col min="6918" max="6918" width="8.81640625" style="213" customWidth="1"/>
    <col min="6919" max="6919" width="7.54296875" style="213" bestFit="1" customWidth="1"/>
    <col min="6920" max="6920" width="7.54296875" style="213" customWidth="1"/>
    <col min="6921" max="6921" width="9.81640625" style="213" bestFit="1" customWidth="1"/>
    <col min="6922" max="6922" width="7.81640625" style="213" bestFit="1" customWidth="1"/>
    <col min="6923" max="6924" width="7" style="213" bestFit="1" customWidth="1"/>
    <col min="6925" max="6925" width="7.1796875" style="213" bestFit="1" customWidth="1"/>
    <col min="6926" max="6926" width="8.54296875" style="213" bestFit="1" customWidth="1"/>
    <col min="6927" max="6927" width="7" style="213" bestFit="1" customWidth="1"/>
    <col min="6928" max="6928" width="7.81640625" style="213" bestFit="1" customWidth="1"/>
    <col min="6929" max="6929" width="10.1796875" style="213" bestFit="1" customWidth="1"/>
    <col min="6930" max="6930" width="9.26953125" style="213" customWidth="1"/>
    <col min="6931" max="6931" width="10.54296875" style="213" bestFit="1" customWidth="1"/>
    <col min="6932" max="6932" width="9.81640625" style="213" bestFit="1" customWidth="1"/>
    <col min="6933" max="6933" width="7.7265625" style="213" customWidth="1"/>
    <col min="6934" max="6934" width="10.1796875" style="213" customWidth="1"/>
    <col min="6935" max="6935" width="8.7265625" style="213"/>
    <col min="6936" max="6936" width="12.08984375" style="213" bestFit="1" customWidth="1"/>
    <col min="6937" max="7168" width="8.7265625" style="213"/>
    <col min="7169" max="7169" width="21.26953125" style="213" customWidth="1"/>
    <col min="7170" max="7171" width="8.81640625" style="213" customWidth="1"/>
    <col min="7172" max="7173" width="7.81640625" style="213" bestFit="1" customWidth="1"/>
    <col min="7174" max="7174" width="8.81640625" style="213" customWidth="1"/>
    <col min="7175" max="7175" width="7.54296875" style="213" bestFit="1" customWidth="1"/>
    <col min="7176" max="7176" width="7.54296875" style="213" customWidth="1"/>
    <col min="7177" max="7177" width="9.81640625" style="213" bestFit="1" customWidth="1"/>
    <col min="7178" max="7178" width="7.81640625" style="213" bestFit="1" customWidth="1"/>
    <col min="7179" max="7180" width="7" style="213" bestFit="1" customWidth="1"/>
    <col min="7181" max="7181" width="7.1796875" style="213" bestFit="1" customWidth="1"/>
    <col min="7182" max="7182" width="8.54296875" style="213" bestFit="1" customWidth="1"/>
    <col min="7183" max="7183" width="7" style="213" bestFit="1" customWidth="1"/>
    <col min="7184" max="7184" width="7.81640625" style="213" bestFit="1" customWidth="1"/>
    <col min="7185" max="7185" width="10.1796875" style="213" bestFit="1" customWidth="1"/>
    <col min="7186" max="7186" width="9.26953125" style="213" customWidth="1"/>
    <col min="7187" max="7187" width="10.54296875" style="213" bestFit="1" customWidth="1"/>
    <col min="7188" max="7188" width="9.81640625" style="213" bestFit="1" customWidth="1"/>
    <col min="7189" max="7189" width="7.7265625" style="213" customWidth="1"/>
    <col min="7190" max="7190" width="10.1796875" style="213" customWidth="1"/>
    <col min="7191" max="7191" width="8.7265625" style="213"/>
    <col min="7192" max="7192" width="12.08984375" style="213" bestFit="1" customWidth="1"/>
    <col min="7193" max="7424" width="8.7265625" style="213"/>
    <col min="7425" max="7425" width="21.26953125" style="213" customWidth="1"/>
    <col min="7426" max="7427" width="8.81640625" style="213" customWidth="1"/>
    <col min="7428" max="7429" width="7.81640625" style="213" bestFit="1" customWidth="1"/>
    <col min="7430" max="7430" width="8.81640625" style="213" customWidth="1"/>
    <col min="7431" max="7431" width="7.54296875" style="213" bestFit="1" customWidth="1"/>
    <col min="7432" max="7432" width="7.54296875" style="213" customWidth="1"/>
    <col min="7433" max="7433" width="9.81640625" style="213" bestFit="1" customWidth="1"/>
    <col min="7434" max="7434" width="7.81640625" style="213" bestFit="1" customWidth="1"/>
    <col min="7435" max="7436" width="7" style="213" bestFit="1" customWidth="1"/>
    <col min="7437" max="7437" width="7.1796875" style="213" bestFit="1" customWidth="1"/>
    <col min="7438" max="7438" width="8.54296875" style="213" bestFit="1" customWidth="1"/>
    <col min="7439" max="7439" width="7" style="213" bestFit="1" customWidth="1"/>
    <col min="7440" max="7440" width="7.81640625" style="213" bestFit="1" customWidth="1"/>
    <col min="7441" max="7441" width="10.1796875" style="213" bestFit="1" customWidth="1"/>
    <col min="7442" max="7442" width="9.26953125" style="213" customWidth="1"/>
    <col min="7443" max="7443" width="10.54296875" style="213" bestFit="1" customWidth="1"/>
    <col min="7444" max="7444" width="9.81640625" style="213" bestFit="1" customWidth="1"/>
    <col min="7445" max="7445" width="7.7265625" style="213" customWidth="1"/>
    <col min="7446" max="7446" width="10.1796875" style="213" customWidth="1"/>
    <col min="7447" max="7447" width="8.7265625" style="213"/>
    <col min="7448" max="7448" width="12.08984375" style="213" bestFit="1" customWidth="1"/>
    <col min="7449" max="7680" width="8.7265625" style="213"/>
    <col min="7681" max="7681" width="21.26953125" style="213" customWidth="1"/>
    <col min="7682" max="7683" width="8.81640625" style="213" customWidth="1"/>
    <col min="7684" max="7685" width="7.81640625" style="213" bestFit="1" customWidth="1"/>
    <col min="7686" max="7686" width="8.81640625" style="213" customWidth="1"/>
    <col min="7687" max="7687" width="7.54296875" style="213" bestFit="1" customWidth="1"/>
    <col min="7688" max="7688" width="7.54296875" style="213" customWidth="1"/>
    <col min="7689" max="7689" width="9.81640625" style="213" bestFit="1" customWidth="1"/>
    <col min="7690" max="7690" width="7.81640625" style="213" bestFit="1" customWidth="1"/>
    <col min="7691" max="7692" width="7" style="213" bestFit="1" customWidth="1"/>
    <col min="7693" max="7693" width="7.1796875" style="213" bestFit="1" customWidth="1"/>
    <col min="7694" max="7694" width="8.54296875" style="213" bestFit="1" customWidth="1"/>
    <col min="7695" max="7695" width="7" style="213" bestFit="1" customWidth="1"/>
    <col min="7696" max="7696" width="7.81640625" style="213" bestFit="1" customWidth="1"/>
    <col min="7697" max="7697" width="10.1796875" style="213" bestFit="1" customWidth="1"/>
    <col min="7698" max="7698" width="9.26953125" style="213" customWidth="1"/>
    <col min="7699" max="7699" width="10.54296875" style="213" bestFit="1" customWidth="1"/>
    <col min="7700" max="7700" width="9.81640625" style="213" bestFit="1" customWidth="1"/>
    <col min="7701" max="7701" width="7.7265625" style="213" customWidth="1"/>
    <col min="7702" max="7702" width="10.1796875" style="213" customWidth="1"/>
    <col min="7703" max="7703" width="8.7265625" style="213"/>
    <col min="7704" max="7704" width="12.08984375" style="213" bestFit="1" customWidth="1"/>
    <col min="7705" max="7936" width="8.7265625" style="213"/>
    <col min="7937" max="7937" width="21.26953125" style="213" customWidth="1"/>
    <col min="7938" max="7939" width="8.81640625" style="213" customWidth="1"/>
    <col min="7940" max="7941" width="7.81640625" style="213" bestFit="1" customWidth="1"/>
    <col min="7942" max="7942" width="8.81640625" style="213" customWidth="1"/>
    <col min="7943" max="7943" width="7.54296875" style="213" bestFit="1" customWidth="1"/>
    <col min="7944" max="7944" width="7.54296875" style="213" customWidth="1"/>
    <col min="7945" max="7945" width="9.81640625" style="213" bestFit="1" customWidth="1"/>
    <col min="7946" max="7946" width="7.81640625" style="213" bestFit="1" customWidth="1"/>
    <col min="7947" max="7948" width="7" style="213" bestFit="1" customWidth="1"/>
    <col min="7949" max="7949" width="7.1796875" style="213" bestFit="1" customWidth="1"/>
    <col min="7950" max="7950" width="8.54296875" style="213" bestFit="1" customWidth="1"/>
    <col min="7951" max="7951" width="7" style="213" bestFit="1" customWidth="1"/>
    <col min="7952" max="7952" width="7.81640625" style="213" bestFit="1" customWidth="1"/>
    <col min="7953" max="7953" width="10.1796875" style="213" bestFit="1" customWidth="1"/>
    <col min="7954" max="7954" width="9.26953125" style="213" customWidth="1"/>
    <col min="7955" max="7955" width="10.54296875" style="213" bestFit="1" customWidth="1"/>
    <col min="7956" max="7956" width="9.81640625" style="213" bestFit="1" customWidth="1"/>
    <col min="7957" max="7957" width="7.7265625" style="213" customWidth="1"/>
    <col min="7958" max="7958" width="10.1796875" style="213" customWidth="1"/>
    <col min="7959" max="7959" width="8.7265625" style="213"/>
    <col min="7960" max="7960" width="12.08984375" style="213" bestFit="1" customWidth="1"/>
    <col min="7961" max="8192" width="8.7265625" style="213"/>
    <col min="8193" max="8193" width="21.26953125" style="213" customWidth="1"/>
    <col min="8194" max="8195" width="8.81640625" style="213" customWidth="1"/>
    <col min="8196" max="8197" width="7.81640625" style="213" bestFit="1" customWidth="1"/>
    <col min="8198" max="8198" width="8.81640625" style="213" customWidth="1"/>
    <col min="8199" max="8199" width="7.54296875" style="213" bestFit="1" customWidth="1"/>
    <col min="8200" max="8200" width="7.54296875" style="213" customWidth="1"/>
    <col min="8201" max="8201" width="9.81640625" style="213" bestFit="1" customWidth="1"/>
    <col min="8202" max="8202" width="7.81640625" style="213" bestFit="1" customWidth="1"/>
    <col min="8203" max="8204" width="7" style="213" bestFit="1" customWidth="1"/>
    <col min="8205" max="8205" width="7.1796875" style="213" bestFit="1" customWidth="1"/>
    <col min="8206" max="8206" width="8.54296875" style="213" bestFit="1" customWidth="1"/>
    <col min="8207" max="8207" width="7" style="213" bestFit="1" customWidth="1"/>
    <col min="8208" max="8208" width="7.81640625" style="213" bestFit="1" customWidth="1"/>
    <col min="8209" max="8209" width="10.1796875" style="213" bestFit="1" customWidth="1"/>
    <col min="8210" max="8210" width="9.26953125" style="213" customWidth="1"/>
    <col min="8211" max="8211" width="10.54296875" style="213" bestFit="1" customWidth="1"/>
    <col min="8212" max="8212" width="9.81640625" style="213" bestFit="1" customWidth="1"/>
    <col min="8213" max="8213" width="7.7265625" style="213" customWidth="1"/>
    <col min="8214" max="8214" width="10.1796875" style="213" customWidth="1"/>
    <col min="8215" max="8215" width="8.7265625" style="213"/>
    <col min="8216" max="8216" width="12.08984375" style="213" bestFit="1" customWidth="1"/>
    <col min="8217" max="8448" width="8.7265625" style="213"/>
    <col min="8449" max="8449" width="21.26953125" style="213" customWidth="1"/>
    <col min="8450" max="8451" width="8.81640625" style="213" customWidth="1"/>
    <col min="8452" max="8453" width="7.81640625" style="213" bestFit="1" customWidth="1"/>
    <col min="8454" max="8454" width="8.81640625" style="213" customWidth="1"/>
    <col min="8455" max="8455" width="7.54296875" style="213" bestFit="1" customWidth="1"/>
    <col min="8456" max="8456" width="7.54296875" style="213" customWidth="1"/>
    <col min="8457" max="8457" width="9.81640625" style="213" bestFit="1" customWidth="1"/>
    <col min="8458" max="8458" width="7.81640625" style="213" bestFit="1" customWidth="1"/>
    <col min="8459" max="8460" width="7" style="213" bestFit="1" customWidth="1"/>
    <col min="8461" max="8461" width="7.1796875" style="213" bestFit="1" customWidth="1"/>
    <col min="8462" max="8462" width="8.54296875" style="213" bestFit="1" customWidth="1"/>
    <col min="8463" max="8463" width="7" style="213" bestFit="1" customWidth="1"/>
    <col min="8464" max="8464" width="7.81640625" style="213" bestFit="1" customWidth="1"/>
    <col min="8465" max="8465" width="10.1796875" style="213" bestFit="1" customWidth="1"/>
    <col min="8466" max="8466" width="9.26953125" style="213" customWidth="1"/>
    <col min="8467" max="8467" width="10.54296875" style="213" bestFit="1" customWidth="1"/>
    <col min="8468" max="8468" width="9.81640625" style="213" bestFit="1" customWidth="1"/>
    <col min="8469" max="8469" width="7.7265625" style="213" customWidth="1"/>
    <col min="8470" max="8470" width="10.1796875" style="213" customWidth="1"/>
    <col min="8471" max="8471" width="8.7265625" style="213"/>
    <col min="8472" max="8472" width="12.08984375" style="213" bestFit="1" customWidth="1"/>
    <col min="8473" max="8704" width="8.7265625" style="213"/>
    <col min="8705" max="8705" width="21.26953125" style="213" customWidth="1"/>
    <col min="8706" max="8707" width="8.81640625" style="213" customWidth="1"/>
    <col min="8708" max="8709" width="7.81640625" style="213" bestFit="1" customWidth="1"/>
    <col min="8710" max="8710" width="8.81640625" style="213" customWidth="1"/>
    <col min="8711" max="8711" width="7.54296875" style="213" bestFit="1" customWidth="1"/>
    <col min="8712" max="8712" width="7.54296875" style="213" customWidth="1"/>
    <col min="8713" max="8713" width="9.81640625" style="213" bestFit="1" customWidth="1"/>
    <col min="8714" max="8714" width="7.81640625" style="213" bestFit="1" customWidth="1"/>
    <col min="8715" max="8716" width="7" style="213" bestFit="1" customWidth="1"/>
    <col min="8717" max="8717" width="7.1796875" style="213" bestFit="1" customWidth="1"/>
    <col min="8718" max="8718" width="8.54296875" style="213" bestFit="1" customWidth="1"/>
    <col min="8719" max="8719" width="7" style="213" bestFit="1" customWidth="1"/>
    <col min="8720" max="8720" width="7.81640625" style="213" bestFit="1" customWidth="1"/>
    <col min="8721" max="8721" width="10.1796875" style="213" bestFit="1" customWidth="1"/>
    <col min="8722" max="8722" width="9.26953125" style="213" customWidth="1"/>
    <col min="8723" max="8723" width="10.54296875" style="213" bestFit="1" customWidth="1"/>
    <col min="8724" max="8724" width="9.81640625" style="213" bestFit="1" customWidth="1"/>
    <col min="8725" max="8725" width="7.7265625" style="213" customWidth="1"/>
    <col min="8726" max="8726" width="10.1796875" style="213" customWidth="1"/>
    <col min="8727" max="8727" width="8.7265625" style="213"/>
    <col min="8728" max="8728" width="12.08984375" style="213" bestFit="1" customWidth="1"/>
    <col min="8729" max="8960" width="8.7265625" style="213"/>
    <col min="8961" max="8961" width="21.26953125" style="213" customWidth="1"/>
    <col min="8962" max="8963" width="8.81640625" style="213" customWidth="1"/>
    <col min="8964" max="8965" width="7.81640625" style="213" bestFit="1" customWidth="1"/>
    <col min="8966" max="8966" width="8.81640625" style="213" customWidth="1"/>
    <col min="8967" max="8967" width="7.54296875" style="213" bestFit="1" customWidth="1"/>
    <col min="8968" max="8968" width="7.54296875" style="213" customWidth="1"/>
    <col min="8969" max="8969" width="9.81640625" style="213" bestFit="1" customWidth="1"/>
    <col min="8970" max="8970" width="7.81640625" style="213" bestFit="1" customWidth="1"/>
    <col min="8971" max="8972" width="7" style="213" bestFit="1" customWidth="1"/>
    <col min="8973" max="8973" width="7.1796875" style="213" bestFit="1" customWidth="1"/>
    <col min="8974" max="8974" width="8.54296875" style="213" bestFit="1" customWidth="1"/>
    <col min="8975" max="8975" width="7" style="213" bestFit="1" customWidth="1"/>
    <col min="8976" max="8976" width="7.81640625" style="213" bestFit="1" customWidth="1"/>
    <col min="8977" max="8977" width="10.1796875" style="213" bestFit="1" customWidth="1"/>
    <col min="8978" max="8978" width="9.26953125" style="213" customWidth="1"/>
    <col min="8979" max="8979" width="10.54296875" style="213" bestFit="1" customWidth="1"/>
    <col min="8980" max="8980" width="9.81640625" style="213" bestFit="1" customWidth="1"/>
    <col min="8981" max="8981" width="7.7265625" style="213" customWidth="1"/>
    <col min="8982" max="8982" width="10.1796875" style="213" customWidth="1"/>
    <col min="8983" max="8983" width="8.7265625" style="213"/>
    <col min="8984" max="8984" width="12.08984375" style="213" bestFit="1" customWidth="1"/>
    <col min="8985" max="9216" width="8.7265625" style="213"/>
    <col min="9217" max="9217" width="21.26953125" style="213" customWidth="1"/>
    <col min="9218" max="9219" width="8.81640625" style="213" customWidth="1"/>
    <col min="9220" max="9221" width="7.81640625" style="213" bestFit="1" customWidth="1"/>
    <col min="9222" max="9222" width="8.81640625" style="213" customWidth="1"/>
    <col min="9223" max="9223" width="7.54296875" style="213" bestFit="1" customWidth="1"/>
    <col min="9224" max="9224" width="7.54296875" style="213" customWidth="1"/>
    <col min="9225" max="9225" width="9.81640625" style="213" bestFit="1" customWidth="1"/>
    <col min="9226" max="9226" width="7.81640625" style="213" bestFit="1" customWidth="1"/>
    <col min="9227" max="9228" width="7" style="213" bestFit="1" customWidth="1"/>
    <col min="9229" max="9229" width="7.1796875" style="213" bestFit="1" customWidth="1"/>
    <col min="9230" max="9230" width="8.54296875" style="213" bestFit="1" customWidth="1"/>
    <col min="9231" max="9231" width="7" style="213" bestFit="1" customWidth="1"/>
    <col min="9232" max="9232" width="7.81640625" style="213" bestFit="1" customWidth="1"/>
    <col min="9233" max="9233" width="10.1796875" style="213" bestFit="1" customWidth="1"/>
    <col min="9234" max="9234" width="9.26953125" style="213" customWidth="1"/>
    <col min="9235" max="9235" width="10.54296875" style="213" bestFit="1" customWidth="1"/>
    <col min="9236" max="9236" width="9.81640625" style="213" bestFit="1" customWidth="1"/>
    <col min="9237" max="9237" width="7.7265625" style="213" customWidth="1"/>
    <col min="9238" max="9238" width="10.1796875" style="213" customWidth="1"/>
    <col min="9239" max="9239" width="8.7265625" style="213"/>
    <col min="9240" max="9240" width="12.08984375" style="213" bestFit="1" customWidth="1"/>
    <col min="9241" max="9472" width="8.7265625" style="213"/>
    <col min="9473" max="9473" width="21.26953125" style="213" customWidth="1"/>
    <col min="9474" max="9475" width="8.81640625" style="213" customWidth="1"/>
    <col min="9476" max="9477" width="7.81640625" style="213" bestFit="1" customWidth="1"/>
    <col min="9478" max="9478" width="8.81640625" style="213" customWidth="1"/>
    <col min="9479" max="9479" width="7.54296875" style="213" bestFit="1" customWidth="1"/>
    <col min="9480" max="9480" width="7.54296875" style="213" customWidth="1"/>
    <col min="9481" max="9481" width="9.81640625" style="213" bestFit="1" customWidth="1"/>
    <col min="9482" max="9482" width="7.81640625" style="213" bestFit="1" customWidth="1"/>
    <col min="9483" max="9484" width="7" style="213" bestFit="1" customWidth="1"/>
    <col min="9485" max="9485" width="7.1796875" style="213" bestFit="1" customWidth="1"/>
    <col min="9486" max="9486" width="8.54296875" style="213" bestFit="1" customWidth="1"/>
    <col min="9487" max="9487" width="7" style="213" bestFit="1" customWidth="1"/>
    <col min="9488" max="9488" width="7.81640625" style="213" bestFit="1" customWidth="1"/>
    <col min="9489" max="9489" width="10.1796875" style="213" bestFit="1" customWidth="1"/>
    <col min="9490" max="9490" width="9.26953125" style="213" customWidth="1"/>
    <col min="9491" max="9491" width="10.54296875" style="213" bestFit="1" customWidth="1"/>
    <col min="9492" max="9492" width="9.81640625" style="213" bestFit="1" customWidth="1"/>
    <col min="9493" max="9493" width="7.7265625" style="213" customWidth="1"/>
    <col min="9494" max="9494" width="10.1796875" style="213" customWidth="1"/>
    <col min="9495" max="9495" width="8.7265625" style="213"/>
    <col min="9496" max="9496" width="12.08984375" style="213" bestFit="1" customWidth="1"/>
    <col min="9497" max="9728" width="8.7265625" style="213"/>
    <col min="9729" max="9729" width="21.26953125" style="213" customWidth="1"/>
    <col min="9730" max="9731" width="8.81640625" style="213" customWidth="1"/>
    <col min="9732" max="9733" width="7.81640625" style="213" bestFit="1" customWidth="1"/>
    <col min="9734" max="9734" width="8.81640625" style="213" customWidth="1"/>
    <col min="9735" max="9735" width="7.54296875" style="213" bestFit="1" customWidth="1"/>
    <col min="9736" max="9736" width="7.54296875" style="213" customWidth="1"/>
    <col min="9737" max="9737" width="9.81640625" style="213" bestFit="1" customWidth="1"/>
    <col min="9738" max="9738" width="7.81640625" style="213" bestFit="1" customWidth="1"/>
    <col min="9739" max="9740" width="7" style="213" bestFit="1" customWidth="1"/>
    <col min="9741" max="9741" width="7.1796875" style="213" bestFit="1" customWidth="1"/>
    <col min="9742" max="9742" width="8.54296875" style="213" bestFit="1" customWidth="1"/>
    <col min="9743" max="9743" width="7" style="213" bestFit="1" customWidth="1"/>
    <col min="9744" max="9744" width="7.81640625" style="213" bestFit="1" customWidth="1"/>
    <col min="9745" max="9745" width="10.1796875" style="213" bestFit="1" customWidth="1"/>
    <col min="9746" max="9746" width="9.26953125" style="213" customWidth="1"/>
    <col min="9747" max="9747" width="10.54296875" style="213" bestFit="1" customWidth="1"/>
    <col min="9748" max="9748" width="9.81640625" style="213" bestFit="1" customWidth="1"/>
    <col min="9749" max="9749" width="7.7265625" style="213" customWidth="1"/>
    <col min="9750" max="9750" width="10.1796875" style="213" customWidth="1"/>
    <col min="9751" max="9751" width="8.7265625" style="213"/>
    <col min="9752" max="9752" width="12.08984375" style="213" bestFit="1" customWidth="1"/>
    <col min="9753" max="9984" width="8.7265625" style="213"/>
    <col min="9985" max="9985" width="21.26953125" style="213" customWidth="1"/>
    <col min="9986" max="9987" width="8.81640625" style="213" customWidth="1"/>
    <col min="9988" max="9989" width="7.81640625" style="213" bestFit="1" customWidth="1"/>
    <col min="9990" max="9990" width="8.81640625" style="213" customWidth="1"/>
    <col min="9991" max="9991" width="7.54296875" style="213" bestFit="1" customWidth="1"/>
    <col min="9992" max="9992" width="7.54296875" style="213" customWidth="1"/>
    <col min="9993" max="9993" width="9.81640625" style="213" bestFit="1" customWidth="1"/>
    <col min="9994" max="9994" width="7.81640625" style="213" bestFit="1" customWidth="1"/>
    <col min="9995" max="9996" width="7" style="213" bestFit="1" customWidth="1"/>
    <col min="9997" max="9997" width="7.1796875" style="213" bestFit="1" customWidth="1"/>
    <col min="9998" max="9998" width="8.54296875" style="213" bestFit="1" customWidth="1"/>
    <col min="9999" max="9999" width="7" style="213" bestFit="1" customWidth="1"/>
    <col min="10000" max="10000" width="7.81640625" style="213" bestFit="1" customWidth="1"/>
    <col min="10001" max="10001" width="10.1796875" style="213" bestFit="1" customWidth="1"/>
    <col min="10002" max="10002" width="9.26953125" style="213" customWidth="1"/>
    <col min="10003" max="10003" width="10.54296875" style="213" bestFit="1" customWidth="1"/>
    <col min="10004" max="10004" width="9.81640625" style="213" bestFit="1" customWidth="1"/>
    <col min="10005" max="10005" width="7.7265625" style="213" customWidth="1"/>
    <col min="10006" max="10006" width="10.1796875" style="213" customWidth="1"/>
    <col min="10007" max="10007" width="8.7265625" style="213"/>
    <col min="10008" max="10008" width="12.08984375" style="213" bestFit="1" customWidth="1"/>
    <col min="10009" max="10240" width="8.7265625" style="213"/>
    <col min="10241" max="10241" width="21.26953125" style="213" customWidth="1"/>
    <col min="10242" max="10243" width="8.81640625" style="213" customWidth="1"/>
    <col min="10244" max="10245" width="7.81640625" style="213" bestFit="1" customWidth="1"/>
    <col min="10246" max="10246" width="8.81640625" style="213" customWidth="1"/>
    <col min="10247" max="10247" width="7.54296875" style="213" bestFit="1" customWidth="1"/>
    <col min="10248" max="10248" width="7.54296875" style="213" customWidth="1"/>
    <col min="10249" max="10249" width="9.81640625" style="213" bestFit="1" customWidth="1"/>
    <col min="10250" max="10250" width="7.81640625" style="213" bestFit="1" customWidth="1"/>
    <col min="10251" max="10252" width="7" style="213" bestFit="1" customWidth="1"/>
    <col min="10253" max="10253" width="7.1796875" style="213" bestFit="1" customWidth="1"/>
    <col min="10254" max="10254" width="8.54296875" style="213" bestFit="1" customWidth="1"/>
    <col min="10255" max="10255" width="7" style="213" bestFit="1" customWidth="1"/>
    <col min="10256" max="10256" width="7.81640625" style="213" bestFit="1" customWidth="1"/>
    <col min="10257" max="10257" width="10.1796875" style="213" bestFit="1" customWidth="1"/>
    <col min="10258" max="10258" width="9.26953125" style="213" customWidth="1"/>
    <col min="10259" max="10259" width="10.54296875" style="213" bestFit="1" customWidth="1"/>
    <col min="10260" max="10260" width="9.81640625" style="213" bestFit="1" customWidth="1"/>
    <col min="10261" max="10261" width="7.7265625" style="213" customWidth="1"/>
    <col min="10262" max="10262" width="10.1796875" style="213" customWidth="1"/>
    <col min="10263" max="10263" width="8.7265625" style="213"/>
    <col min="10264" max="10264" width="12.08984375" style="213" bestFit="1" customWidth="1"/>
    <col min="10265" max="10496" width="8.7265625" style="213"/>
    <col min="10497" max="10497" width="21.26953125" style="213" customWidth="1"/>
    <col min="10498" max="10499" width="8.81640625" style="213" customWidth="1"/>
    <col min="10500" max="10501" width="7.81640625" style="213" bestFit="1" customWidth="1"/>
    <col min="10502" max="10502" width="8.81640625" style="213" customWidth="1"/>
    <col min="10503" max="10503" width="7.54296875" style="213" bestFit="1" customWidth="1"/>
    <col min="10504" max="10504" width="7.54296875" style="213" customWidth="1"/>
    <col min="10505" max="10505" width="9.81640625" style="213" bestFit="1" customWidth="1"/>
    <col min="10506" max="10506" width="7.81640625" style="213" bestFit="1" customWidth="1"/>
    <col min="10507" max="10508" width="7" style="213" bestFit="1" customWidth="1"/>
    <col min="10509" max="10509" width="7.1796875" style="213" bestFit="1" customWidth="1"/>
    <col min="10510" max="10510" width="8.54296875" style="213" bestFit="1" customWidth="1"/>
    <col min="10511" max="10511" width="7" style="213" bestFit="1" customWidth="1"/>
    <col min="10512" max="10512" width="7.81640625" style="213" bestFit="1" customWidth="1"/>
    <col min="10513" max="10513" width="10.1796875" style="213" bestFit="1" customWidth="1"/>
    <col min="10514" max="10514" width="9.26953125" style="213" customWidth="1"/>
    <col min="10515" max="10515" width="10.54296875" style="213" bestFit="1" customWidth="1"/>
    <col min="10516" max="10516" width="9.81640625" style="213" bestFit="1" customWidth="1"/>
    <col min="10517" max="10517" width="7.7265625" style="213" customWidth="1"/>
    <col min="10518" max="10518" width="10.1796875" style="213" customWidth="1"/>
    <col min="10519" max="10519" width="8.7265625" style="213"/>
    <col min="10520" max="10520" width="12.08984375" style="213" bestFit="1" customWidth="1"/>
    <col min="10521" max="10752" width="8.7265625" style="213"/>
    <col min="10753" max="10753" width="21.26953125" style="213" customWidth="1"/>
    <col min="10754" max="10755" width="8.81640625" style="213" customWidth="1"/>
    <col min="10756" max="10757" width="7.81640625" style="213" bestFit="1" customWidth="1"/>
    <col min="10758" max="10758" width="8.81640625" style="213" customWidth="1"/>
    <col min="10759" max="10759" width="7.54296875" style="213" bestFit="1" customWidth="1"/>
    <col min="10760" max="10760" width="7.54296875" style="213" customWidth="1"/>
    <col min="10761" max="10761" width="9.81640625" style="213" bestFit="1" customWidth="1"/>
    <col min="10762" max="10762" width="7.81640625" style="213" bestFit="1" customWidth="1"/>
    <col min="10763" max="10764" width="7" style="213" bestFit="1" customWidth="1"/>
    <col min="10765" max="10765" width="7.1796875" style="213" bestFit="1" customWidth="1"/>
    <col min="10766" max="10766" width="8.54296875" style="213" bestFit="1" customWidth="1"/>
    <col min="10767" max="10767" width="7" style="213" bestFit="1" customWidth="1"/>
    <col min="10768" max="10768" width="7.81640625" style="213" bestFit="1" customWidth="1"/>
    <col min="10769" max="10769" width="10.1796875" style="213" bestFit="1" customWidth="1"/>
    <col min="10770" max="10770" width="9.26953125" style="213" customWidth="1"/>
    <col min="10771" max="10771" width="10.54296875" style="213" bestFit="1" customWidth="1"/>
    <col min="10772" max="10772" width="9.81640625" style="213" bestFit="1" customWidth="1"/>
    <col min="10773" max="10773" width="7.7265625" style="213" customWidth="1"/>
    <col min="10774" max="10774" width="10.1796875" style="213" customWidth="1"/>
    <col min="10775" max="10775" width="8.7265625" style="213"/>
    <col min="10776" max="10776" width="12.08984375" style="213" bestFit="1" customWidth="1"/>
    <col min="10777" max="11008" width="8.7265625" style="213"/>
    <col min="11009" max="11009" width="21.26953125" style="213" customWidth="1"/>
    <col min="11010" max="11011" width="8.81640625" style="213" customWidth="1"/>
    <col min="11012" max="11013" width="7.81640625" style="213" bestFit="1" customWidth="1"/>
    <col min="11014" max="11014" width="8.81640625" style="213" customWidth="1"/>
    <col min="11015" max="11015" width="7.54296875" style="213" bestFit="1" customWidth="1"/>
    <col min="11016" max="11016" width="7.54296875" style="213" customWidth="1"/>
    <col min="11017" max="11017" width="9.81640625" style="213" bestFit="1" customWidth="1"/>
    <col min="11018" max="11018" width="7.81640625" style="213" bestFit="1" customWidth="1"/>
    <col min="11019" max="11020" width="7" style="213" bestFit="1" customWidth="1"/>
    <col min="11021" max="11021" width="7.1796875" style="213" bestFit="1" customWidth="1"/>
    <col min="11022" max="11022" width="8.54296875" style="213" bestFit="1" customWidth="1"/>
    <col min="11023" max="11023" width="7" style="213" bestFit="1" customWidth="1"/>
    <col min="11024" max="11024" width="7.81640625" style="213" bestFit="1" customWidth="1"/>
    <col min="11025" max="11025" width="10.1796875" style="213" bestFit="1" customWidth="1"/>
    <col min="11026" max="11026" width="9.26953125" style="213" customWidth="1"/>
    <col min="11027" max="11027" width="10.54296875" style="213" bestFit="1" customWidth="1"/>
    <col min="11028" max="11028" width="9.81640625" style="213" bestFit="1" customWidth="1"/>
    <col min="11029" max="11029" width="7.7265625" style="213" customWidth="1"/>
    <col min="11030" max="11030" width="10.1796875" style="213" customWidth="1"/>
    <col min="11031" max="11031" width="8.7265625" style="213"/>
    <col min="11032" max="11032" width="12.08984375" style="213" bestFit="1" customWidth="1"/>
    <col min="11033" max="11264" width="8.7265625" style="213"/>
    <col min="11265" max="11265" width="21.26953125" style="213" customWidth="1"/>
    <col min="11266" max="11267" width="8.81640625" style="213" customWidth="1"/>
    <col min="11268" max="11269" width="7.81640625" style="213" bestFit="1" customWidth="1"/>
    <col min="11270" max="11270" width="8.81640625" style="213" customWidth="1"/>
    <col min="11271" max="11271" width="7.54296875" style="213" bestFit="1" customWidth="1"/>
    <col min="11272" max="11272" width="7.54296875" style="213" customWidth="1"/>
    <col min="11273" max="11273" width="9.81640625" style="213" bestFit="1" customWidth="1"/>
    <col min="11274" max="11274" width="7.81640625" style="213" bestFit="1" customWidth="1"/>
    <col min="11275" max="11276" width="7" style="213" bestFit="1" customWidth="1"/>
    <col min="11277" max="11277" width="7.1796875" style="213" bestFit="1" customWidth="1"/>
    <col min="11278" max="11278" width="8.54296875" style="213" bestFit="1" customWidth="1"/>
    <col min="11279" max="11279" width="7" style="213" bestFit="1" customWidth="1"/>
    <col min="11280" max="11280" width="7.81640625" style="213" bestFit="1" customWidth="1"/>
    <col min="11281" max="11281" width="10.1796875" style="213" bestFit="1" customWidth="1"/>
    <col min="11282" max="11282" width="9.26953125" style="213" customWidth="1"/>
    <col min="11283" max="11283" width="10.54296875" style="213" bestFit="1" customWidth="1"/>
    <col min="11284" max="11284" width="9.81640625" style="213" bestFit="1" customWidth="1"/>
    <col min="11285" max="11285" width="7.7265625" style="213" customWidth="1"/>
    <col min="11286" max="11286" width="10.1796875" style="213" customWidth="1"/>
    <col min="11287" max="11287" width="8.7265625" style="213"/>
    <col min="11288" max="11288" width="12.08984375" style="213" bestFit="1" customWidth="1"/>
    <col min="11289" max="11520" width="8.7265625" style="213"/>
    <col min="11521" max="11521" width="21.26953125" style="213" customWidth="1"/>
    <col min="11522" max="11523" width="8.81640625" style="213" customWidth="1"/>
    <col min="11524" max="11525" width="7.81640625" style="213" bestFit="1" customWidth="1"/>
    <col min="11526" max="11526" width="8.81640625" style="213" customWidth="1"/>
    <col min="11527" max="11527" width="7.54296875" style="213" bestFit="1" customWidth="1"/>
    <col min="11528" max="11528" width="7.54296875" style="213" customWidth="1"/>
    <col min="11529" max="11529" width="9.81640625" style="213" bestFit="1" customWidth="1"/>
    <col min="11530" max="11530" width="7.81640625" style="213" bestFit="1" customWidth="1"/>
    <col min="11531" max="11532" width="7" style="213" bestFit="1" customWidth="1"/>
    <col min="11533" max="11533" width="7.1796875" style="213" bestFit="1" customWidth="1"/>
    <col min="11534" max="11534" width="8.54296875" style="213" bestFit="1" customWidth="1"/>
    <col min="11535" max="11535" width="7" style="213" bestFit="1" customWidth="1"/>
    <col min="11536" max="11536" width="7.81640625" style="213" bestFit="1" customWidth="1"/>
    <col min="11537" max="11537" width="10.1796875" style="213" bestFit="1" customWidth="1"/>
    <col min="11538" max="11538" width="9.26953125" style="213" customWidth="1"/>
    <col min="11539" max="11539" width="10.54296875" style="213" bestFit="1" customWidth="1"/>
    <col min="11540" max="11540" width="9.81640625" style="213" bestFit="1" customWidth="1"/>
    <col min="11541" max="11541" width="7.7265625" style="213" customWidth="1"/>
    <col min="11542" max="11542" width="10.1796875" style="213" customWidth="1"/>
    <col min="11543" max="11543" width="8.7265625" style="213"/>
    <col min="11544" max="11544" width="12.08984375" style="213" bestFit="1" customWidth="1"/>
    <col min="11545" max="11776" width="8.7265625" style="213"/>
    <col min="11777" max="11777" width="21.26953125" style="213" customWidth="1"/>
    <col min="11778" max="11779" width="8.81640625" style="213" customWidth="1"/>
    <col min="11780" max="11781" width="7.81640625" style="213" bestFit="1" customWidth="1"/>
    <col min="11782" max="11782" width="8.81640625" style="213" customWidth="1"/>
    <col min="11783" max="11783" width="7.54296875" style="213" bestFit="1" customWidth="1"/>
    <col min="11784" max="11784" width="7.54296875" style="213" customWidth="1"/>
    <col min="11785" max="11785" width="9.81640625" style="213" bestFit="1" customWidth="1"/>
    <col min="11786" max="11786" width="7.81640625" style="213" bestFit="1" customWidth="1"/>
    <col min="11787" max="11788" width="7" style="213" bestFit="1" customWidth="1"/>
    <col min="11789" max="11789" width="7.1796875" style="213" bestFit="1" customWidth="1"/>
    <col min="11790" max="11790" width="8.54296875" style="213" bestFit="1" customWidth="1"/>
    <col min="11791" max="11791" width="7" style="213" bestFit="1" customWidth="1"/>
    <col min="11792" max="11792" width="7.81640625" style="213" bestFit="1" customWidth="1"/>
    <col min="11793" max="11793" width="10.1796875" style="213" bestFit="1" customWidth="1"/>
    <col min="11794" max="11794" width="9.26953125" style="213" customWidth="1"/>
    <col min="11795" max="11795" width="10.54296875" style="213" bestFit="1" customWidth="1"/>
    <col min="11796" max="11796" width="9.81640625" style="213" bestFit="1" customWidth="1"/>
    <col min="11797" max="11797" width="7.7265625" style="213" customWidth="1"/>
    <col min="11798" max="11798" width="10.1796875" style="213" customWidth="1"/>
    <col min="11799" max="11799" width="8.7265625" style="213"/>
    <col min="11800" max="11800" width="12.08984375" style="213" bestFit="1" customWidth="1"/>
    <col min="11801" max="12032" width="8.7265625" style="213"/>
    <col min="12033" max="12033" width="21.26953125" style="213" customWidth="1"/>
    <col min="12034" max="12035" width="8.81640625" style="213" customWidth="1"/>
    <col min="12036" max="12037" width="7.81640625" style="213" bestFit="1" customWidth="1"/>
    <col min="12038" max="12038" width="8.81640625" style="213" customWidth="1"/>
    <col min="12039" max="12039" width="7.54296875" style="213" bestFit="1" customWidth="1"/>
    <col min="12040" max="12040" width="7.54296875" style="213" customWidth="1"/>
    <col min="12041" max="12041" width="9.81640625" style="213" bestFit="1" customWidth="1"/>
    <col min="12042" max="12042" width="7.81640625" style="213" bestFit="1" customWidth="1"/>
    <col min="12043" max="12044" width="7" style="213" bestFit="1" customWidth="1"/>
    <col min="12045" max="12045" width="7.1796875" style="213" bestFit="1" customWidth="1"/>
    <col min="12046" max="12046" width="8.54296875" style="213" bestFit="1" customWidth="1"/>
    <col min="12047" max="12047" width="7" style="213" bestFit="1" customWidth="1"/>
    <col min="12048" max="12048" width="7.81640625" style="213" bestFit="1" customWidth="1"/>
    <col min="12049" max="12049" width="10.1796875" style="213" bestFit="1" customWidth="1"/>
    <col min="12050" max="12050" width="9.26953125" style="213" customWidth="1"/>
    <col min="12051" max="12051" width="10.54296875" style="213" bestFit="1" customWidth="1"/>
    <col min="12052" max="12052" width="9.81640625" style="213" bestFit="1" customWidth="1"/>
    <col min="12053" max="12053" width="7.7265625" style="213" customWidth="1"/>
    <col min="12054" max="12054" width="10.1796875" style="213" customWidth="1"/>
    <col min="12055" max="12055" width="8.7265625" style="213"/>
    <col min="12056" max="12056" width="12.08984375" style="213" bestFit="1" customWidth="1"/>
    <col min="12057" max="12288" width="8.7265625" style="213"/>
    <col min="12289" max="12289" width="21.26953125" style="213" customWidth="1"/>
    <col min="12290" max="12291" width="8.81640625" style="213" customWidth="1"/>
    <col min="12292" max="12293" width="7.81640625" style="213" bestFit="1" customWidth="1"/>
    <col min="12294" max="12294" width="8.81640625" style="213" customWidth="1"/>
    <col min="12295" max="12295" width="7.54296875" style="213" bestFit="1" customWidth="1"/>
    <col min="12296" max="12296" width="7.54296875" style="213" customWidth="1"/>
    <col min="12297" max="12297" width="9.81640625" style="213" bestFit="1" customWidth="1"/>
    <col min="12298" max="12298" width="7.81640625" style="213" bestFit="1" customWidth="1"/>
    <col min="12299" max="12300" width="7" style="213" bestFit="1" customWidth="1"/>
    <col min="12301" max="12301" width="7.1796875" style="213" bestFit="1" customWidth="1"/>
    <col min="12302" max="12302" width="8.54296875" style="213" bestFit="1" customWidth="1"/>
    <col min="12303" max="12303" width="7" style="213" bestFit="1" customWidth="1"/>
    <col min="12304" max="12304" width="7.81640625" style="213" bestFit="1" customWidth="1"/>
    <col min="12305" max="12305" width="10.1796875" style="213" bestFit="1" customWidth="1"/>
    <col min="12306" max="12306" width="9.26953125" style="213" customWidth="1"/>
    <col min="12307" max="12307" width="10.54296875" style="213" bestFit="1" customWidth="1"/>
    <col min="12308" max="12308" width="9.81640625" style="213" bestFit="1" customWidth="1"/>
    <col min="12309" max="12309" width="7.7265625" style="213" customWidth="1"/>
    <col min="12310" max="12310" width="10.1796875" style="213" customWidth="1"/>
    <col min="12311" max="12311" width="8.7265625" style="213"/>
    <col min="12312" max="12312" width="12.08984375" style="213" bestFit="1" customWidth="1"/>
    <col min="12313" max="12544" width="8.7265625" style="213"/>
    <col min="12545" max="12545" width="21.26953125" style="213" customWidth="1"/>
    <col min="12546" max="12547" width="8.81640625" style="213" customWidth="1"/>
    <col min="12548" max="12549" width="7.81640625" style="213" bestFit="1" customWidth="1"/>
    <col min="12550" max="12550" width="8.81640625" style="213" customWidth="1"/>
    <col min="12551" max="12551" width="7.54296875" style="213" bestFit="1" customWidth="1"/>
    <col min="12552" max="12552" width="7.54296875" style="213" customWidth="1"/>
    <col min="12553" max="12553" width="9.81640625" style="213" bestFit="1" customWidth="1"/>
    <col min="12554" max="12554" width="7.81640625" style="213" bestFit="1" customWidth="1"/>
    <col min="12555" max="12556" width="7" style="213" bestFit="1" customWidth="1"/>
    <col min="12557" max="12557" width="7.1796875" style="213" bestFit="1" customWidth="1"/>
    <col min="12558" max="12558" width="8.54296875" style="213" bestFit="1" customWidth="1"/>
    <col min="12559" max="12559" width="7" style="213" bestFit="1" customWidth="1"/>
    <col min="12560" max="12560" width="7.81640625" style="213" bestFit="1" customWidth="1"/>
    <col min="12561" max="12561" width="10.1796875" style="213" bestFit="1" customWidth="1"/>
    <col min="12562" max="12562" width="9.26953125" style="213" customWidth="1"/>
    <col min="12563" max="12563" width="10.54296875" style="213" bestFit="1" customWidth="1"/>
    <col min="12564" max="12564" width="9.81640625" style="213" bestFit="1" customWidth="1"/>
    <col min="12565" max="12565" width="7.7265625" style="213" customWidth="1"/>
    <col min="12566" max="12566" width="10.1796875" style="213" customWidth="1"/>
    <col min="12567" max="12567" width="8.7265625" style="213"/>
    <col min="12568" max="12568" width="12.08984375" style="213" bestFit="1" customWidth="1"/>
    <col min="12569" max="12800" width="8.7265625" style="213"/>
    <col min="12801" max="12801" width="21.26953125" style="213" customWidth="1"/>
    <col min="12802" max="12803" width="8.81640625" style="213" customWidth="1"/>
    <col min="12804" max="12805" width="7.81640625" style="213" bestFit="1" customWidth="1"/>
    <col min="12806" max="12806" width="8.81640625" style="213" customWidth="1"/>
    <col min="12807" max="12807" width="7.54296875" style="213" bestFit="1" customWidth="1"/>
    <col min="12808" max="12808" width="7.54296875" style="213" customWidth="1"/>
    <col min="12809" max="12809" width="9.81640625" style="213" bestFit="1" customWidth="1"/>
    <col min="12810" max="12810" width="7.81640625" style="213" bestFit="1" customWidth="1"/>
    <col min="12811" max="12812" width="7" style="213" bestFit="1" customWidth="1"/>
    <col min="12813" max="12813" width="7.1796875" style="213" bestFit="1" customWidth="1"/>
    <col min="12814" max="12814" width="8.54296875" style="213" bestFit="1" customWidth="1"/>
    <col min="12815" max="12815" width="7" style="213" bestFit="1" customWidth="1"/>
    <col min="12816" max="12816" width="7.81640625" style="213" bestFit="1" customWidth="1"/>
    <col min="12817" max="12817" width="10.1796875" style="213" bestFit="1" customWidth="1"/>
    <col min="12818" max="12818" width="9.26953125" style="213" customWidth="1"/>
    <col min="12819" max="12819" width="10.54296875" style="213" bestFit="1" customWidth="1"/>
    <col min="12820" max="12820" width="9.81640625" style="213" bestFit="1" customWidth="1"/>
    <col min="12821" max="12821" width="7.7265625" style="213" customWidth="1"/>
    <col min="12822" max="12822" width="10.1796875" style="213" customWidth="1"/>
    <col min="12823" max="12823" width="8.7265625" style="213"/>
    <col min="12824" max="12824" width="12.08984375" style="213" bestFit="1" customWidth="1"/>
    <col min="12825" max="13056" width="8.7265625" style="213"/>
    <col min="13057" max="13057" width="21.26953125" style="213" customWidth="1"/>
    <col min="13058" max="13059" width="8.81640625" style="213" customWidth="1"/>
    <col min="13060" max="13061" width="7.81640625" style="213" bestFit="1" customWidth="1"/>
    <col min="13062" max="13062" width="8.81640625" style="213" customWidth="1"/>
    <col min="13063" max="13063" width="7.54296875" style="213" bestFit="1" customWidth="1"/>
    <col min="13064" max="13064" width="7.54296875" style="213" customWidth="1"/>
    <col min="13065" max="13065" width="9.81640625" style="213" bestFit="1" customWidth="1"/>
    <col min="13066" max="13066" width="7.81640625" style="213" bestFit="1" customWidth="1"/>
    <col min="13067" max="13068" width="7" style="213" bestFit="1" customWidth="1"/>
    <col min="13069" max="13069" width="7.1796875" style="213" bestFit="1" customWidth="1"/>
    <col min="13070" max="13070" width="8.54296875" style="213" bestFit="1" customWidth="1"/>
    <col min="13071" max="13071" width="7" style="213" bestFit="1" customWidth="1"/>
    <col min="13072" max="13072" width="7.81640625" style="213" bestFit="1" customWidth="1"/>
    <col min="13073" max="13073" width="10.1796875" style="213" bestFit="1" customWidth="1"/>
    <col min="13074" max="13074" width="9.26953125" style="213" customWidth="1"/>
    <col min="13075" max="13075" width="10.54296875" style="213" bestFit="1" customWidth="1"/>
    <col min="13076" max="13076" width="9.81640625" style="213" bestFit="1" customWidth="1"/>
    <col min="13077" max="13077" width="7.7265625" style="213" customWidth="1"/>
    <col min="13078" max="13078" width="10.1796875" style="213" customWidth="1"/>
    <col min="13079" max="13079" width="8.7265625" style="213"/>
    <col min="13080" max="13080" width="12.08984375" style="213" bestFit="1" customWidth="1"/>
    <col min="13081" max="13312" width="8.7265625" style="213"/>
    <col min="13313" max="13313" width="21.26953125" style="213" customWidth="1"/>
    <col min="13314" max="13315" width="8.81640625" style="213" customWidth="1"/>
    <col min="13316" max="13317" width="7.81640625" style="213" bestFit="1" customWidth="1"/>
    <col min="13318" max="13318" width="8.81640625" style="213" customWidth="1"/>
    <col min="13319" max="13319" width="7.54296875" style="213" bestFit="1" customWidth="1"/>
    <col min="13320" max="13320" width="7.54296875" style="213" customWidth="1"/>
    <col min="13321" max="13321" width="9.81640625" style="213" bestFit="1" customWidth="1"/>
    <col min="13322" max="13322" width="7.81640625" style="213" bestFit="1" customWidth="1"/>
    <col min="13323" max="13324" width="7" style="213" bestFit="1" customWidth="1"/>
    <col min="13325" max="13325" width="7.1796875" style="213" bestFit="1" customWidth="1"/>
    <col min="13326" max="13326" width="8.54296875" style="213" bestFit="1" customWidth="1"/>
    <col min="13327" max="13327" width="7" style="213" bestFit="1" customWidth="1"/>
    <col min="13328" max="13328" width="7.81640625" style="213" bestFit="1" customWidth="1"/>
    <col min="13329" max="13329" width="10.1796875" style="213" bestFit="1" customWidth="1"/>
    <col min="13330" max="13330" width="9.26953125" style="213" customWidth="1"/>
    <col min="13331" max="13331" width="10.54296875" style="213" bestFit="1" customWidth="1"/>
    <col min="13332" max="13332" width="9.81640625" style="213" bestFit="1" customWidth="1"/>
    <col min="13333" max="13333" width="7.7265625" style="213" customWidth="1"/>
    <col min="13334" max="13334" width="10.1796875" style="213" customWidth="1"/>
    <col min="13335" max="13335" width="8.7265625" style="213"/>
    <col min="13336" max="13336" width="12.08984375" style="213" bestFit="1" customWidth="1"/>
    <col min="13337" max="13568" width="8.7265625" style="213"/>
    <col min="13569" max="13569" width="21.26953125" style="213" customWidth="1"/>
    <col min="13570" max="13571" width="8.81640625" style="213" customWidth="1"/>
    <col min="13572" max="13573" width="7.81640625" style="213" bestFit="1" customWidth="1"/>
    <col min="13574" max="13574" width="8.81640625" style="213" customWidth="1"/>
    <col min="13575" max="13575" width="7.54296875" style="213" bestFit="1" customWidth="1"/>
    <col min="13576" max="13576" width="7.54296875" style="213" customWidth="1"/>
    <col min="13577" max="13577" width="9.81640625" style="213" bestFit="1" customWidth="1"/>
    <col min="13578" max="13578" width="7.81640625" style="213" bestFit="1" customWidth="1"/>
    <col min="13579" max="13580" width="7" style="213" bestFit="1" customWidth="1"/>
    <col min="13581" max="13581" width="7.1796875" style="213" bestFit="1" customWidth="1"/>
    <col min="13582" max="13582" width="8.54296875" style="213" bestFit="1" customWidth="1"/>
    <col min="13583" max="13583" width="7" style="213" bestFit="1" customWidth="1"/>
    <col min="13584" max="13584" width="7.81640625" style="213" bestFit="1" customWidth="1"/>
    <col min="13585" max="13585" width="10.1796875" style="213" bestFit="1" customWidth="1"/>
    <col min="13586" max="13586" width="9.26953125" style="213" customWidth="1"/>
    <col min="13587" max="13587" width="10.54296875" style="213" bestFit="1" customWidth="1"/>
    <col min="13588" max="13588" width="9.81640625" style="213" bestFit="1" customWidth="1"/>
    <col min="13589" max="13589" width="7.7265625" style="213" customWidth="1"/>
    <col min="13590" max="13590" width="10.1796875" style="213" customWidth="1"/>
    <col min="13591" max="13591" width="8.7265625" style="213"/>
    <col min="13592" max="13592" width="12.08984375" style="213" bestFit="1" customWidth="1"/>
    <col min="13593" max="13824" width="8.7265625" style="213"/>
    <col min="13825" max="13825" width="21.26953125" style="213" customWidth="1"/>
    <col min="13826" max="13827" width="8.81640625" style="213" customWidth="1"/>
    <col min="13828" max="13829" width="7.81640625" style="213" bestFit="1" customWidth="1"/>
    <col min="13830" max="13830" width="8.81640625" style="213" customWidth="1"/>
    <col min="13831" max="13831" width="7.54296875" style="213" bestFit="1" customWidth="1"/>
    <col min="13832" max="13832" width="7.54296875" style="213" customWidth="1"/>
    <col min="13833" max="13833" width="9.81640625" style="213" bestFit="1" customWidth="1"/>
    <col min="13834" max="13834" width="7.81640625" style="213" bestFit="1" customWidth="1"/>
    <col min="13835" max="13836" width="7" style="213" bestFit="1" customWidth="1"/>
    <col min="13837" max="13837" width="7.1796875" style="213" bestFit="1" customWidth="1"/>
    <col min="13838" max="13838" width="8.54296875" style="213" bestFit="1" customWidth="1"/>
    <col min="13839" max="13839" width="7" style="213" bestFit="1" customWidth="1"/>
    <col min="13840" max="13840" width="7.81640625" style="213" bestFit="1" customWidth="1"/>
    <col min="13841" max="13841" width="10.1796875" style="213" bestFit="1" customWidth="1"/>
    <col min="13842" max="13842" width="9.26953125" style="213" customWidth="1"/>
    <col min="13843" max="13843" width="10.54296875" style="213" bestFit="1" customWidth="1"/>
    <col min="13844" max="13844" width="9.81640625" style="213" bestFit="1" customWidth="1"/>
    <col min="13845" max="13845" width="7.7265625" style="213" customWidth="1"/>
    <col min="13846" max="13846" width="10.1796875" style="213" customWidth="1"/>
    <col min="13847" max="13847" width="8.7265625" style="213"/>
    <col min="13848" max="13848" width="12.08984375" style="213" bestFit="1" customWidth="1"/>
    <col min="13849" max="14080" width="8.7265625" style="213"/>
    <col min="14081" max="14081" width="21.26953125" style="213" customWidth="1"/>
    <col min="14082" max="14083" width="8.81640625" style="213" customWidth="1"/>
    <col min="14084" max="14085" width="7.81640625" style="213" bestFit="1" customWidth="1"/>
    <col min="14086" max="14086" width="8.81640625" style="213" customWidth="1"/>
    <col min="14087" max="14087" width="7.54296875" style="213" bestFit="1" customWidth="1"/>
    <col min="14088" max="14088" width="7.54296875" style="213" customWidth="1"/>
    <col min="14089" max="14089" width="9.81640625" style="213" bestFit="1" customWidth="1"/>
    <col min="14090" max="14090" width="7.81640625" style="213" bestFit="1" customWidth="1"/>
    <col min="14091" max="14092" width="7" style="213" bestFit="1" customWidth="1"/>
    <col min="14093" max="14093" width="7.1796875" style="213" bestFit="1" customWidth="1"/>
    <col min="14094" max="14094" width="8.54296875" style="213" bestFit="1" customWidth="1"/>
    <col min="14095" max="14095" width="7" style="213" bestFit="1" customWidth="1"/>
    <col min="14096" max="14096" width="7.81640625" style="213" bestFit="1" customWidth="1"/>
    <col min="14097" max="14097" width="10.1796875" style="213" bestFit="1" customWidth="1"/>
    <col min="14098" max="14098" width="9.26953125" style="213" customWidth="1"/>
    <col min="14099" max="14099" width="10.54296875" style="213" bestFit="1" customWidth="1"/>
    <col min="14100" max="14100" width="9.81640625" style="213" bestFit="1" customWidth="1"/>
    <col min="14101" max="14101" width="7.7265625" style="213" customWidth="1"/>
    <col min="14102" max="14102" width="10.1796875" style="213" customWidth="1"/>
    <col min="14103" max="14103" width="8.7265625" style="213"/>
    <col min="14104" max="14104" width="12.08984375" style="213" bestFit="1" customWidth="1"/>
    <col min="14105" max="14336" width="8.7265625" style="213"/>
    <col min="14337" max="14337" width="21.26953125" style="213" customWidth="1"/>
    <col min="14338" max="14339" width="8.81640625" style="213" customWidth="1"/>
    <col min="14340" max="14341" width="7.81640625" style="213" bestFit="1" customWidth="1"/>
    <col min="14342" max="14342" width="8.81640625" style="213" customWidth="1"/>
    <col min="14343" max="14343" width="7.54296875" style="213" bestFit="1" customWidth="1"/>
    <col min="14344" max="14344" width="7.54296875" style="213" customWidth="1"/>
    <col min="14345" max="14345" width="9.81640625" style="213" bestFit="1" customWidth="1"/>
    <col min="14346" max="14346" width="7.81640625" style="213" bestFit="1" customWidth="1"/>
    <col min="14347" max="14348" width="7" style="213" bestFit="1" customWidth="1"/>
    <col min="14349" max="14349" width="7.1796875" style="213" bestFit="1" customWidth="1"/>
    <col min="14350" max="14350" width="8.54296875" style="213" bestFit="1" customWidth="1"/>
    <col min="14351" max="14351" width="7" style="213" bestFit="1" customWidth="1"/>
    <col min="14352" max="14352" width="7.81640625" style="213" bestFit="1" customWidth="1"/>
    <col min="14353" max="14353" width="10.1796875" style="213" bestFit="1" customWidth="1"/>
    <col min="14354" max="14354" width="9.26953125" style="213" customWidth="1"/>
    <col min="14355" max="14355" width="10.54296875" style="213" bestFit="1" customWidth="1"/>
    <col min="14356" max="14356" width="9.81640625" style="213" bestFit="1" customWidth="1"/>
    <col min="14357" max="14357" width="7.7265625" style="213" customWidth="1"/>
    <col min="14358" max="14358" width="10.1796875" style="213" customWidth="1"/>
    <col min="14359" max="14359" width="8.7265625" style="213"/>
    <col min="14360" max="14360" width="12.08984375" style="213" bestFit="1" customWidth="1"/>
    <col min="14361" max="14592" width="8.7265625" style="213"/>
    <col min="14593" max="14593" width="21.26953125" style="213" customWidth="1"/>
    <col min="14594" max="14595" width="8.81640625" style="213" customWidth="1"/>
    <col min="14596" max="14597" width="7.81640625" style="213" bestFit="1" customWidth="1"/>
    <col min="14598" max="14598" width="8.81640625" style="213" customWidth="1"/>
    <col min="14599" max="14599" width="7.54296875" style="213" bestFit="1" customWidth="1"/>
    <col min="14600" max="14600" width="7.54296875" style="213" customWidth="1"/>
    <col min="14601" max="14601" width="9.81640625" style="213" bestFit="1" customWidth="1"/>
    <col min="14602" max="14602" width="7.81640625" style="213" bestFit="1" customWidth="1"/>
    <col min="14603" max="14604" width="7" style="213" bestFit="1" customWidth="1"/>
    <col min="14605" max="14605" width="7.1796875" style="213" bestFit="1" customWidth="1"/>
    <col min="14606" max="14606" width="8.54296875" style="213" bestFit="1" customWidth="1"/>
    <col min="14607" max="14607" width="7" style="213" bestFit="1" customWidth="1"/>
    <col min="14608" max="14608" width="7.81640625" style="213" bestFit="1" customWidth="1"/>
    <col min="14609" max="14609" width="10.1796875" style="213" bestFit="1" customWidth="1"/>
    <col min="14610" max="14610" width="9.26953125" style="213" customWidth="1"/>
    <col min="14611" max="14611" width="10.54296875" style="213" bestFit="1" customWidth="1"/>
    <col min="14612" max="14612" width="9.81640625" style="213" bestFit="1" customWidth="1"/>
    <col min="14613" max="14613" width="7.7265625" style="213" customWidth="1"/>
    <col min="14614" max="14614" width="10.1796875" style="213" customWidth="1"/>
    <col min="14615" max="14615" width="8.7265625" style="213"/>
    <col min="14616" max="14616" width="12.08984375" style="213" bestFit="1" customWidth="1"/>
    <col min="14617" max="14848" width="8.7265625" style="213"/>
    <col min="14849" max="14849" width="21.26953125" style="213" customWidth="1"/>
    <col min="14850" max="14851" width="8.81640625" style="213" customWidth="1"/>
    <col min="14852" max="14853" width="7.81640625" style="213" bestFit="1" customWidth="1"/>
    <col min="14854" max="14854" width="8.81640625" style="213" customWidth="1"/>
    <col min="14855" max="14855" width="7.54296875" style="213" bestFit="1" customWidth="1"/>
    <col min="14856" max="14856" width="7.54296875" style="213" customWidth="1"/>
    <col min="14857" max="14857" width="9.81640625" style="213" bestFit="1" customWidth="1"/>
    <col min="14858" max="14858" width="7.81640625" style="213" bestFit="1" customWidth="1"/>
    <col min="14859" max="14860" width="7" style="213" bestFit="1" customWidth="1"/>
    <col min="14861" max="14861" width="7.1796875" style="213" bestFit="1" customWidth="1"/>
    <col min="14862" max="14862" width="8.54296875" style="213" bestFit="1" customWidth="1"/>
    <col min="14863" max="14863" width="7" style="213" bestFit="1" customWidth="1"/>
    <col min="14864" max="14864" width="7.81640625" style="213" bestFit="1" customWidth="1"/>
    <col min="14865" max="14865" width="10.1796875" style="213" bestFit="1" customWidth="1"/>
    <col min="14866" max="14866" width="9.26953125" style="213" customWidth="1"/>
    <col min="14867" max="14867" width="10.54296875" style="213" bestFit="1" customWidth="1"/>
    <col min="14868" max="14868" width="9.81640625" style="213" bestFit="1" customWidth="1"/>
    <col min="14869" max="14869" width="7.7265625" style="213" customWidth="1"/>
    <col min="14870" max="14870" width="10.1796875" style="213" customWidth="1"/>
    <col min="14871" max="14871" width="8.7265625" style="213"/>
    <col min="14872" max="14872" width="12.08984375" style="213" bestFit="1" customWidth="1"/>
    <col min="14873" max="15104" width="8.7265625" style="213"/>
    <col min="15105" max="15105" width="21.26953125" style="213" customWidth="1"/>
    <col min="15106" max="15107" width="8.81640625" style="213" customWidth="1"/>
    <col min="15108" max="15109" width="7.81640625" style="213" bestFit="1" customWidth="1"/>
    <col min="15110" max="15110" width="8.81640625" style="213" customWidth="1"/>
    <col min="15111" max="15111" width="7.54296875" style="213" bestFit="1" customWidth="1"/>
    <col min="15112" max="15112" width="7.54296875" style="213" customWidth="1"/>
    <col min="15113" max="15113" width="9.81640625" style="213" bestFit="1" customWidth="1"/>
    <col min="15114" max="15114" width="7.81640625" style="213" bestFit="1" customWidth="1"/>
    <col min="15115" max="15116" width="7" style="213" bestFit="1" customWidth="1"/>
    <col min="15117" max="15117" width="7.1796875" style="213" bestFit="1" customWidth="1"/>
    <col min="15118" max="15118" width="8.54296875" style="213" bestFit="1" customWidth="1"/>
    <col min="15119" max="15119" width="7" style="213" bestFit="1" customWidth="1"/>
    <col min="15120" max="15120" width="7.81640625" style="213" bestFit="1" customWidth="1"/>
    <col min="15121" max="15121" width="10.1796875" style="213" bestFit="1" customWidth="1"/>
    <col min="15122" max="15122" width="9.26953125" style="213" customWidth="1"/>
    <col min="15123" max="15123" width="10.54296875" style="213" bestFit="1" customWidth="1"/>
    <col min="15124" max="15124" width="9.81640625" style="213" bestFit="1" customWidth="1"/>
    <col min="15125" max="15125" width="7.7265625" style="213" customWidth="1"/>
    <col min="15126" max="15126" width="10.1796875" style="213" customWidth="1"/>
    <col min="15127" max="15127" width="8.7265625" style="213"/>
    <col min="15128" max="15128" width="12.08984375" style="213" bestFit="1" customWidth="1"/>
    <col min="15129" max="15360" width="8.7265625" style="213"/>
    <col min="15361" max="15361" width="21.26953125" style="213" customWidth="1"/>
    <col min="15362" max="15363" width="8.81640625" style="213" customWidth="1"/>
    <col min="15364" max="15365" width="7.81640625" style="213" bestFit="1" customWidth="1"/>
    <col min="15366" max="15366" width="8.81640625" style="213" customWidth="1"/>
    <col min="15367" max="15367" width="7.54296875" style="213" bestFit="1" customWidth="1"/>
    <col min="15368" max="15368" width="7.54296875" style="213" customWidth="1"/>
    <col min="15369" max="15369" width="9.81640625" style="213" bestFit="1" customWidth="1"/>
    <col min="15370" max="15370" width="7.81640625" style="213" bestFit="1" customWidth="1"/>
    <col min="15371" max="15372" width="7" style="213" bestFit="1" customWidth="1"/>
    <col min="15373" max="15373" width="7.1796875" style="213" bestFit="1" customWidth="1"/>
    <col min="15374" max="15374" width="8.54296875" style="213" bestFit="1" customWidth="1"/>
    <col min="15375" max="15375" width="7" style="213" bestFit="1" customWidth="1"/>
    <col min="15376" max="15376" width="7.81640625" style="213" bestFit="1" customWidth="1"/>
    <col min="15377" max="15377" width="10.1796875" style="213" bestFit="1" customWidth="1"/>
    <col min="15378" max="15378" width="9.26953125" style="213" customWidth="1"/>
    <col min="15379" max="15379" width="10.54296875" style="213" bestFit="1" customWidth="1"/>
    <col min="15380" max="15380" width="9.81640625" style="213" bestFit="1" customWidth="1"/>
    <col min="15381" max="15381" width="7.7265625" style="213" customWidth="1"/>
    <col min="15382" max="15382" width="10.1796875" style="213" customWidth="1"/>
    <col min="15383" max="15383" width="8.7265625" style="213"/>
    <col min="15384" max="15384" width="12.08984375" style="213" bestFit="1" customWidth="1"/>
    <col min="15385" max="15616" width="8.7265625" style="213"/>
    <col min="15617" max="15617" width="21.26953125" style="213" customWidth="1"/>
    <col min="15618" max="15619" width="8.81640625" style="213" customWidth="1"/>
    <col min="15620" max="15621" width="7.81640625" style="213" bestFit="1" customWidth="1"/>
    <col min="15622" max="15622" width="8.81640625" style="213" customWidth="1"/>
    <col min="15623" max="15623" width="7.54296875" style="213" bestFit="1" customWidth="1"/>
    <col min="15624" max="15624" width="7.54296875" style="213" customWidth="1"/>
    <col min="15625" max="15625" width="9.81640625" style="213" bestFit="1" customWidth="1"/>
    <col min="15626" max="15626" width="7.81640625" style="213" bestFit="1" customWidth="1"/>
    <col min="15627" max="15628" width="7" style="213" bestFit="1" customWidth="1"/>
    <col min="15629" max="15629" width="7.1796875" style="213" bestFit="1" customWidth="1"/>
    <col min="15630" max="15630" width="8.54296875" style="213" bestFit="1" customWidth="1"/>
    <col min="15631" max="15631" width="7" style="213" bestFit="1" customWidth="1"/>
    <col min="15632" max="15632" width="7.81640625" style="213" bestFit="1" customWidth="1"/>
    <col min="15633" max="15633" width="10.1796875" style="213" bestFit="1" customWidth="1"/>
    <col min="15634" max="15634" width="9.26953125" style="213" customWidth="1"/>
    <col min="15635" max="15635" width="10.54296875" style="213" bestFit="1" customWidth="1"/>
    <col min="15636" max="15636" width="9.81640625" style="213" bestFit="1" customWidth="1"/>
    <col min="15637" max="15637" width="7.7265625" style="213" customWidth="1"/>
    <col min="15638" max="15638" width="10.1796875" style="213" customWidth="1"/>
    <col min="15639" max="15639" width="8.7265625" style="213"/>
    <col min="15640" max="15640" width="12.08984375" style="213" bestFit="1" customWidth="1"/>
    <col min="15641" max="15872" width="8.7265625" style="213"/>
    <col min="15873" max="15873" width="21.26953125" style="213" customWidth="1"/>
    <col min="15874" max="15875" width="8.81640625" style="213" customWidth="1"/>
    <col min="15876" max="15877" width="7.81640625" style="213" bestFit="1" customWidth="1"/>
    <col min="15878" max="15878" width="8.81640625" style="213" customWidth="1"/>
    <col min="15879" max="15879" width="7.54296875" style="213" bestFit="1" customWidth="1"/>
    <col min="15880" max="15880" width="7.54296875" style="213" customWidth="1"/>
    <col min="15881" max="15881" width="9.81640625" style="213" bestFit="1" customWidth="1"/>
    <col min="15882" max="15882" width="7.81640625" style="213" bestFit="1" customWidth="1"/>
    <col min="15883" max="15884" width="7" style="213" bestFit="1" customWidth="1"/>
    <col min="15885" max="15885" width="7.1796875" style="213" bestFit="1" customWidth="1"/>
    <col min="15886" max="15886" width="8.54296875" style="213" bestFit="1" customWidth="1"/>
    <col min="15887" max="15887" width="7" style="213" bestFit="1" customWidth="1"/>
    <col min="15888" max="15888" width="7.81640625" style="213" bestFit="1" customWidth="1"/>
    <col min="15889" max="15889" width="10.1796875" style="213" bestFit="1" customWidth="1"/>
    <col min="15890" max="15890" width="9.26953125" style="213" customWidth="1"/>
    <col min="15891" max="15891" width="10.54296875" style="213" bestFit="1" customWidth="1"/>
    <col min="15892" max="15892" width="9.81640625" style="213" bestFit="1" customWidth="1"/>
    <col min="15893" max="15893" width="7.7265625" style="213" customWidth="1"/>
    <col min="15894" max="15894" width="10.1796875" style="213" customWidth="1"/>
    <col min="15895" max="15895" width="8.7265625" style="213"/>
    <col min="15896" max="15896" width="12.08984375" style="213" bestFit="1" customWidth="1"/>
    <col min="15897" max="16128" width="8.7265625" style="213"/>
    <col min="16129" max="16129" width="21.26953125" style="213" customWidth="1"/>
    <col min="16130" max="16131" width="8.81640625" style="213" customWidth="1"/>
    <col min="16132" max="16133" width="7.81640625" style="213" bestFit="1" customWidth="1"/>
    <col min="16134" max="16134" width="8.81640625" style="213" customWidth="1"/>
    <col min="16135" max="16135" width="7.54296875" style="213" bestFit="1" customWidth="1"/>
    <col min="16136" max="16136" width="7.54296875" style="213" customWidth="1"/>
    <col min="16137" max="16137" width="9.81640625" style="213" bestFit="1" customWidth="1"/>
    <col min="16138" max="16138" width="7.81640625" style="213" bestFit="1" customWidth="1"/>
    <col min="16139" max="16140" width="7" style="213" bestFit="1" customWidth="1"/>
    <col min="16141" max="16141" width="7.1796875" style="213" bestFit="1" customWidth="1"/>
    <col min="16142" max="16142" width="8.54296875" style="213" bestFit="1" customWidth="1"/>
    <col min="16143" max="16143" width="7" style="213" bestFit="1" customWidth="1"/>
    <col min="16144" max="16144" width="7.81640625" style="213" bestFit="1" customWidth="1"/>
    <col min="16145" max="16145" width="10.1796875" style="213" bestFit="1" customWidth="1"/>
    <col min="16146" max="16146" width="9.26953125" style="213" customWidth="1"/>
    <col min="16147" max="16147" width="10.54296875" style="213" bestFit="1" customWidth="1"/>
    <col min="16148" max="16148" width="9.81640625" style="213" bestFit="1" customWidth="1"/>
    <col min="16149" max="16149" width="7.7265625" style="213" customWidth="1"/>
    <col min="16150" max="16150" width="10.1796875" style="213" customWidth="1"/>
    <col min="16151" max="16151" width="8.7265625" style="213"/>
    <col min="16152" max="16152" width="12.08984375" style="213" bestFit="1" customWidth="1"/>
    <col min="16153" max="16384" width="8.7265625" style="213"/>
  </cols>
  <sheetData>
    <row r="1" spans="1:25" x14ac:dyDescent="0.25">
      <c r="B1" s="214" t="s">
        <v>526</v>
      </c>
      <c r="C1" s="214" t="s">
        <v>623</v>
      </c>
      <c r="D1" s="214" t="s">
        <v>624</v>
      </c>
      <c r="E1" s="214" t="s">
        <v>20</v>
      </c>
      <c r="F1" s="214"/>
      <c r="G1" s="215"/>
      <c r="H1" s="215"/>
      <c r="I1" s="215"/>
      <c r="J1" s="215"/>
      <c r="K1" s="214"/>
      <c r="L1" s="214"/>
      <c r="M1" s="216" t="s">
        <v>625</v>
      </c>
      <c r="N1" s="217"/>
      <c r="O1" s="217"/>
      <c r="P1" s="217"/>
      <c r="Q1" s="218" t="s">
        <v>626</v>
      </c>
      <c r="R1" s="219">
        <v>1120</v>
      </c>
      <c r="S1" s="218" t="s">
        <v>627</v>
      </c>
      <c r="T1" s="220">
        <f>ROUND(SUM(ABS(R2-U4)/W1)*30,2)</f>
        <v>2.19</v>
      </c>
      <c r="U1" s="221">
        <f t="array" ref="U1">LOOKUP(2,1/(B:B&lt;&gt;""),B:B)</f>
        <v>955</v>
      </c>
      <c r="V1" s="222" t="s">
        <v>628</v>
      </c>
      <c r="W1" s="223">
        <f>R4-U1</f>
        <v>149.32999999999993</v>
      </c>
      <c r="X1" s="224" t="s">
        <v>629</v>
      </c>
      <c r="Y1" s="225"/>
    </row>
    <row r="2" spans="1:25" x14ac:dyDescent="0.25">
      <c r="A2" s="218" t="s">
        <v>630</v>
      </c>
      <c r="B2" s="226">
        <v>850</v>
      </c>
      <c r="C2" s="227">
        <v>10</v>
      </c>
      <c r="D2" s="226">
        <v>240</v>
      </c>
      <c r="E2" s="226">
        <v>849.24</v>
      </c>
      <c r="F2" s="214"/>
      <c r="G2" s="215"/>
      <c r="H2" s="215"/>
      <c r="I2" s="215"/>
      <c r="J2" s="215"/>
      <c r="K2" s="228"/>
      <c r="M2" s="229" t="s">
        <v>631</v>
      </c>
      <c r="N2" s="230">
        <v>2.25</v>
      </c>
      <c r="O2" s="229" t="s">
        <v>632</v>
      </c>
      <c r="P2" s="231">
        <v>35</v>
      </c>
      <c r="Q2" s="218" t="s">
        <v>633</v>
      </c>
      <c r="R2" s="232">
        <v>26.52</v>
      </c>
      <c r="S2" s="218" t="s">
        <v>634</v>
      </c>
      <c r="T2" s="233">
        <f>ROUND(SUM(ABS(R3-U3)/W1)*30,2)</f>
        <v>2.64</v>
      </c>
      <c r="U2" s="221">
        <f t="array" ref="U2">LOOKUP(2,1/(D:D&lt;&gt;""),D:D)</f>
        <v>13.85</v>
      </c>
      <c r="V2" s="234" t="s">
        <v>635</v>
      </c>
      <c r="W2" s="235">
        <f>(R2-U4)/W1</f>
        <v>7.3126632290899427E-2</v>
      </c>
      <c r="X2" s="235" t="s">
        <v>636</v>
      </c>
      <c r="Y2" s="225"/>
    </row>
    <row r="3" spans="1:25" x14ac:dyDescent="0.25">
      <c r="A3" s="236" t="s">
        <v>637</v>
      </c>
      <c r="B3" s="227">
        <v>28.5</v>
      </c>
      <c r="C3" s="237">
        <f>IFERROR(ROUNDUP(P2+B3,0),"")</f>
        <v>64</v>
      </c>
      <c r="D3" s="214"/>
      <c r="E3" s="214"/>
      <c r="F3" s="214"/>
      <c r="G3" s="215"/>
      <c r="H3" s="238"/>
      <c r="I3" s="238"/>
      <c r="J3" s="238"/>
      <c r="K3" s="239">
        <f t="shared" ref="K3:P3" si="0">IFERROR(AVERAGE(K9:K44),"")</f>
        <v>4.6240740740740751</v>
      </c>
      <c r="L3" s="240">
        <f t="shared" si="0"/>
        <v>3.6166666666666476</v>
      </c>
      <c r="M3" s="239">
        <f>IFERROR(AVERAGE(M9:M44),"")</f>
        <v>1.5951851851851861</v>
      </c>
      <c r="N3" s="239">
        <f t="shared" si="0"/>
        <v>3.8166666666666558</v>
      </c>
      <c r="O3" s="239">
        <f t="shared" si="0"/>
        <v>1.6767091482654042</v>
      </c>
      <c r="P3" s="241">
        <f t="shared" si="0"/>
        <v>5.3082894852117057</v>
      </c>
      <c r="Q3" s="218" t="s">
        <v>638</v>
      </c>
      <c r="R3" s="242">
        <v>265</v>
      </c>
      <c r="S3" s="218" t="s">
        <v>639</v>
      </c>
      <c r="T3" s="233">
        <f>IFERROR(ROUND((1719*(SIN(RADIANS(U4))-SIN(RADIANS(R2))))/(U5-R4),2),"")</f>
        <v>1.99</v>
      </c>
      <c r="U3" s="221">
        <f t="array" ref="U3">LOOKUP(2,1/(E:E&lt;&gt;""),E:E)</f>
        <v>251.85</v>
      </c>
      <c r="V3" s="243" t="s">
        <v>640</v>
      </c>
      <c r="W3" s="244">
        <f>(R3-W4)/W1</f>
        <v>4.8382776401259132E-2</v>
      </c>
      <c r="X3" s="235" t="s">
        <v>641</v>
      </c>
      <c r="Y3" s="225"/>
    </row>
    <row r="4" spans="1:25" ht="13" thickBot="1" x14ac:dyDescent="0.3">
      <c r="A4" s="245"/>
      <c r="B4" s="245"/>
      <c r="C4" s="245"/>
      <c r="D4" s="245"/>
      <c r="E4" s="245"/>
      <c r="F4" s="245"/>
      <c r="G4" s="246"/>
      <c r="H4" s="246"/>
      <c r="I4" s="246"/>
      <c r="J4" s="246"/>
      <c r="K4" s="247" t="s">
        <v>642</v>
      </c>
      <c r="L4" s="248"/>
      <c r="M4" s="249" t="s">
        <v>643</v>
      </c>
      <c r="N4" s="250"/>
      <c r="O4" s="250"/>
      <c r="P4" s="251"/>
      <c r="Q4" s="218" t="s">
        <v>644</v>
      </c>
      <c r="R4" s="242">
        <v>1104.33</v>
      </c>
      <c r="S4" s="218" t="s">
        <v>645</v>
      </c>
      <c r="T4" s="233" t="str">
        <f>IFERROR(
  IF(
    DEGREES(ATAN(W3/W2)) &gt; 0,
    "R" &amp; ROUND(DEGREES(ATAN(W3/W2)), 0),
    "L" &amp; ROUND(ABS(DEGREES(ATAN(W3/W2))), 0)
  ),
  ""
)</f>
        <v>R33</v>
      </c>
      <c r="U4" s="221">
        <f>LOOKUP(2,1/(R:R&lt;&gt;""),R:R)</f>
        <v>15.599999999999994</v>
      </c>
      <c r="V4" s="252" t="s">
        <v>646</v>
      </c>
      <c r="W4" s="253">
        <f t="array" ref="W4">LOOKUP(2,1/(S:S&lt;&gt;""),S:S)</f>
        <v>257.77499999999998</v>
      </c>
      <c r="X4" s="253" t="s">
        <v>647</v>
      </c>
      <c r="Y4" s="225"/>
    </row>
    <row r="5" spans="1:25" ht="13" thickBot="1" x14ac:dyDescent="0.3">
      <c r="A5" s="245"/>
      <c r="B5" s="254" t="s">
        <v>648</v>
      </c>
      <c r="C5" s="255"/>
      <c r="D5" s="255"/>
      <c r="E5" s="255"/>
      <c r="F5" s="255"/>
      <c r="G5" s="255"/>
      <c r="H5" s="255"/>
      <c r="I5" s="255"/>
      <c r="J5" s="255"/>
      <c r="K5" s="256" t="s">
        <v>649</v>
      </c>
      <c r="L5" s="257"/>
      <c r="M5" s="258" t="s">
        <v>649</v>
      </c>
      <c r="N5" s="229" t="s">
        <v>649</v>
      </c>
      <c r="O5" s="229" t="s">
        <v>650</v>
      </c>
      <c r="P5" s="259" t="s">
        <v>650</v>
      </c>
      <c r="Q5" s="260" t="s">
        <v>651</v>
      </c>
      <c r="R5" s="261"/>
      <c r="S5" s="261"/>
      <c r="T5" s="261"/>
      <c r="U5" s="221">
        <f t="array" ref="U5">LOOKUP(2,1/(T:T&lt;&gt;""),T:T)</f>
        <v>950.79147848069954</v>
      </c>
      <c r="V5" s="262">
        <f t="array" ref="V5">LOOKUP(2,1/(B:B&lt;&gt;""),B:B)</f>
        <v>955</v>
      </c>
      <c r="W5" s="253">
        <f t="array" ref="W5">LOOKUP(2,1/(D:D&lt;&gt;""),D:D)</f>
        <v>13.85</v>
      </c>
      <c r="X5" s="253">
        <f t="array" ref="X5">LOOKUP(2,1/(E:E&lt;&gt;""),E:E)</f>
        <v>251.85</v>
      </c>
    </row>
    <row r="6" spans="1:25" x14ac:dyDescent="0.25">
      <c r="A6" s="245"/>
      <c r="B6" s="263" t="s">
        <v>628</v>
      </c>
      <c r="C6" s="264" t="s">
        <v>652</v>
      </c>
      <c r="D6" s="265" t="s">
        <v>623</v>
      </c>
      <c r="E6" s="265" t="s">
        <v>653</v>
      </c>
      <c r="F6" s="264" t="s">
        <v>654</v>
      </c>
      <c r="G6" s="265" t="s">
        <v>631</v>
      </c>
      <c r="H6" s="265" t="s">
        <v>655</v>
      </c>
      <c r="I6" s="266" t="s">
        <v>656</v>
      </c>
      <c r="J6" s="267" t="s">
        <v>657</v>
      </c>
      <c r="K6" s="268" t="s">
        <v>658</v>
      </c>
      <c r="L6" s="269" t="s">
        <v>569</v>
      </c>
      <c r="M6" s="268" t="s">
        <v>658</v>
      </c>
      <c r="N6" s="265" t="s">
        <v>569</v>
      </c>
      <c r="O6" s="265" t="s">
        <v>659</v>
      </c>
      <c r="P6" s="269" t="s">
        <v>660</v>
      </c>
      <c r="Q6" s="268" t="s">
        <v>661</v>
      </c>
      <c r="R6" s="265" t="s">
        <v>662</v>
      </c>
      <c r="S6" s="265" t="s">
        <v>663</v>
      </c>
      <c r="T6" s="270" t="s">
        <v>664</v>
      </c>
      <c r="U6" s="271" t="s">
        <v>665</v>
      </c>
      <c r="V6" s="243">
        <f t="array" ref="V6">LOOKUP(2,1/(G:G&lt;&gt;""),G:G)</f>
        <v>13.75</v>
      </c>
      <c r="W6" s="253">
        <f t="array" ref="W6">LOOKUP(2,1/(H:H&lt;&gt;""),H:H)</f>
        <v>251.85</v>
      </c>
      <c r="X6" s="253">
        <f t="array" ref="X6">LOOKUP(2,1/(Q:Q&lt;&gt;""),Q:Q)</f>
        <v>955</v>
      </c>
    </row>
    <row r="7" spans="1:25" ht="13" thickBot="1" x14ac:dyDescent="0.3">
      <c r="A7" s="272"/>
      <c r="B7" s="273" t="s">
        <v>666</v>
      </c>
      <c r="C7" s="274" t="s">
        <v>666</v>
      </c>
      <c r="D7" s="275" t="s">
        <v>667</v>
      </c>
      <c r="E7" s="275" t="s">
        <v>667</v>
      </c>
      <c r="F7" s="274" t="s">
        <v>668</v>
      </c>
      <c r="G7" s="275" t="s">
        <v>667</v>
      </c>
      <c r="H7" s="275" t="s">
        <v>667</v>
      </c>
      <c r="I7" s="276" t="s">
        <v>650</v>
      </c>
      <c r="J7" s="277" t="s">
        <v>650</v>
      </c>
      <c r="K7" s="278" t="s">
        <v>669</v>
      </c>
      <c r="L7" s="279" t="s">
        <v>669</v>
      </c>
      <c r="M7" s="278" t="s">
        <v>669</v>
      </c>
      <c r="N7" s="275" t="s">
        <v>669</v>
      </c>
      <c r="O7" s="275" t="s">
        <v>669</v>
      </c>
      <c r="P7" s="279" t="s">
        <v>669</v>
      </c>
      <c r="Q7" s="278" t="s">
        <v>666</v>
      </c>
      <c r="R7" s="275" t="s">
        <v>667</v>
      </c>
      <c r="S7" s="275" t="s">
        <v>667</v>
      </c>
      <c r="T7" s="274" t="s">
        <v>666</v>
      </c>
      <c r="U7" s="280" t="s">
        <v>670</v>
      </c>
      <c r="V7" s="281">
        <f t="array" ref="V7">LOOKUP(2,1/(R:R&lt;&gt;""),R:R)</f>
        <v>15.599999999999994</v>
      </c>
      <c r="W7" s="282">
        <f t="array" ref="W7">LOOKUP(2,1/(S:S&lt;&gt;""),S:S)</f>
        <v>257.77499999999998</v>
      </c>
      <c r="X7" s="282">
        <f t="array" ref="X7">ROUND(LOOKUP(2,1/(T:T&lt;&gt;""),T:T),2)</f>
        <v>950.79</v>
      </c>
      <c r="Y7" s="225"/>
    </row>
    <row r="8" spans="1:25" x14ac:dyDescent="0.25">
      <c r="A8" s="283"/>
      <c r="B8" s="284">
        <v>850</v>
      </c>
      <c r="C8" s="285">
        <f>IF(B8="","",B8-$P$2)</f>
        <v>815</v>
      </c>
      <c r="D8" s="284">
        <v>10</v>
      </c>
      <c r="E8" s="284">
        <v>240</v>
      </c>
      <c r="F8" s="286">
        <f t="shared" ref="F8:F44" si="1">IF(B8="","",B8-$N$2)</f>
        <v>847.75</v>
      </c>
      <c r="G8" s="284">
        <v>11</v>
      </c>
      <c r="H8" s="284">
        <v>240</v>
      </c>
      <c r="I8" s="286">
        <f t="shared" ref="I8:I44" si="2">IF(B8&lt;&gt;"",IF(AND(D8&gt;0, C8&lt;&gt;$B$2),
   (30 / (C8 - $B$2)) *
   DEGREES(ACOS(
     COS(RADIANS($C$2)) * COS(RADIANS(D8)) +
     SIN(RADIANS($C$2)) * SIN(RADIANS(D8)) * COS(RADIANS(E8 - $D$2))
   )),
   "0"
),"")</f>
        <v>-7.3180598250136613E-7</v>
      </c>
      <c r="J8" s="285">
        <f>IF(G8&gt;0,(30/(F8-$B$2))*ACOS((COS($C$2*PI()/180)*COS(G8*PI()/180))+(SIN($C$2*PI()/180)*SIN(G8*PI()/180)*COS((H8-$D$2)*PI()/180)))*(180/PI()),"")</f>
        <v>-13.333333333336745</v>
      </c>
      <c r="K8" s="287"/>
      <c r="L8" s="287"/>
      <c r="M8" s="287"/>
      <c r="N8" s="287"/>
      <c r="O8" s="288">
        <f t="shared" ref="O8:O44" si="3">IF(B8&lt;&gt;"",IF(AND(D8&gt;0, C8&lt;&gt;B$2), (D8 - C$2) / (C8 - B$2) * 30, "0"),"")</f>
        <v>0</v>
      </c>
      <c r="P8" s="288">
        <f t="shared" ref="P8:P44" si="4">IF(B8&lt;&gt;"",IF(AND(E8&gt;0, C8&lt;&gt;B$2), ABS((E8 - D$2) / (C8 - B$2)) * 30, "0"),"")</f>
        <v>0</v>
      </c>
      <c r="Q8" s="289">
        <f>IF(B8="","",B8)</f>
        <v>850</v>
      </c>
      <c r="R8" s="290">
        <f>IF($D8&gt;0,(($M8/30)*P$2)+$D8,"")</f>
        <v>10</v>
      </c>
      <c r="S8" s="291">
        <f>IF(E8&gt;0,((P8/30)*P$2)+E8,"")</f>
        <v>240</v>
      </c>
      <c r="T8" s="292">
        <f t="shared" ref="T8:T44" si="5">IF($D8&gt;0,(($Q8-B$2)*COS((RADIANS($R8)+RADIANS($D8))/2))+E$2,"")</f>
        <v>849.24</v>
      </c>
      <c r="U8" s="284"/>
    </row>
    <row r="9" spans="1:25" x14ac:dyDescent="0.25">
      <c r="A9" s="242"/>
      <c r="B9" s="293">
        <v>940</v>
      </c>
      <c r="C9" s="286">
        <f t="shared" ref="C9:C44" si="6">IF(B9="","",B9-$P$2)</f>
        <v>905</v>
      </c>
      <c r="D9" s="293">
        <v>13.02</v>
      </c>
      <c r="E9" s="293">
        <v>249.9</v>
      </c>
      <c r="F9" s="286">
        <f t="shared" si="1"/>
        <v>937.75</v>
      </c>
      <c r="G9" s="293">
        <v>13</v>
      </c>
      <c r="H9" s="284">
        <v>249.9</v>
      </c>
      <c r="I9" s="286">
        <f t="shared" si="2"/>
        <v>1.9626741338465543</v>
      </c>
      <c r="J9" s="286">
        <f t="shared" ref="J9:J44" si="7">IF(G9&gt;0,(30/(F9-$B$2))*ACOS((COS($C$2*PI()/180)*COS(G9*PI()/180))+(SIN($C$2*PI()/180)*SIN(G9*PI()/180)*COS((H9-$D$2)*PI()/180)))*(180/PI()),"")</f>
        <v>1.2241560487437866</v>
      </c>
      <c r="K9" s="294">
        <f>IF(AND(G9&gt;0, F9&lt;&gt;F8), (G9-G8)/(F9-F8)*30, "")</f>
        <v>0.66666666666666674</v>
      </c>
      <c r="L9" s="294">
        <f>IF(AND(H9&gt;0, F9&lt;&gt;F8), (H9-H8)/(F9-F8)*30, "")</f>
        <v>3.300000000000002</v>
      </c>
      <c r="M9" s="294">
        <f>IF(C9&lt;&gt;"",IF(AND(D9&gt;0, C9&lt;&gt;C8), (D9-D8)/(C9-C8)*30, "0"),"")</f>
        <v>1.0066666666666666</v>
      </c>
      <c r="N9" s="288">
        <f>IF(AND(E9&gt;0, C9&lt;&gt;C8), ABS((E9-E8)/(C9-C8))*30, "")</f>
        <v>3.300000000000002</v>
      </c>
      <c r="O9" s="288">
        <f t="shared" si="3"/>
        <v>1.647272727272727</v>
      </c>
      <c r="P9" s="288">
        <f t="shared" si="4"/>
        <v>5.400000000000003</v>
      </c>
      <c r="Q9" s="295">
        <f t="shared" ref="Q9:Q44" si="8">IF(B9="","",B9)</f>
        <v>940</v>
      </c>
      <c r="R9" s="294">
        <f>IF($D9&gt;0,(($M9/30)*P$2)+$D9,"")</f>
        <v>14.194444444444445</v>
      </c>
      <c r="S9" s="294">
        <f t="shared" ref="S9:S44" si="9">IF(E9&gt;0,((P9/30)*P$2)+E9,"")</f>
        <v>256.2</v>
      </c>
      <c r="T9" s="295">
        <f t="shared" si="5"/>
        <v>936.71382175446502</v>
      </c>
      <c r="U9" s="293"/>
    </row>
    <row r="10" spans="1:25" x14ac:dyDescent="0.25">
      <c r="A10" s="296"/>
      <c r="B10" s="284">
        <v>942</v>
      </c>
      <c r="C10" s="286">
        <f t="shared" si="6"/>
        <v>907</v>
      </c>
      <c r="D10" s="293">
        <v>13.2</v>
      </c>
      <c r="E10" s="293">
        <v>250.32</v>
      </c>
      <c r="F10" s="286">
        <f t="shared" si="1"/>
        <v>939.75</v>
      </c>
      <c r="G10" s="284">
        <v>15.18</v>
      </c>
      <c r="H10" s="284">
        <v>254.26</v>
      </c>
      <c r="I10" s="286">
        <f t="shared" si="2"/>
        <v>2.0009931981837661</v>
      </c>
      <c r="J10" s="286">
        <f t="shared" si="7"/>
        <v>2.006844158960881</v>
      </c>
      <c r="K10" s="294">
        <f>IF(AND(G10&gt;0, F10&lt;&gt;F9), (G10-G9)/(F10-F9)*30, "")</f>
        <v>32.699999999999996</v>
      </c>
      <c r="L10" s="294">
        <f t="shared" ref="L10:L44" si="10">IF(AND(H10&gt;0, F10&lt;&gt;F9), (H10-H9)/(F10-F9)*30, "")</f>
        <v>65.399999999999778</v>
      </c>
      <c r="M10" s="294">
        <f t="shared" ref="M10:M44" si="11">IF(C10&lt;&gt;"",IF(AND(D10&gt;0, C10&lt;&gt;C9), (D10-D9)/(C10-C9)*30, "0"),"")</f>
        <v>2.6999999999999957</v>
      </c>
      <c r="N10" s="288">
        <f t="shared" ref="N10:N44" si="12">IF(AND(E10&gt;0, C10&lt;&gt;C9), ABS((E10-E9)/(C10-C9))*30, "")</f>
        <v>6.2999999999998124</v>
      </c>
      <c r="O10" s="288">
        <f t="shared" si="3"/>
        <v>1.6842105263157892</v>
      </c>
      <c r="P10" s="288">
        <f t="shared" si="4"/>
        <v>5.4315789473684175</v>
      </c>
      <c r="Q10" s="295">
        <f t="shared" si="8"/>
        <v>942</v>
      </c>
      <c r="R10" s="294">
        <f>IF($D10&gt;0,(($M10/30)*P$2)+$D10,"")</f>
        <v>16.349999999999994</v>
      </c>
      <c r="S10" s="294">
        <f>IF(E10&gt;0,((P10/30)*P$2)+E10,"")</f>
        <v>256.65684210526314</v>
      </c>
      <c r="T10" s="295">
        <f t="shared" si="5"/>
        <v>938.19799753402003</v>
      </c>
      <c r="U10" s="293"/>
    </row>
    <row r="11" spans="1:25" x14ac:dyDescent="0.25">
      <c r="A11" s="242"/>
      <c r="B11" s="284">
        <v>944</v>
      </c>
      <c r="C11" s="286">
        <f t="shared" si="6"/>
        <v>909</v>
      </c>
      <c r="D11" s="293">
        <v>13.32</v>
      </c>
      <c r="E11" s="293">
        <v>250.6</v>
      </c>
      <c r="F11" s="286">
        <f t="shared" si="1"/>
        <v>941.75</v>
      </c>
      <c r="G11" s="293">
        <v>13.32</v>
      </c>
      <c r="H11" s="284">
        <v>254.46</v>
      </c>
      <c r="I11" s="286">
        <f t="shared" si="2"/>
        <v>2.0023678954196318</v>
      </c>
      <c r="J11" s="286">
        <f t="shared" si="7"/>
        <v>1.4383048366667675</v>
      </c>
      <c r="K11" s="294">
        <f t="shared" ref="K11:K44" si="13">IF(AND(G11&gt;0, F11&lt;&gt;F10), (G11-G10)/(F11-F10)*30, "")</f>
        <v>-27.899999999999991</v>
      </c>
      <c r="L11" s="294">
        <f t="shared" si="10"/>
        <v>3.0000000000002558</v>
      </c>
      <c r="M11" s="294">
        <f t="shared" si="11"/>
        <v>1.8000000000000149</v>
      </c>
      <c r="N11" s="288">
        <f t="shared" si="12"/>
        <v>4.2000000000000171</v>
      </c>
      <c r="O11" s="288">
        <f t="shared" si="3"/>
        <v>1.6881355932203392</v>
      </c>
      <c r="P11" s="288">
        <f t="shared" si="4"/>
        <v>5.3898305084745735</v>
      </c>
      <c r="Q11" s="295">
        <f t="shared" si="8"/>
        <v>944</v>
      </c>
      <c r="R11" s="294">
        <f>IF($D11&gt;0,(($M11/30)*P$2)+$D11,"")</f>
        <v>15.420000000000018</v>
      </c>
      <c r="S11" s="294">
        <f t="shared" si="9"/>
        <v>256.88813559322034</v>
      </c>
      <c r="T11" s="295">
        <f t="shared" si="5"/>
        <v>940.29904475475121</v>
      </c>
      <c r="U11" s="293"/>
    </row>
    <row r="12" spans="1:25" x14ac:dyDescent="0.25">
      <c r="A12" s="296"/>
      <c r="B12" s="293">
        <v>945</v>
      </c>
      <c r="C12" s="286">
        <f t="shared" si="6"/>
        <v>910</v>
      </c>
      <c r="D12" s="293">
        <v>13.38</v>
      </c>
      <c r="E12" s="293">
        <v>250.72</v>
      </c>
      <c r="F12" s="286">
        <f t="shared" si="1"/>
        <v>942.75</v>
      </c>
      <c r="G12" s="284">
        <v>15.3</v>
      </c>
      <c r="H12" s="284">
        <v>254.46</v>
      </c>
      <c r="I12" s="286">
        <f t="shared" si="2"/>
        <v>2.0019986447494524</v>
      </c>
      <c r="J12" s="286">
        <f t="shared" si="7"/>
        <v>1.9843072893341784</v>
      </c>
      <c r="K12" s="294">
        <f t="shared" si="13"/>
        <v>59.400000000000013</v>
      </c>
      <c r="L12" s="294">
        <f t="shared" si="10"/>
        <v>0</v>
      </c>
      <c r="M12" s="294">
        <f t="shared" si="11"/>
        <v>1.8000000000000149</v>
      </c>
      <c r="N12" s="288">
        <f t="shared" si="12"/>
        <v>3.6000000000001364</v>
      </c>
      <c r="O12" s="288">
        <f t="shared" si="3"/>
        <v>1.6900000000000004</v>
      </c>
      <c r="P12" s="288">
        <f t="shared" si="4"/>
        <v>5.3599999999999994</v>
      </c>
      <c r="Q12" s="295">
        <f t="shared" si="8"/>
        <v>945</v>
      </c>
      <c r="R12" s="294">
        <f>IF($D12&gt;0,(($M12/30)*P$2)+$D12,"")</f>
        <v>15.480000000000018</v>
      </c>
      <c r="S12" s="294">
        <f>IF(E12&gt;0,((P12/30)*P$2)+E12,"")</f>
        <v>256.97333333333336</v>
      </c>
      <c r="T12" s="295">
        <f t="shared" si="5"/>
        <v>941.24301739107307</v>
      </c>
      <c r="U12" s="293"/>
    </row>
    <row r="13" spans="1:25" x14ac:dyDescent="0.25">
      <c r="A13" s="242"/>
      <c r="B13" s="284">
        <v>947</v>
      </c>
      <c r="C13" s="286">
        <f t="shared" si="6"/>
        <v>912</v>
      </c>
      <c r="D13" s="293">
        <v>13.49</v>
      </c>
      <c r="E13" s="293">
        <v>250.98</v>
      </c>
      <c r="F13" s="286">
        <f t="shared" si="1"/>
        <v>944.75</v>
      </c>
      <c r="G13" s="293">
        <v>13.49</v>
      </c>
      <c r="H13" s="284">
        <v>250.98</v>
      </c>
      <c r="I13" s="286">
        <f t="shared" si="2"/>
        <v>1.9981255039887977</v>
      </c>
      <c r="J13" s="286">
        <f t="shared" si="7"/>
        <v>1.3074805408686592</v>
      </c>
      <c r="K13" s="294">
        <f t="shared" si="13"/>
        <v>-27.150000000000006</v>
      </c>
      <c r="L13" s="294">
        <f t="shared" si="10"/>
        <v>-52.200000000000273</v>
      </c>
      <c r="M13" s="294">
        <f t="shared" si="11"/>
        <v>1.6499999999999915</v>
      </c>
      <c r="N13" s="288">
        <f t="shared" si="12"/>
        <v>3.8999999999998636</v>
      </c>
      <c r="O13" s="288">
        <f>IF(B13&lt;&gt;"",IF(AND(D13&gt;0, C13&lt;&gt;B$2), (D13 - C$2) / (C13 - B$2) * 30, "0"),"")</f>
        <v>1.6887096774193551</v>
      </c>
      <c r="P13" s="288">
        <f>IF(B13&lt;&gt;"",IF(AND(E13&gt;0, C13&lt;&gt;B$2), ABS((E13 - D$2) / (C13 - B$2)) * 30, "0"),"")</f>
        <v>5.3129032258064468</v>
      </c>
      <c r="Q13" s="295">
        <f t="shared" si="8"/>
        <v>947</v>
      </c>
      <c r="R13" s="294">
        <f t="shared" ref="R13:R44" si="14">IF($D13&gt;0,(($M13/30)*P$2)+$D13,"")</f>
        <v>15.41499999999999</v>
      </c>
      <c r="S13" s="294">
        <f t="shared" si="9"/>
        <v>257.1783870967742</v>
      </c>
      <c r="T13" s="295">
        <f t="shared" si="5"/>
        <v>943.17042341216086</v>
      </c>
      <c r="U13" s="293"/>
    </row>
    <row r="14" spans="1:25" x14ac:dyDescent="0.25">
      <c r="A14" s="296"/>
      <c r="B14" s="284">
        <v>949</v>
      </c>
      <c r="C14" s="286">
        <f t="shared" si="6"/>
        <v>914</v>
      </c>
      <c r="D14" s="293">
        <v>13.61</v>
      </c>
      <c r="E14" s="293">
        <v>251.5</v>
      </c>
      <c r="F14" s="286">
        <f t="shared" si="1"/>
        <v>946.75</v>
      </c>
      <c r="G14" s="293">
        <v>13.61</v>
      </c>
      <c r="H14" s="284">
        <v>251.5</v>
      </c>
      <c r="I14" s="286">
        <f t="shared" si="2"/>
        <v>2.011926820153553</v>
      </c>
      <c r="J14" s="286">
        <f t="shared" si="7"/>
        <v>1.3308869921428912</v>
      </c>
      <c r="K14" s="294">
        <f t="shared" si="13"/>
        <v>1.7999999999999883</v>
      </c>
      <c r="L14" s="294">
        <f t="shared" si="10"/>
        <v>7.8000000000001535</v>
      </c>
      <c r="M14" s="294">
        <f t="shared" si="11"/>
        <v>1.7999999999999883</v>
      </c>
      <c r="N14" s="288">
        <f t="shared" si="12"/>
        <v>7.8000000000001535</v>
      </c>
      <c r="O14" s="288">
        <f t="shared" si="3"/>
        <v>1.6921874999999997</v>
      </c>
      <c r="P14" s="288">
        <f t="shared" si="4"/>
        <v>5.390625</v>
      </c>
      <c r="Q14" s="295">
        <f t="shared" si="8"/>
        <v>949</v>
      </c>
      <c r="R14" s="294">
        <f t="shared" si="14"/>
        <v>15.709999999999987</v>
      </c>
      <c r="S14" s="294">
        <f t="shared" si="9"/>
        <v>257.7890625</v>
      </c>
      <c r="T14" s="295">
        <f t="shared" si="5"/>
        <v>945.01702267745577</v>
      </c>
      <c r="U14" s="293"/>
    </row>
    <row r="15" spans="1:25" x14ac:dyDescent="0.25">
      <c r="A15" s="242"/>
      <c r="B15" s="293">
        <v>951</v>
      </c>
      <c r="C15" s="286">
        <f t="shared" si="6"/>
        <v>916</v>
      </c>
      <c r="D15" s="293">
        <v>13.73</v>
      </c>
      <c r="E15" s="293">
        <v>251.5</v>
      </c>
      <c r="F15" s="286">
        <f t="shared" si="1"/>
        <v>948.75</v>
      </c>
      <c r="G15" s="293">
        <v>13.73</v>
      </c>
      <c r="H15" s="284">
        <v>251.5</v>
      </c>
      <c r="I15" s="286">
        <f t="shared" si="2"/>
        <v>1.999477122834225</v>
      </c>
      <c r="J15" s="286">
        <f t="shared" si="7"/>
        <v>1.3363593934892037</v>
      </c>
      <c r="K15" s="294">
        <f t="shared" si="13"/>
        <v>1.8000000000000149</v>
      </c>
      <c r="L15" s="294">
        <f t="shared" si="10"/>
        <v>0</v>
      </c>
      <c r="M15" s="294">
        <f t="shared" si="11"/>
        <v>1.8000000000000149</v>
      </c>
      <c r="N15" s="288">
        <f t="shared" si="12"/>
        <v>0</v>
      </c>
      <c r="O15" s="288">
        <f t="shared" si="3"/>
        <v>1.6954545454545455</v>
      </c>
      <c r="P15" s="288">
        <f t="shared" si="4"/>
        <v>5.2272727272727275</v>
      </c>
      <c r="Q15" s="295">
        <f t="shared" si="8"/>
        <v>951</v>
      </c>
      <c r="R15" s="294">
        <f t="shared" si="14"/>
        <v>15.830000000000018</v>
      </c>
      <c r="S15" s="294">
        <f t="shared" si="9"/>
        <v>257.59848484848487</v>
      </c>
      <c r="T15" s="295">
        <f t="shared" si="5"/>
        <v>946.89816220620355</v>
      </c>
      <c r="U15" s="293"/>
    </row>
    <row r="16" spans="1:25" x14ac:dyDescent="0.25">
      <c r="A16" s="296"/>
      <c r="B16" s="284">
        <v>953</v>
      </c>
      <c r="C16" s="286">
        <f t="shared" si="6"/>
        <v>918</v>
      </c>
      <c r="D16" s="293">
        <v>13.75</v>
      </c>
      <c r="E16" s="293">
        <v>251.75</v>
      </c>
      <c r="F16" s="286">
        <f t="shared" si="1"/>
        <v>950.75</v>
      </c>
      <c r="G16" s="293">
        <v>13.75</v>
      </c>
      <c r="H16" s="284">
        <v>251.75</v>
      </c>
      <c r="I16" s="286">
        <f t="shared" si="2"/>
        <v>1.9604219682588069</v>
      </c>
      <c r="J16" s="286">
        <f t="shared" si="7"/>
        <v>1.3231632143086736</v>
      </c>
      <c r="K16" s="294">
        <f t="shared" si="13"/>
        <v>0.29999999999999361</v>
      </c>
      <c r="L16" s="294">
        <f t="shared" si="10"/>
        <v>3.75</v>
      </c>
      <c r="M16" s="294">
        <f t="shared" si="11"/>
        <v>0.29999999999999361</v>
      </c>
      <c r="N16" s="288">
        <f t="shared" si="12"/>
        <v>3.75</v>
      </c>
      <c r="O16" s="288">
        <f t="shared" si="3"/>
        <v>1.6544117647058822</v>
      </c>
      <c r="P16" s="288">
        <f t="shared" si="4"/>
        <v>5.1838235294117645</v>
      </c>
      <c r="Q16" s="295">
        <f t="shared" si="8"/>
        <v>953</v>
      </c>
      <c r="R16" s="294">
        <f t="shared" si="14"/>
        <v>14.099999999999993</v>
      </c>
      <c r="S16" s="294">
        <f t="shared" si="9"/>
        <v>257.79779411764707</v>
      </c>
      <c r="T16" s="295">
        <f t="shared" si="5"/>
        <v>949.21299170163002</v>
      </c>
      <c r="U16" s="293"/>
    </row>
    <row r="17" spans="1:21" x14ac:dyDescent="0.25">
      <c r="A17" s="242"/>
      <c r="B17" s="284">
        <v>955</v>
      </c>
      <c r="C17" s="286">
        <f t="shared" si="6"/>
        <v>920</v>
      </c>
      <c r="D17" s="293">
        <v>13.85</v>
      </c>
      <c r="E17" s="293">
        <v>251.85</v>
      </c>
      <c r="F17" s="286">
        <f t="shared" si="1"/>
        <v>952.75</v>
      </c>
      <c r="G17" s="293">
        <v>13.75</v>
      </c>
      <c r="H17" s="284">
        <v>251.85</v>
      </c>
      <c r="I17" s="286">
        <f t="shared" si="2"/>
        <v>1.9472453834746117</v>
      </c>
      <c r="J17" s="286">
        <f t="shared" si="7"/>
        <v>1.3005850025227423</v>
      </c>
      <c r="K17" s="294">
        <f t="shared" si="13"/>
        <v>0</v>
      </c>
      <c r="L17" s="294">
        <f t="shared" si="10"/>
        <v>1.4999999999999147</v>
      </c>
      <c r="M17" s="294">
        <f t="shared" si="11"/>
        <v>1.4999999999999947</v>
      </c>
      <c r="N17" s="288">
        <f t="shared" si="12"/>
        <v>1.4999999999999147</v>
      </c>
      <c r="O17" s="288">
        <f t="shared" si="3"/>
        <v>1.65</v>
      </c>
      <c r="P17" s="288">
        <f t="shared" si="4"/>
        <v>5.0785714285714265</v>
      </c>
      <c r="Q17" s="295">
        <f t="shared" si="8"/>
        <v>955</v>
      </c>
      <c r="R17" s="294">
        <f t="shared" si="14"/>
        <v>15.599999999999994</v>
      </c>
      <c r="S17" s="294">
        <f t="shared" si="9"/>
        <v>257.77499999999998</v>
      </c>
      <c r="T17" s="295">
        <f t="shared" si="5"/>
        <v>950.79147848069954</v>
      </c>
      <c r="U17" s="293"/>
    </row>
    <row r="18" spans="1:21" x14ac:dyDescent="0.25">
      <c r="A18" s="296"/>
      <c r="B18" s="293"/>
      <c r="C18" s="286" t="str">
        <f t="shared" si="6"/>
        <v/>
      </c>
      <c r="D18" s="293"/>
      <c r="E18" s="293"/>
      <c r="F18" s="286" t="str">
        <f t="shared" si="1"/>
        <v/>
      </c>
      <c r="G18" s="293"/>
      <c r="H18" s="284"/>
      <c r="I18" s="286" t="str">
        <f t="shared" si="2"/>
        <v/>
      </c>
      <c r="J18" s="286" t="str">
        <f t="shared" si="7"/>
        <v/>
      </c>
      <c r="K18" s="294" t="str">
        <f t="shared" si="13"/>
        <v/>
      </c>
      <c r="L18" s="294" t="str">
        <f t="shared" si="10"/>
        <v/>
      </c>
      <c r="M18" s="294" t="str">
        <f t="shared" si="11"/>
        <v/>
      </c>
      <c r="N18" s="288" t="str">
        <f t="shared" si="12"/>
        <v/>
      </c>
      <c r="O18" s="288" t="str">
        <f t="shared" si="3"/>
        <v/>
      </c>
      <c r="P18" s="288" t="str">
        <f t="shared" si="4"/>
        <v/>
      </c>
      <c r="Q18" s="295" t="str">
        <f t="shared" si="8"/>
        <v/>
      </c>
      <c r="R18" s="294" t="str">
        <f t="shared" si="14"/>
        <v/>
      </c>
      <c r="S18" s="294" t="str">
        <f t="shared" si="9"/>
        <v/>
      </c>
      <c r="T18" s="295" t="str">
        <f t="shared" si="5"/>
        <v/>
      </c>
      <c r="U18" s="293"/>
    </row>
    <row r="19" spans="1:21" x14ac:dyDescent="0.25">
      <c r="A19" s="242"/>
      <c r="B19" s="284"/>
      <c r="C19" s="286" t="str">
        <f t="shared" si="6"/>
        <v/>
      </c>
      <c r="D19" s="293"/>
      <c r="E19" s="293"/>
      <c r="F19" s="286" t="str">
        <f t="shared" si="1"/>
        <v/>
      </c>
      <c r="G19" s="293"/>
      <c r="H19" s="284"/>
      <c r="I19" s="286" t="str">
        <f t="shared" si="2"/>
        <v/>
      </c>
      <c r="J19" s="286" t="str">
        <f t="shared" si="7"/>
        <v/>
      </c>
      <c r="K19" s="294" t="str">
        <f t="shared" si="13"/>
        <v/>
      </c>
      <c r="L19" s="294" t="str">
        <f t="shared" si="10"/>
        <v/>
      </c>
      <c r="M19" s="294" t="str">
        <f t="shared" si="11"/>
        <v/>
      </c>
      <c r="N19" s="288" t="str">
        <f t="shared" si="12"/>
        <v/>
      </c>
      <c r="O19" s="288" t="str">
        <f t="shared" si="3"/>
        <v/>
      </c>
      <c r="P19" s="288" t="str">
        <f t="shared" si="4"/>
        <v/>
      </c>
      <c r="Q19" s="295" t="str">
        <f t="shared" si="8"/>
        <v/>
      </c>
      <c r="R19" s="294" t="str">
        <f t="shared" si="14"/>
        <v/>
      </c>
      <c r="S19" s="294" t="str">
        <f t="shared" si="9"/>
        <v/>
      </c>
      <c r="T19" s="295" t="str">
        <f t="shared" si="5"/>
        <v/>
      </c>
      <c r="U19" s="293"/>
    </row>
    <row r="20" spans="1:21" x14ac:dyDescent="0.25">
      <c r="A20" s="296"/>
      <c r="B20" s="284"/>
      <c r="C20" s="286" t="str">
        <f t="shared" si="6"/>
        <v/>
      </c>
      <c r="D20" s="293"/>
      <c r="E20" s="293"/>
      <c r="F20" s="286" t="str">
        <f t="shared" si="1"/>
        <v/>
      </c>
      <c r="G20" s="293"/>
      <c r="H20" s="284"/>
      <c r="I20" s="286" t="str">
        <f t="shared" si="2"/>
        <v/>
      </c>
      <c r="J20" s="286" t="str">
        <f t="shared" si="7"/>
        <v/>
      </c>
      <c r="K20" s="294" t="str">
        <f t="shared" si="13"/>
        <v/>
      </c>
      <c r="L20" s="294" t="str">
        <f t="shared" si="10"/>
        <v/>
      </c>
      <c r="M20" s="294" t="str">
        <f t="shared" si="11"/>
        <v/>
      </c>
      <c r="N20" s="288" t="str">
        <f t="shared" si="12"/>
        <v/>
      </c>
      <c r="O20" s="288" t="str">
        <f t="shared" si="3"/>
        <v/>
      </c>
      <c r="P20" s="288" t="str">
        <f t="shared" si="4"/>
        <v/>
      </c>
      <c r="Q20" s="295" t="str">
        <f t="shared" si="8"/>
        <v/>
      </c>
      <c r="R20" s="294" t="str">
        <f t="shared" si="14"/>
        <v/>
      </c>
      <c r="S20" s="294" t="str">
        <f t="shared" si="9"/>
        <v/>
      </c>
      <c r="T20" s="295" t="str">
        <f t="shared" si="5"/>
        <v/>
      </c>
      <c r="U20" s="293"/>
    </row>
    <row r="21" spans="1:21" x14ac:dyDescent="0.25">
      <c r="A21" s="242"/>
      <c r="B21" s="293"/>
      <c r="C21" s="286" t="str">
        <f t="shared" si="6"/>
        <v/>
      </c>
      <c r="D21" s="293"/>
      <c r="E21" s="293"/>
      <c r="F21" s="286" t="str">
        <f t="shared" si="1"/>
        <v/>
      </c>
      <c r="G21" s="293"/>
      <c r="H21" s="284"/>
      <c r="I21" s="286" t="str">
        <f t="shared" si="2"/>
        <v/>
      </c>
      <c r="J21" s="286" t="str">
        <f t="shared" si="7"/>
        <v/>
      </c>
      <c r="K21" s="294" t="str">
        <f t="shared" si="13"/>
        <v/>
      </c>
      <c r="L21" s="294" t="str">
        <f t="shared" si="10"/>
        <v/>
      </c>
      <c r="M21" s="294" t="str">
        <f t="shared" si="11"/>
        <v/>
      </c>
      <c r="N21" s="288" t="str">
        <f t="shared" si="12"/>
        <v/>
      </c>
      <c r="O21" s="288" t="str">
        <f t="shared" si="3"/>
        <v/>
      </c>
      <c r="P21" s="288" t="str">
        <f t="shared" si="4"/>
        <v/>
      </c>
      <c r="Q21" s="295" t="str">
        <f t="shared" si="8"/>
        <v/>
      </c>
      <c r="R21" s="294" t="str">
        <f t="shared" si="14"/>
        <v/>
      </c>
      <c r="S21" s="294" t="str">
        <f t="shared" si="9"/>
        <v/>
      </c>
      <c r="T21" s="295" t="str">
        <f t="shared" si="5"/>
        <v/>
      </c>
      <c r="U21" s="293"/>
    </row>
    <row r="22" spans="1:21" x14ac:dyDescent="0.25">
      <c r="A22" s="296"/>
      <c r="B22" s="284"/>
      <c r="C22" s="286" t="str">
        <f t="shared" si="6"/>
        <v/>
      </c>
      <c r="D22" s="293"/>
      <c r="E22" s="293"/>
      <c r="F22" s="286" t="str">
        <f t="shared" si="1"/>
        <v/>
      </c>
      <c r="G22" s="293"/>
      <c r="H22" s="284"/>
      <c r="I22" s="286" t="str">
        <f t="shared" si="2"/>
        <v/>
      </c>
      <c r="J22" s="286" t="str">
        <f t="shared" si="7"/>
        <v/>
      </c>
      <c r="K22" s="294" t="str">
        <f t="shared" si="13"/>
        <v/>
      </c>
      <c r="L22" s="294" t="str">
        <f t="shared" si="10"/>
        <v/>
      </c>
      <c r="M22" s="294" t="str">
        <f t="shared" si="11"/>
        <v/>
      </c>
      <c r="N22" s="288" t="str">
        <f t="shared" si="12"/>
        <v/>
      </c>
      <c r="O22" s="288" t="str">
        <f t="shared" si="3"/>
        <v/>
      </c>
      <c r="P22" s="288" t="str">
        <f t="shared" si="4"/>
        <v/>
      </c>
      <c r="Q22" s="295" t="str">
        <f t="shared" si="8"/>
        <v/>
      </c>
      <c r="R22" s="294" t="str">
        <f t="shared" si="14"/>
        <v/>
      </c>
      <c r="S22" s="294" t="str">
        <f t="shared" si="9"/>
        <v/>
      </c>
      <c r="T22" s="295" t="str">
        <f t="shared" si="5"/>
        <v/>
      </c>
      <c r="U22" s="293"/>
    </row>
    <row r="23" spans="1:21" x14ac:dyDescent="0.25">
      <c r="A23" s="242"/>
      <c r="B23" s="293"/>
      <c r="C23" s="286" t="str">
        <f t="shared" si="6"/>
        <v/>
      </c>
      <c r="D23" s="293"/>
      <c r="E23" s="293"/>
      <c r="F23" s="286" t="str">
        <f t="shared" si="1"/>
        <v/>
      </c>
      <c r="G23" s="293"/>
      <c r="H23" s="284"/>
      <c r="I23" s="286" t="str">
        <f t="shared" si="2"/>
        <v/>
      </c>
      <c r="J23" s="286" t="str">
        <f t="shared" si="7"/>
        <v/>
      </c>
      <c r="K23" s="294" t="str">
        <f t="shared" si="13"/>
        <v/>
      </c>
      <c r="L23" s="294" t="str">
        <f t="shared" si="10"/>
        <v/>
      </c>
      <c r="M23" s="294" t="str">
        <f t="shared" si="11"/>
        <v/>
      </c>
      <c r="N23" s="288" t="str">
        <f t="shared" si="12"/>
        <v/>
      </c>
      <c r="O23" s="288" t="str">
        <f t="shared" si="3"/>
        <v/>
      </c>
      <c r="P23" s="288" t="str">
        <f t="shared" si="4"/>
        <v/>
      </c>
      <c r="Q23" s="295" t="str">
        <f t="shared" si="8"/>
        <v/>
      </c>
      <c r="R23" s="294" t="str">
        <f t="shared" si="14"/>
        <v/>
      </c>
      <c r="S23" s="294" t="str">
        <f t="shared" si="9"/>
        <v/>
      </c>
      <c r="T23" s="295" t="str">
        <f t="shared" si="5"/>
        <v/>
      </c>
      <c r="U23" s="293"/>
    </row>
    <row r="24" spans="1:21" x14ac:dyDescent="0.25">
      <c r="A24" s="296"/>
      <c r="B24" s="284"/>
      <c r="C24" s="286" t="str">
        <f t="shared" si="6"/>
        <v/>
      </c>
      <c r="D24" s="293"/>
      <c r="E24" s="293"/>
      <c r="F24" s="286" t="str">
        <f t="shared" si="1"/>
        <v/>
      </c>
      <c r="G24" s="293"/>
      <c r="H24" s="284"/>
      <c r="I24" s="286" t="str">
        <f t="shared" si="2"/>
        <v/>
      </c>
      <c r="J24" s="286" t="str">
        <f t="shared" si="7"/>
        <v/>
      </c>
      <c r="K24" s="294" t="str">
        <f t="shared" si="13"/>
        <v/>
      </c>
      <c r="L24" s="294" t="str">
        <f t="shared" si="10"/>
        <v/>
      </c>
      <c r="M24" s="294" t="str">
        <f t="shared" si="11"/>
        <v/>
      </c>
      <c r="N24" s="288" t="str">
        <f t="shared" si="12"/>
        <v/>
      </c>
      <c r="O24" s="288" t="str">
        <f t="shared" si="3"/>
        <v/>
      </c>
      <c r="P24" s="288" t="str">
        <f t="shared" si="4"/>
        <v/>
      </c>
      <c r="Q24" s="295" t="str">
        <f t="shared" si="8"/>
        <v/>
      </c>
      <c r="R24" s="294" t="str">
        <f t="shared" si="14"/>
        <v/>
      </c>
      <c r="S24" s="294" t="str">
        <f t="shared" si="9"/>
        <v/>
      </c>
      <c r="T24" s="295" t="str">
        <f t="shared" si="5"/>
        <v/>
      </c>
      <c r="U24" s="293"/>
    </row>
    <row r="25" spans="1:21" x14ac:dyDescent="0.25">
      <c r="A25" s="242"/>
      <c r="B25" s="293"/>
      <c r="C25" s="286" t="str">
        <f t="shared" si="6"/>
        <v/>
      </c>
      <c r="D25" s="293"/>
      <c r="E25" s="293"/>
      <c r="F25" s="286" t="str">
        <f t="shared" si="1"/>
        <v/>
      </c>
      <c r="G25" s="293"/>
      <c r="H25" s="284"/>
      <c r="I25" s="286" t="str">
        <f t="shared" si="2"/>
        <v/>
      </c>
      <c r="J25" s="286" t="str">
        <f t="shared" si="7"/>
        <v/>
      </c>
      <c r="K25" s="294" t="str">
        <f t="shared" si="13"/>
        <v/>
      </c>
      <c r="L25" s="294" t="str">
        <f t="shared" si="10"/>
        <v/>
      </c>
      <c r="M25" s="294" t="str">
        <f t="shared" si="11"/>
        <v/>
      </c>
      <c r="N25" s="288" t="str">
        <f t="shared" si="12"/>
        <v/>
      </c>
      <c r="O25" s="288" t="str">
        <f t="shared" si="3"/>
        <v/>
      </c>
      <c r="P25" s="288" t="str">
        <f t="shared" si="4"/>
        <v/>
      </c>
      <c r="Q25" s="295" t="str">
        <f t="shared" si="8"/>
        <v/>
      </c>
      <c r="R25" s="294" t="str">
        <f t="shared" si="14"/>
        <v/>
      </c>
      <c r="S25" s="294" t="str">
        <f t="shared" si="9"/>
        <v/>
      </c>
      <c r="T25" s="295" t="str">
        <f t="shared" si="5"/>
        <v/>
      </c>
      <c r="U25" s="293"/>
    </row>
    <row r="26" spans="1:21" x14ac:dyDescent="0.25">
      <c r="A26" s="296"/>
      <c r="B26" s="284"/>
      <c r="C26" s="286" t="str">
        <f t="shared" si="6"/>
        <v/>
      </c>
      <c r="D26" s="293"/>
      <c r="E26" s="293"/>
      <c r="F26" s="286" t="str">
        <f t="shared" si="1"/>
        <v/>
      </c>
      <c r="G26" s="293"/>
      <c r="H26" s="284"/>
      <c r="I26" s="286" t="str">
        <f t="shared" si="2"/>
        <v/>
      </c>
      <c r="J26" s="286" t="str">
        <f t="shared" si="7"/>
        <v/>
      </c>
      <c r="K26" s="294" t="str">
        <f t="shared" si="13"/>
        <v/>
      </c>
      <c r="L26" s="294" t="str">
        <f t="shared" si="10"/>
        <v/>
      </c>
      <c r="M26" s="294" t="str">
        <f t="shared" si="11"/>
        <v/>
      </c>
      <c r="N26" s="288" t="str">
        <f t="shared" si="12"/>
        <v/>
      </c>
      <c r="O26" s="288" t="str">
        <f t="shared" si="3"/>
        <v/>
      </c>
      <c r="P26" s="288" t="str">
        <f t="shared" si="4"/>
        <v/>
      </c>
      <c r="Q26" s="295" t="str">
        <f t="shared" si="8"/>
        <v/>
      </c>
      <c r="R26" s="294" t="str">
        <f t="shared" si="14"/>
        <v/>
      </c>
      <c r="S26" s="294" t="str">
        <f t="shared" si="9"/>
        <v/>
      </c>
      <c r="T26" s="295" t="str">
        <f t="shared" si="5"/>
        <v/>
      </c>
      <c r="U26" s="293"/>
    </row>
    <row r="27" spans="1:21" x14ac:dyDescent="0.25">
      <c r="A27" s="242"/>
      <c r="B27" s="293"/>
      <c r="C27" s="286" t="str">
        <f t="shared" si="6"/>
        <v/>
      </c>
      <c r="D27" s="293"/>
      <c r="E27" s="293"/>
      <c r="F27" s="286" t="str">
        <f t="shared" si="1"/>
        <v/>
      </c>
      <c r="G27" s="293"/>
      <c r="H27" s="284"/>
      <c r="I27" s="286" t="str">
        <f t="shared" si="2"/>
        <v/>
      </c>
      <c r="J27" s="286" t="str">
        <f t="shared" si="7"/>
        <v/>
      </c>
      <c r="K27" s="294" t="str">
        <f t="shared" si="13"/>
        <v/>
      </c>
      <c r="L27" s="294" t="str">
        <f t="shared" si="10"/>
        <v/>
      </c>
      <c r="M27" s="294" t="str">
        <f t="shared" si="11"/>
        <v/>
      </c>
      <c r="N27" s="288" t="str">
        <f t="shared" si="12"/>
        <v/>
      </c>
      <c r="O27" s="288" t="str">
        <f t="shared" si="3"/>
        <v/>
      </c>
      <c r="P27" s="288" t="str">
        <f t="shared" si="4"/>
        <v/>
      </c>
      <c r="Q27" s="295" t="str">
        <f t="shared" si="8"/>
        <v/>
      </c>
      <c r="R27" s="294" t="str">
        <f t="shared" si="14"/>
        <v/>
      </c>
      <c r="S27" s="294" t="str">
        <f t="shared" si="9"/>
        <v/>
      </c>
      <c r="T27" s="295" t="str">
        <f t="shared" si="5"/>
        <v/>
      </c>
      <c r="U27" s="293"/>
    </row>
    <row r="28" spans="1:21" x14ac:dyDescent="0.25">
      <c r="A28" s="296"/>
      <c r="B28" s="284"/>
      <c r="C28" s="286" t="str">
        <f t="shared" si="6"/>
        <v/>
      </c>
      <c r="D28" s="293"/>
      <c r="E28" s="293"/>
      <c r="F28" s="286" t="str">
        <f t="shared" si="1"/>
        <v/>
      </c>
      <c r="G28" s="293"/>
      <c r="H28" s="284"/>
      <c r="I28" s="286" t="str">
        <f t="shared" si="2"/>
        <v/>
      </c>
      <c r="J28" s="286" t="str">
        <f t="shared" si="7"/>
        <v/>
      </c>
      <c r="K28" s="294" t="str">
        <f t="shared" si="13"/>
        <v/>
      </c>
      <c r="L28" s="294" t="str">
        <f t="shared" si="10"/>
        <v/>
      </c>
      <c r="M28" s="294" t="str">
        <f t="shared" si="11"/>
        <v/>
      </c>
      <c r="N28" s="288" t="str">
        <f t="shared" si="12"/>
        <v/>
      </c>
      <c r="O28" s="288" t="str">
        <f t="shared" si="3"/>
        <v/>
      </c>
      <c r="P28" s="288" t="str">
        <f t="shared" si="4"/>
        <v/>
      </c>
      <c r="Q28" s="295" t="str">
        <f t="shared" si="8"/>
        <v/>
      </c>
      <c r="R28" s="294" t="str">
        <f t="shared" si="14"/>
        <v/>
      </c>
      <c r="S28" s="294" t="str">
        <f t="shared" si="9"/>
        <v/>
      </c>
      <c r="T28" s="295" t="str">
        <f t="shared" si="5"/>
        <v/>
      </c>
      <c r="U28" s="293"/>
    </row>
    <row r="29" spans="1:21" x14ac:dyDescent="0.25">
      <c r="A29" s="242"/>
      <c r="B29" s="293"/>
      <c r="C29" s="286" t="str">
        <f t="shared" si="6"/>
        <v/>
      </c>
      <c r="D29" s="293"/>
      <c r="E29" s="293"/>
      <c r="F29" s="286" t="str">
        <f t="shared" si="1"/>
        <v/>
      </c>
      <c r="G29" s="293"/>
      <c r="H29" s="284"/>
      <c r="I29" s="286" t="str">
        <f t="shared" si="2"/>
        <v/>
      </c>
      <c r="J29" s="286" t="str">
        <f t="shared" si="7"/>
        <v/>
      </c>
      <c r="K29" s="294" t="str">
        <f t="shared" si="13"/>
        <v/>
      </c>
      <c r="L29" s="294" t="str">
        <f t="shared" si="10"/>
        <v/>
      </c>
      <c r="M29" s="294" t="str">
        <f t="shared" si="11"/>
        <v/>
      </c>
      <c r="N29" s="288" t="str">
        <f t="shared" si="12"/>
        <v/>
      </c>
      <c r="O29" s="288" t="str">
        <f t="shared" si="3"/>
        <v/>
      </c>
      <c r="P29" s="288" t="str">
        <f t="shared" si="4"/>
        <v/>
      </c>
      <c r="Q29" s="295" t="str">
        <f t="shared" si="8"/>
        <v/>
      </c>
      <c r="R29" s="294" t="str">
        <f t="shared" si="14"/>
        <v/>
      </c>
      <c r="S29" s="294" t="str">
        <f t="shared" si="9"/>
        <v/>
      </c>
      <c r="T29" s="295" t="str">
        <f t="shared" si="5"/>
        <v/>
      </c>
      <c r="U29" s="293"/>
    </row>
    <row r="30" spans="1:21" x14ac:dyDescent="0.25">
      <c r="A30" s="296"/>
      <c r="B30" s="284"/>
      <c r="C30" s="286" t="str">
        <f t="shared" si="6"/>
        <v/>
      </c>
      <c r="D30" s="293"/>
      <c r="E30" s="293"/>
      <c r="F30" s="286" t="str">
        <f t="shared" si="1"/>
        <v/>
      </c>
      <c r="G30" s="293"/>
      <c r="H30" s="284"/>
      <c r="I30" s="286" t="str">
        <f t="shared" si="2"/>
        <v/>
      </c>
      <c r="J30" s="286" t="str">
        <f t="shared" si="7"/>
        <v/>
      </c>
      <c r="K30" s="294" t="str">
        <f t="shared" si="13"/>
        <v/>
      </c>
      <c r="L30" s="294" t="str">
        <f t="shared" si="10"/>
        <v/>
      </c>
      <c r="M30" s="294" t="str">
        <f t="shared" si="11"/>
        <v/>
      </c>
      <c r="N30" s="288" t="str">
        <f t="shared" si="12"/>
        <v/>
      </c>
      <c r="O30" s="288" t="str">
        <f t="shared" si="3"/>
        <v/>
      </c>
      <c r="P30" s="288" t="str">
        <f t="shared" si="4"/>
        <v/>
      </c>
      <c r="Q30" s="295" t="str">
        <f t="shared" si="8"/>
        <v/>
      </c>
      <c r="R30" s="294" t="str">
        <f t="shared" si="14"/>
        <v/>
      </c>
      <c r="S30" s="294" t="str">
        <f t="shared" si="9"/>
        <v/>
      </c>
      <c r="T30" s="295" t="str">
        <f t="shared" si="5"/>
        <v/>
      </c>
      <c r="U30" s="293"/>
    </row>
    <row r="31" spans="1:21" x14ac:dyDescent="0.25">
      <c r="A31" s="242"/>
      <c r="B31" s="293"/>
      <c r="C31" s="286" t="str">
        <f t="shared" si="6"/>
        <v/>
      </c>
      <c r="D31" s="293"/>
      <c r="E31" s="293"/>
      <c r="F31" s="286" t="str">
        <f t="shared" si="1"/>
        <v/>
      </c>
      <c r="G31" s="293"/>
      <c r="H31" s="284"/>
      <c r="I31" s="286" t="str">
        <f t="shared" si="2"/>
        <v/>
      </c>
      <c r="J31" s="286" t="str">
        <f t="shared" si="7"/>
        <v/>
      </c>
      <c r="K31" s="294" t="str">
        <f t="shared" si="13"/>
        <v/>
      </c>
      <c r="L31" s="294" t="str">
        <f t="shared" si="10"/>
        <v/>
      </c>
      <c r="M31" s="294" t="str">
        <f t="shared" si="11"/>
        <v/>
      </c>
      <c r="N31" s="288" t="str">
        <f t="shared" si="12"/>
        <v/>
      </c>
      <c r="O31" s="288" t="str">
        <f t="shared" si="3"/>
        <v/>
      </c>
      <c r="P31" s="288" t="str">
        <f t="shared" si="4"/>
        <v/>
      </c>
      <c r="Q31" s="295" t="str">
        <f t="shared" si="8"/>
        <v/>
      </c>
      <c r="R31" s="294" t="str">
        <f t="shared" si="14"/>
        <v/>
      </c>
      <c r="S31" s="294" t="str">
        <f t="shared" si="9"/>
        <v/>
      </c>
      <c r="T31" s="295" t="str">
        <f t="shared" si="5"/>
        <v/>
      </c>
      <c r="U31" s="293"/>
    </row>
    <row r="32" spans="1:21" x14ac:dyDescent="0.25">
      <c r="A32" s="296"/>
      <c r="B32" s="284"/>
      <c r="C32" s="286" t="str">
        <f t="shared" si="6"/>
        <v/>
      </c>
      <c r="D32" s="293"/>
      <c r="E32" s="293"/>
      <c r="F32" s="286" t="str">
        <f t="shared" si="1"/>
        <v/>
      </c>
      <c r="G32" s="293"/>
      <c r="H32" s="284"/>
      <c r="I32" s="286" t="str">
        <f t="shared" si="2"/>
        <v/>
      </c>
      <c r="J32" s="286" t="str">
        <f t="shared" si="7"/>
        <v/>
      </c>
      <c r="K32" s="294" t="str">
        <f t="shared" si="13"/>
        <v/>
      </c>
      <c r="L32" s="294" t="str">
        <f t="shared" si="10"/>
        <v/>
      </c>
      <c r="M32" s="294" t="str">
        <f t="shared" si="11"/>
        <v/>
      </c>
      <c r="N32" s="288" t="str">
        <f t="shared" si="12"/>
        <v/>
      </c>
      <c r="O32" s="288" t="str">
        <f t="shared" si="3"/>
        <v/>
      </c>
      <c r="P32" s="288" t="str">
        <f t="shared" si="4"/>
        <v/>
      </c>
      <c r="Q32" s="295" t="str">
        <f t="shared" si="8"/>
        <v/>
      </c>
      <c r="R32" s="294" t="str">
        <f t="shared" si="14"/>
        <v/>
      </c>
      <c r="S32" s="294" t="str">
        <f t="shared" si="9"/>
        <v/>
      </c>
      <c r="T32" s="295" t="str">
        <f t="shared" si="5"/>
        <v/>
      </c>
      <c r="U32" s="293"/>
    </row>
    <row r="33" spans="1:21" x14ac:dyDescent="0.25">
      <c r="A33" s="242"/>
      <c r="B33" s="293"/>
      <c r="C33" s="286" t="str">
        <f t="shared" si="6"/>
        <v/>
      </c>
      <c r="D33" s="293"/>
      <c r="E33" s="293"/>
      <c r="F33" s="286" t="str">
        <f t="shared" si="1"/>
        <v/>
      </c>
      <c r="G33" s="293"/>
      <c r="H33" s="284"/>
      <c r="I33" s="286" t="str">
        <f t="shared" si="2"/>
        <v/>
      </c>
      <c r="J33" s="286" t="str">
        <f t="shared" si="7"/>
        <v/>
      </c>
      <c r="K33" s="294" t="str">
        <f t="shared" si="13"/>
        <v/>
      </c>
      <c r="L33" s="294" t="str">
        <f t="shared" si="10"/>
        <v/>
      </c>
      <c r="M33" s="294" t="str">
        <f t="shared" si="11"/>
        <v/>
      </c>
      <c r="N33" s="288" t="str">
        <f t="shared" si="12"/>
        <v/>
      </c>
      <c r="O33" s="288" t="str">
        <f t="shared" si="3"/>
        <v/>
      </c>
      <c r="P33" s="288" t="str">
        <f t="shared" si="4"/>
        <v/>
      </c>
      <c r="Q33" s="295" t="str">
        <f t="shared" si="8"/>
        <v/>
      </c>
      <c r="R33" s="294" t="str">
        <f t="shared" si="14"/>
        <v/>
      </c>
      <c r="S33" s="294" t="str">
        <f t="shared" si="9"/>
        <v/>
      </c>
      <c r="T33" s="295" t="str">
        <f t="shared" si="5"/>
        <v/>
      </c>
      <c r="U33" s="293"/>
    </row>
    <row r="34" spans="1:21" x14ac:dyDescent="0.25">
      <c r="A34" s="296"/>
      <c r="B34" s="284"/>
      <c r="C34" s="286" t="str">
        <f t="shared" si="6"/>
        <v/>
      </c>
      <c r="D34" s="293"/>
      <c r="E34" s="293"/>
      <c r="F34" s="286" t="str">
        <f t="shared" si="1"/>
        <v/>
      </c>
      <c r="G34" s="293"/>
      <c r="H34" s="284"/>
      <c r="I34" s="286" t="str">
        <f t="shared" si="2"/>
        <v/>
      </c>
      <c r="J34" s="286" t="str">
        <f t="shared" si="7"/>
        <v/>
      </c>
      <c r="K34" s="294" t="str">
        <f t="shared" si="13"/>
        <v/>
      </c>
      <c r="L34" s="294" t="str">
        <f t="shared" si="10"/>
        <v/>
      </c>
      <c r="M34" s="294" t="str">
        <f t="shared" si="11"/>
        <v/>
      </c>
      <c r="N34" s="288" t="str">
        <f t="shared" si="12"/>
        <v/>
      </c>
      <c r="O34" s="288" t="str">
        <f t="shared" si="3"/>
        <v/>
      </c>
      <c r="P34" s="288" t="str">
        <f t="shared" si="4"/>
        <v/>
      </c>
      <c r="Q34" s="295" t="str">
        <f t="shared" si="8"/>
        <v/>
      </c>
      <c r="R34" s="294" t="str">
        <f t="shared" si="14"/>
        <v/>
      </c>
      <c r="S34" s="294" t="str">
        <f t="shared" si="9"/>
        <v/>
      </c>
      <c r="T34" s="295" t="str">
        <f t="shared" si="5"/>
        <v/>
      </c>
      <c r="U34" s="293"/>
    </row>
    <row r="35" spans="1:21" x14ac:dyDescent="0.25">
      <c r="A35" s="242"/>
      <c r="B35" s="293"/>
      <c r="C35" s="286" t="str">
        <f t="shared" si="6"/>
        <v/>
      </c>
      <c r="D35" s="293"/>
      <c r="E35" s="293"/>
      <c r="F35" s="286" t="str">
        <f t="shared" si="1"/>
        <v/>
      </c>
      <c r="G35" s="293"/>
      <c r="H35" s="284"/>
      <c r="I35" s="286" t="str">
        <f t="shared" si="2"/>
        <v/>
      </c>
      <c r="J35" s="286" t="str">
        <f t="shared" si="7"/>
        <v/>
      </c>
      <c r="K35" s="294" t="str">
        <f t="shared" si="13"/>
        <v/>
      </c>
      <c r="L35" s="294" t="str">
        <f t="shared" si="10"/>
        <v/>
      </c>
      <c r="M35" s="294" t="str">
        <f t="shared" si="11"/>
        <v/>
      </c>
      <c r="N35" s="288" t="str">
        <f t="shared" si="12"/>
        <v/>
      </c>
      <c r="O35" s="288" t="str">
        <f t="shared" si="3"/>
        <v/>
      </c>
      <c r="P35" s="288" t="str">
        <f t="shared" si="4"/>
        <v/>
      </c>
      <c r="Q35" s="295" t="str">
        <f t="shared" si="8"/>
        <v/>
      </c>
      <c r="R35" s="294" t="str">
        <f t="shared" si="14"/>
        <v/>
      </c>
      <c r="S35" s="294" t="str">
        <f t="shared" si="9"/>
        <v/>
      </c>
      <c r="T35" s="295" t="str">
        <f t="shared" si="5"/>
        <v/>
      </c>
      <c r="U35" s="293"/>
    </row>
    <row r="36" spans="1:21" x14ac:dyDescent="0.25">
      <c r="A36" s="296"/>
      <c r="B36" s="284"/>
      <c r="C36" s="286" t="str">
        <f t="shared" si="6"/>
        <v/>
      </c>
      <c r="D36" s="293"/>
      <c r="E36" s="293"/>
      <c r="F36" s="286" t="str">
        <f t="shared" si="1"/>
        <v/>
      </c>
      <c r="G36" s="293"/>
      <c r="H36" s="284"/>
      <c r="I36" s="286" t="str">
        <f t="shared" si="2"/>
        <v/>
      </c>
      <c r="J36" s="286" t="str">
        <f t="shared" si="7"/>
        <v/>
      </c>
      <c r="K36" s="294" t="str">
        <f t="shared" si="13"/>
        <v/>
      </c>
      <c r="L36" s="294" t="str">
        <f t="shared" si="10"/>
        <v/>
      </c>
      <c r="M36" s="294" t="str">
        <f t="shared" si="11"/>
        <v/>
      </c>
      <c r="N36" s="288" t="str">
        <f t="shared" si="12"/>
        <v/>
      </c>
      <c r="O36" s="288" t="str">
        <f t="shared" si="3"/>
        <v/>
      </c>
      <c r="P36" s="288" t="str">
        <f t="shared" si="4"/>
        <v/>
      </c>
      <c r="Q36" s="295" t="str">
        <f t="shared" si="8"/>
        <v/>
      </c>
      <c r="R36" s="294" t="str">
        <f t="shared" si="14"/>
        <v/>
      </c>
      <c r="S36" s="294" t="str">
        <f t="shared" si="9"/>
        <v/>
      </c>
      <c r="T36" s="295" t="str">
        <f t="shared" si="5"/>
        <v/>
      </c>
      <c r="U36" s="293"/>
    </row>
    <row r="37" spans="1:21" x14ac:dyDescent="0.25">
      <c r="A37" s="242"/>
      <c r="B37" s="293"/>
      <c r="C37" s="286" t="str">
        <f t="shared" si="6"/>
        <v/>
      </c>
      <c r="D37" s="293"/>
      <c r="E37" s="293"/>
      <c r="F37" s="286" t="str">
        <f t="shared" si="1"/>
        <v/>
      </c>
      <c r="G37" s="293"/>
      <c r="H37" s="284"/>
      <c r="I37" s="286" t="str">
        <f t="shared" si="2"/>
        <v/>
      </c>
      <c r="J37" s="286" t="str">
        <f t="shared" si="7"/>
        <v/>
      </c>
      <c r="K37" s="294" t="str">
        <f t="shared" si="13"/>
        <v/>
      </c>
      <c r="L37" s="294" t="str">
        <f t="shared" si="10"/>
        <v/>
      </c>
      <c r="M37" s="294" t="str">
        <f t="shared" si="11"/>
        <v/>
      </c>
      <c r="N37" s="288" t="str">
        <f t="shared" si="12"/>
        <v/>
      </c>
      <c r="O37" s="288" t="str">
        <f t="shared" si="3"/>
        <v/>
      </c>
      <c r="P37" s="288" t="str">
        <f t="shared" si="4"/>
        <v/>
      </c>
      <c r="Q37" s="295" t="str">
        <f t="shared" si="8"/>
        <v/>
      </c>
      <c r="R37" s="294" t="str">
        <f t="shared" si="14"/>
        <v/>
      </c>
      <c r="S37" s="294" t="str">
        <f t="shared" si="9"/>
        <v/>
      </c>
      <c r="T37" s="295" t="str">
        <f t="shared" si="5"/>
        <v/>
      </c>
      <c r="U37" s="293"/>
    </row>
    <row r="38" spans="1:21" x14ac:dyDescent="0.25">
      <c r="A38" s="296"/>
      <c r="B38" s="284"/>
      <c r="C38" s="286" t="str">
        <f t="shared" si="6"/>
        <v/>
      </c>
      <c r="D38" s="293"/>
      <c r="E38" s="293"/>
      <c r="F38" s="286" t="str">
        <f t="shared" si="1"/>
        <v/>
      </c>
      <c r="G38" s="293"/>
      <c r="H38" s="284"/>
      <c r="I38" s="286" t="str">
        <f t="shared" si="2"/>
        <v/>
      </c>
      <c r="J38" s="286" t="str">
        <f t="shared" si="7"/>
        <v/>
      </c>
      <c r="K38" s="294" t="str">
        <f t="shared" si="13"/>
        <v/>
      </c>
      <c r="L38" s="294" t="str">
        <f t="shared" si="10"/>
        <v/>
      </c>
      <c r="M38" s="294" t="str">
        <f t="shared" si="11"/>
        <v/>
      </c>
      <c r="N38" s="288" t="str">
        <f t="shared" si="12"/>
        <v/>
      </c>
      <c r="O38" s="288" t="str">
        <f t="shared" si="3"/>
        <v/>
      </c>
      <c r="P38" s="288" t="str">
        <f t="shared" si="4"/>
        <v/>
      </c>
      <c r="Q38" s="295" t="str">
        <f t="shared" si="8"/>
        <v/>
      </c>
      <c r="R38" s="294" t="str">
        <f t="shared" si="14"/>
        <v/>
      </c>
      <c r="S38" s="294" t="str">
        <f t="shared" si="9"/>
        <v/>
      </c>
      <c r="T38" s="295" t="str">
        <f t="shared" si="5"/>
        <v/>
      </c>
      <c r="U38" s="293"/>
    </row>
    <row r="39" spans="1:21" x14ac:dyDescent="0.25">
      <c r="A39" s="242"/>
      <c r="B39" s="293"/>
      <c r="C39" s="286" t="str">
        <f t="shared" si="6"/>
        <v/>
      </c>
      <c r="D39" s="293"/>
      <c r="E39" s="293"/>
      <c r="F39" s="286" t="str">
        <f t="shared" si="1"/>
        <v/>
      </c>
      <c r="G39" s="293"/>
      <c r="H39" s="284"/>
      <c r="I39" s="286" t="str">
        <f t="shared" si="2"/>
        <v/>
      </c>
      <c r="J39" s="286" t="str">
        <f t="shared" si="7"/>
        <v/>
      </c>
      <c r="K39" s="294" t="str">
        <f t="shared" si="13"/>
        <v/>
      </c>
      <c r="L39" s="294" t="str">
        <f t="shared" si="10"/>
        <v/>
      </c>
      <c r="M39" s="294" t="str">
        <f t="shared" si="11"/>
        <v/>
      </c>
      <c r="N39" s="288" t="str">
        <f t="shared" si="12"/>
        <v/>
      </c>
      <c r="O39" s="288" t="str">
        <f t="shared" si="3"/>
        <v/>
      </c>
      <c r="P39" s="288" t="str">
        <f t="shared" si="4"/>
        <v/>
      </c>
      <c r="Q39" s="295" t="str">
        <f t="shared" si="8"/>
        <v/>
      </c>
      <c r="R39" s="294" t="str">
        <f t="shared" si="14"/>
        <v/>
      </c>
      <c r="S39" s="294" t="str">
        <f t="shared" si="9"/>
        <v/>
      </c>
      <c r="T39" s="295" t="str">
        <f t="shared" si="5"/>
        <v/>
      </c>
      <c r="U39" s="293"/>
    </row>
    <row r="40" spans="1:21" x14ac:dyDescent="0.25">
      <c r="A40" s="296"/>
      <c r="B40" s="284"/>
      <c r="C40" s="286" t="str">
        <f t="shared" si="6"/>
        <v/>
      </c>
      <c r="D40" s="293"/>
      <c r="E40" s="293"/>
      <c r="F40" s="286" t="str">
        <f t="shared" si="1"/>
        <v/>
      </c>
      <c r="G40" s="293"/>
      <c r="H40" s="284"/>
      <c r="I40" s="286" t="str">
        <f t="shared" si="2"/>
        <v/>
      </c>
      <c r="J40" s="286" t="str">
        <f t="shared" si="7"/>
        <v/>
      </c>
      <c r="K40" s="294" t="str">
        <f t="shared" si="13"/>
        <v/>
      </c>
      <c r="L40" s="294" t="str">
        <f t="shared" si="10"/>
        <v/>
      </c>
      <c r="M40" s="294" t="str">
        <f t="shared" si="11"/>
        <v/>
      </c>
      <c r="N40" s="288" t="str">
        <f t="shared" si="12"/>
        <v/>
      </c>
      <c r="O40" s="288" t="str">
        <f t="shared" si="3"/>
        <v/>
      </c>
      <c r="P40" s="288" t="str">
        <f t="shared" si="4"/>
        <v/>
      </c>
      <c r="Q40" s="295" t="str">
        <f t="shared" si="8"/>
        <v/>
      </c>
      <c r="R40" s="294" t="str">
        <f t="shared" si="14"/>
        <v/>
      </c>
      <c r="S40" s="294" t="str">
        <f t="shared" si="9"/>
        <v/>
      </c>
      <c r="T40" s="295" t="str">
        <f t="shared" si="5"/>
        <v/>
      </c>
      <c r="U40" s="293"/>
    </row>
    <row r="41" spans="1:21" x14ac:dyDescent="0.25">
      <c r="A41" s="242"/>
      <c r="B41" s="293"/>
      <c r="C41" s="286" t="str">
        <f t="shared" si="6"/>
        <v/>
      </c>
      <c r="D41" s="293"/>
      <c r="E41" s="293"/>
      <c r="F41" s="286" t="str">
        <f t="shared" si="1"/>
        <v/>
      </c>
      <c r="G41" s="293"/>
      <c r="H41" s="284"/>
      <c r="I41" s="286" t="str">
        <f t="shared" si="2"/>
        <v/>
      </c>
      <c r="J41" s="286" t="str">
        <f t="shared" si="7"/>
        <v/>
      </c>
      <c r="K41" s="294" t="str">
        <f t="shared" si="13"/>
        <v/>
      </c>
      <c r="L41" s="294" t="str">
        <f t="shared" si="10"/>
        <v/>
      </c>
      <c r="M41" s="294" t="str">
        <f t="shared" si="11"/>
        <v/>
      </c>
      <c r="N41" s="288" t="str">
        <f t="shared" si="12"/>
        <v/>
      </c>
      <c r="O41" s="288" t="str">
        <f t="shared" si="3"/>
        <v/>
      </c>
      <c r="P41" s="288" t="str">
        <f t="shared" si="4"/>
        <v/>
      </c>
      <c r="Q41" s="295" t="str">
        <f t="shared" si="8"/>
        <v/>
      </c>
      <c r="R41" s="294" t="str">
        <f t="shared" si="14"/>
        <v/>
      </c>
      <c r="S41" s="294" t="str">
        <f t="shared" si="9"/>
        <v/>
      </c>
      <c r="T41" s="295" t="str">
        <f t="shared" si="5"/>
        <v/>
      </c>
      <c r="U41" s="293"/>
    </row>
    <row r="42" spans="1:21" x14ac:dyDescent="0.25">
      <c r="A42" s="296"/>
      <c r="B42" s="284"/>
      <c r="C42" s="286" t="str">
        <f t="shared" si="6"/>
        <v/>
      </c>
      <c r="D42" s="293"/>
      <c r="E42" s="293"/>
      <c r="F42" s="286" t="str">
        <f t="shared" si="1"/>
        <v/>
      </c>
      <c r="G42" s="293"/>
      <c r="H42" s="284"/>
      <c r="I42" s="286" t="str">
        <f t="shared" si="2"/>
        <v/>
      </c>
      <c r="J42" s="286" t="str">
        <f t="shared" si="7"/>
        <v/>
      </c>
      <c r="K42" s="294" t="str">
        <f t="shared" si="13"/>
        <v/>
      </c>
      <c r="L42" s="294" t="str">
        <f t="shared" si="10"/>
        <v/>
      </c>
      <c r="M42" s="294" t="str">
        <f t="shared" si="11"/>
        <v/>
      </c>
      <c r="N42" s="288" t="str">
        <f t="shared" si="12"/>
        <v/>
      </c>
      <c r="O42" s="288" t="str">
        <f t="shared" si="3"/>
        <v/>
      </c>
      <c r="P42" s="288" t="str">
        <f t="shared" si="4"/>
        <v/>
      </c>
      <c r="Q42" s="295" t="str">
        <f t="shared" si="8"/>
        <v/>
      </c>
      <c r="R42" s="294" t="str">
        <f t="shared" si="14"/>
        <v/>
      </c>
      <c r="S42" s="294" t="str">
        <f t="shared" si="9"/>
        <v/>
      </c>
      <c r="T42" s="295" t="str">
        <f t="shared" si="5"/>
        <v/>
      </c>
      <c r="U42" s="293"/>
    </row>
    <row r="43" spans="1:21" x14ac:dyDescent="0.25">
      <c r="A43" s="242"/>
      <c r="B43" s="293"/>
      <c r="C43" s="286" t="str">
        <f t="shared" si="6"/>
        <v/>
      </c>
      <c r="D43" s="293"/>
      <c r="E43" s="293"/>
      <c r="F43" s="286" t="str">
        <f t="shared" si="1"/>
        <v/>
      </c>
      <c r="G43" s="293"/>
      <c r="H43" s="284"/>
      <c r="I43" s="286" t="str">
        <f t="shared" si="2"/>
        <v/>
      </c>
      <c r="J43" s="286" t="str">
        <f t="shared" si="7"/>
        <v/>
      </c>
      <c r="K43" s="294" t="str">
        <f t="shared" si="13"/>
        <v/>
      </c>
      <c r="L43" s="294" t="str">
        <f t="shared" si="10"/>
        <v/>
      </c>
      <c r="M43" s="294" t="str">
        <f t="shared" si="11"/>
        <v/>
      </c>
      <c r="N43" s="288" t="str">
        <f t="shared" si="12"/>
        <v/>
      </c>
      <c r="O43" s="288" t="str">
        <f t="shared" si="3"/>
        <v/>
      </c>
      <c r="P43" s="288" t="str">
        <f t="shared" si="4"/>
        <v/>
      </c>
      <c r="Q43" s="295" t="str">
        <f t="shared" si="8"/>
        <v/>
      </c>
      <c r="R43" s="294" t="str">
        <f t="shared" si="14"/>
        <v/>
      </c>
      <c r="S43" s="294" t="str">
        <f t="shared" si="9"/>
        <v/>
      </c>
      <c r="T43" s="295" t="str">
        <f t="shared" si="5"/>
        <v/>
      </c>
      <c r="U43" s="293"/>
    </row>
    <row r="44" spans="1:21" x14ac:dyDescent="0.25">
      <c r="A44" s="296"/>
      <c r="B44" s="284"/>
      <c r="C44" s="286" t="str">
        <f t="shared" si="6"/>
        <v/>
      </c>
      <c r="D44" s="293"/>
      <c r="E44" s="293"/>
      <c r="F44" s="286" t="str">
        <f t="shared" si="1"/>
        <v/>
      </c>
      <c r="G44" s="293"/>
      <c r="H44" s="284"/>
      <c r="I44" s="286" t="str">
        <f t="shared" si="2"/>
        <v/>
      </c>
      <c r="J44" s="286" t="str">
        <f t="shared" si="7"/>
        <v/>
      </c>
      <c r="K44" s="294" t="str">
        <f t="shared" si="13"/>
        <v/>
      </c>
      <c r="L44" s="294" t="str">
        <f t="shared" si="10"/>
        <v/>
      </c>
      <c r="M44" s="294" t="str">
        <f t="shared" si="11"/>
        <v/>
      </c>
      <c r="N44" s="288" t="str">
        <f t="shared" si="12"/>
        <v/>
      </c>
      <c r="O44" s="288" t="str">
        <f t="shared" si="3"/>
        <v/>
      </c>
      <c r="P44" s="288" t="str">
        <f t="shared" si="4"/>
        <v/>
      </c>
      <c r="Q44" s="295" t="str">
        <f t="shared" si="8"/>
        <v/>
      </c>
      <c r="R44" s="294" t="str">
        <f t="shared" si="14"/>
        <v/>
      </c>
      <c r="S44" s="294" t="str">
        <f t="shared" si="9"/>
        <v/>
      </c>
      <c r="T44" s="295" t="str">
        <f t="shared" si="5"/>
        <v/>
      </c>
      <c r="U44" s="293"/>
    </row>
  </sheetData>
  <sheetProtection sheet="1" objects="1" scenarios="1" selectLockedCells="1"/>
  <mergeCells count="8">
    <mergeCell ref="Q5:T5"/>
    <mergeCell ref="G1:J2"/>
    <mergeCell ref="M1:P1"/>
    <mergeCell ref="G3:J4"/>
    <mergeCell ref="K4:L4"/>
    <mergeCell ref="M4:P4"/>
    <mergeCell ref="B5:J5"/>
    <mergeCell ref="K5:L5"/>
  </mergeCells>
  <conditionalFormatting sqref="K3">
    <cfRule type="cellIs" dxfId="11" priority="11" stopIfTrue="1" operator="greaterThan">
      <formula>$T$2</formula>
    </cfRule>
    <cfRule type="cellIs" dxfId="10" priority="12" stopIfTrue="1" operator="lessThan">
      <formula>$T$2</formula>
    </cfRule>
  </conditionalFormatting>
  <conditionalFormatting sqref="M3">
    <cfRule type="cellIs" dxfId="9" priority="9" stopIfTrue="1" operator="greaterThan">
      <formula>$T$1</formula>
    </cfRule>
    <cfRule type="cellIs" dxfId="8" priority="10" stopIfTrue="1" operator="lessThan">
      <formula>$T$1</formula>
    </cfRule>
  </conditionalFormatting>
  <conditionalFormatting sqref="O3">
    <cfRule type="cellIs" dxfId="7" priority="7" stopIfTrue="1" operator="greaterThan">
      <formula>$T$2</formula>
    </cfRule>
    <cfRule type="cellIs" dxfId="6" priority="8" stopIfTrue="1" operator="lessThan">
      <formula>$T$2</formula>
    </cfRule>
  </conditionalFormatting>
  <conditionalFormatting sqref="L3">
    <cfRule type="cellIs" dxfId="5" priority="5" stopIfTrue="1" operator="lessThan">
      <formula>$T$2</formula>
    </cfRule>
    <cfRule type="cellIs" dxfId="4" priority="6" stopIfTrue="1" operator="greaterThan">
      <formula>$T$2</formula>
    </cfRule>
  </conditionalFormatting>
  <conditionalFormatting sqref="N3">
    <cfRule type="cellIs" dxfId="3" priority="3" stopIfTrue="1" operator="lessThan">
      <formula>$T$2</formula>
    </cfRule>
    <cfRule type="cellIs" dxfId="2" priority="4" stopIfTrue="1" operator="greaterThan">
      <formula>$T$2</formula>
    </cfRule>
  </conditionalFormatting>
  <conditionalFormatting sqref="P3">
    <cfRule type="cellIs" dxfId="1" priority="1" stopIfTrue="1" operator="lessThan">
      <formula>$T$2</formula>
    </cfRule>
    <cfRule type="cellIs" dxfId="0" priority="2" stopIfTrue="1" operator="greaterThan">
      <formula>$T$2</formula>
    </cfRule>
  </conditionalFormatting>
  <pageMargins left="7.0000000000000007E-2" right="0.09" top="0.86" bottom="1" header="0.28000000000000003" footer="0.5"/>
  <pageSetup orientation="landscape" r:id="rId1"/>
  <headerFooter alignWithMargins="0">
    <oddFooter>&amp;C&amp;1#&amp;"Calibri"&amp;10&amp;K000000Schlumberger-Private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1]!NewSheet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1]!DeleteSheetsRightOfBegin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5E67B-8D79-4B1E-AACC-E19CEE1B8009}">
  <sheetPr codeName="Sheet3"/>
  <dimension ref="A1:CK2"/>
  <sheetViews>
    <sheetView workbookViewId="0"/>
  </sheetViews>
  <sheetFormatPr defaultRowHeight="14.5" x14ac:dyDescent="0.35"/>
  <sheetData>
    <row r="1" spans="1:89" x14ac:dyDescent="0.35">
      <c r="A1" t="s">
        <v>99</v>
      </c>
      <c r="B1" t="s">
        <v>100</v>
      </c>
      <c r="C1" t="s">
        <v>101</v>
      </c>
      <c r="D1" t="s">
        <v>102</v>
      </c>
      <c r="E1" t="s">
        <v>103</v>
      </c>
      <c r="F1" t="s">
        <v>104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L1" t="s">
        <v>110</v>
      </c>
      <c r="M1" t="s">
        <v>111</v>
      </c>
      <c r="N1" t="s">
        <v>112</v>
      </c>
      <c r="O1" t="s">
        <v>113</v>
      </c>
      <c r="P1" t="s">
        <v>114</v>
      </c>
      <c r="Q1" t="s">
        <v>115</v>
      </c>
      <c r="R1" t="s">
        <v>116</v>
      </c>
      <c r="S1" t="s">
        <v>117</v>
      </c>
      <c r="T1" t="s">
        <v>9</v>
      </c>
      <c r="U1" t="s">
        <v>118</v>
      </c>
      <c r="V1" t="s">
        <v>119</v>
      </c>
      <c r="W1" t="s">
        <v>120</v>
      </c>
      <c r="X1" t="s">
        <v>121</v>
      </c>
      <c r="Y1" t="s">
        <v>122</v>
      </c>
      <c r="Z1" t="s">
        <v>123</v>
      </c>
      <c r="AA1" t="s">
        <v>124</v>
      </c>
      <c r="AB1" t="s">
        <v>125</v>
      </c>
      <c r="AC1" t="s">
        <v>126</v>
      </c>
      <c r="AD1" t="s">
        <v>127</v>
      </c>
      <c r="AE1" t="s">
        <v>128</v>
      </c>
      <c r="AF1" t="s">
        <v>129</v>
      </c>
      <c r="AG1" t="s">
        <v>130</v>
      </c>
      <c r="AH1" t="s">
        <v>30</v>
      </c>
      <c r="AI1" t="s">
        <v>131</v>
      </c>
      <c r="AJ1" t="s">
        <v>132</v>
      </c>
      <c r="AK1" t="s">
        <v>133</v>
      </c>
      <c r="AL1" t="s">
        <v>134</v>
      </c>
      <c r="AM1" t="s">
        <v>135</v>
      </c>
      <c r="AN1" t="s">
        <v>136</v>
      </c>
      <c r="AO1" t="s">
        <v>137</v>
      </c>
      <c r="AP1" t="s">
        <v>138</v>
      </c>
      <c r="AQ1" t="s">
        <v>139</v>
      </c>
      <c r="AR1" t="s">
        <v>140</v>
      </c>
      <c r="AS1" t="s">
        <v>141</v>
      </c>
      <c r="AT1" t="s">
        <v>142</v>
      </c>
      <c r="AU1" t="s">
        <v>143</v>
      </c>
      <c r="AV1" t="s">
        <v>144</v>
      </c>
      <c r="AW1" t="s">
        <v>145</v>
      </c>
      <c r="AX1" t="s">
        <v>146</v>
      </c>
      <c r="AY1" t="s">
        <v>147</v>
      </c>
      <c r="AZ1" t="s">
        <v>148</v>
      </c>
      <c r="BA1" t="s">
        <v>149</v>
      </c>
      <c r="BB1" t="s">
        <v>150</v>
      </c>
      <c r="BC1" t="s">
        <v>151</v>
      </c>
      <c r="BD1" t="s">
        <v>152</v>
      </c>
      <c r="BE1" t="s">
        <v>153</v>
      </c>
      <c r="BF1" t="s">
        <v>154</v>
      </c>
      <c r="BG1" t="s">
        <v>155</v>
      </c>
      <c r="BH1" t="s">
        <v>156</v>
      </c>
      <c r="BI1" t="s">
        <v>157</v>
      </c>
      <c r="BJ1" t="s">
        <v>158</v>
      </c>
      <c r="BK1" t="s">
        <v>159</v>
      </c>
      <c r="BL1" t="s">
        <v>160</v>
      </c>
      <c r="BM1" t="s">
        <v>161</v>
      </c>
      <c r="BN1" t="s">
        <v>162</v>
      </c>
      <c r="BO1" t="s">
        <v>163</v>
      </c>
      <c r="BP1" t="s">
        <v>164</v>
      </c>
      <c r="BQ1" t="s">
        <v>165</v>
      </c>
      <c r="BR1" t="s">
        <v>166</v>
      </c>
      <c r="BS1" t="s">
        <v>167</v>
      </c>
      <c r="BT1" t="s">
        <v>168</v>
      </c>
      <c r="BU1" t="s">
        <v>169</v>
      </c>
      <c r="BV1" t="s">
        <v>170</v>
      </c>
      <c r="BW1" t="s">
        <v>171</v>
      </c>
      <c r="BX1" t="s">
        <v>172</v>
      </c>
      <c r="BY1" t="s">
        <v>32</v>
      </c>
      <c r="BZ1" t="s">
        <v>33</v>
      </c>
      <c r="CA1" t="s">
        <v>173</v>
      </c>
      <c r="CB1" t="s">
        <v>174</v>
      </c>
      <c r="CC1" t="s">
        <v>175</v>
      </c>
      <c r="CD1" t="s">
        <v>176</v>
      </c>
      <c r="CE1" t="s">
        <v>177</v>
      </c>
      <c r="CF1" t="s">
        <v>178</v>
      </c>
      <c r="CG1" t="s">
        <v>20</v>
      </c>
      <c r="CH1" t="s">
        <v>179</v>
      </c>
      <c r="CI1" t="s">
        <v>25</v>
      </c>
      <c r="CJ1" t="s">
        <v>180</v>
      </c>
      <c r="CK1" t="s">
        <v>181</v>
      </c>
    </row>
    <row r="2" spans="1:89" ht="304.5" x14ac:dyDescent="0.35">
      <c r="A2">
        <v>20786</v>
      </c>
      <c r="B2" t="s">
        <v>182</v>
      </c>
      <c r="C2">
        <v>34784</v>
      </c>
      <c r="E2" t="s">
        <v>183</v>
      </c>
      <c r="I2" t="s">
        <v>184</v>
      </c>
      <c r="S2" t="s">
        <v>523</v>
      </c>
      <c r="T2" t="s">
        <v>185</v>
      </c>
      <c r="U2" t="s">
        <v>186</v>
      </c>
      <c r="V2" t="s">
        <v>187</v>
      </c>
      <c r="W2">
        <v>0</v>
      </c>
      <c r="X2" t="s">
        <v>188</v>
      </c>
      <c r="Y2" t="s">
        <v>189</v>
      </c>
      <c r="Z2" t="s">
        <v>190</v>
      </c>
      <c r="AA2">
        <v>7808867557</v>
      </c>
      <c r="AB2">
        <v>0</v>
      </c>
      <c r="AC2" t="s">
        <v>191</v>
      </c>
      <c r="AD2" t="s">
        <v>192</v>
      </c>
      <c r="AE2" t="s">
        <v>193</v>
      </c>
      <c r="AF2" t="s">
        <v>194</v>
      </c>
      <c r="AG2">
        <v>1628</v>
      </c>
      <c r="AH2">
        <v>74.88</v>
      </c>
      <c r="AI2" s="24" t="s">
        <v>195</v>
      </c>
      <c r="AJ2" t="s">
        <v>196</v>
      </c>
      <c r="AK2" t="s">
        <v>197</v>
      </c>
      <c r="AL2" t="s">
        <v>198</v>
      </c>
      <c r="AM2">
        <v>4037673576</v>
      </c>
      <c r="AN2">
        <v>779.68</v>
      </c>
      <c r="AO2" t="s">
        <v>186</v>
      </c>
      <c r="AP2">
        <v>55.637636000000001</v>
      </c>
      <c r="AQ2" t="s">
        <v>199</v>
      </c>
      <c r="AR2" t="s">
        <v>197</v>
      </c>
      <c r="AS2">
        <v>-120.584625</v>
      </c>
      <c r="AT2" t="s">
        <v>200</v>
      </c>
      <c r="AU2">
        <v>16.03</v>
      </c>
      <c r="AV2">
        <v>202603300000</v>
      </c>
      <c r="AW2" t="s">
        <v>201</v>
      </c>
      <c r="AX2">
        <v>0</v>
      </c>
      <c r="AY2" t="s">
        <v>197</v>
      </c>
      <c r="AZ2" t="s">
        <v>202</v>
      </c>
      <c r="BA2" t="s">
        <v>203</v>
      </c>
      <c r="BB2" t="s">
        <v>204</v>
      </c>
      <c r="BC2">
        <v>131</v>
      </c>
      <c r="BD2" t="s">
        <v>205</v>
      </c>
      <c r="BE2" t="b">
        <v>1</v>
      </c>
      <c r="BF2" t="s">
        <v>206</v>
      </c>
      <c r="BG2" t="s">
        <v>207</v>
      </c>
      <c r="BH2" t="s">
        <v>208</v>
      </c>
      <c r="BI2" t="s">
        <v>186</v>
      </c>
      <c r="BJ2" t="s">
        <v>209</v>
      </c>
      <c r="BK2" t="s">
        <v>210</v>
      </c>
      <c r="BL2" t="s">
        <v>197</v>
      </c>
      <c r="BM2" t="s">
        <v>197</v>
      </c>
      <c r="BN2" t="s">
        <v>211</v>
      </c>
      <c r="BO2">
        <v>6</v>
      </c>
      <c r="BP2" t="s">
        <v>212</v>
      </c>
      <c r="BQ2" t="s">
        <v>213</v>
      </c>
      <c r="BR2">
        <v>804</v>
      </c>
      <c r="BS2" t="s">
        <v>214</v>
      </c>
      <c r="BT2">
        <v>7808867557</v>
      </c>
      <c r="BU2" t="s">
        <v>215</v>
      </c>
      <c r="BV2">
        <v>202604040000</v>
      </c>
      <c r="BW2" t="s">
        <v>216</v>
      </c>
      <c r="BX2" t="s">
        <v>197</v>
      </c>
      <c r="BY2">
        <v>1.00159</v>
      </c>
      <c r="BZ2">
        <v>0.560118</v>
      </c>
      <c r="CA2">
        <v>0.25</v>
      </c>
      <c r="CB2">
        <v>2.5000000000000001E-3</v>
      </c>
      <c r="CC2">
        <v>2.5000000000000001E-3</v>
      </c>
      <c r="CD2" t="s">
        <v>197</v>
      </c>
      <c r="CE2">
        <v>16.03</v>
      </c>
      <c r="CF2">
        <v>785.68</v>
      </c>
      <c r="CG2">
        <v>0</v>
      </c>
      <c r="CH2" t="s">
        <v>217</v>
      </c>
      <c r="CI2">
        <v>131.18</v>
      </c>
      <c r="CJ2">
        <v>44156</v>
      </c>
      <c r="CK2" t="s">
        <v>218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10802-BDBE-4A5D-AB48-A0E109791F54}">
  <sheetPr codeName="Sheet4"/>
  <dimension ref="A1:J8"/>
  <sheetViews>
    <sheetView workbookViewId="0"/>
  </sheetViews>
  <sheetFormatPr defaultRowHeight="14.5" x14ac:dyDescent="0.35"/>
  <sheetData>
    <row r="1" spans="1:10" x14ac:dyDescent="0.35">
      <c r="A1" t="s">
        <v>99</v>
      </c>
      <c r="B1" t="s">
        <v>219</v>
      </c>
      <c r="C1" t="s">
        <v>220</v>
      </c>
      <c r="D1" t="s">
        <v>221</v>
      </c>
      <c r="E1" t="s">
        <v>222</v>
      </c>
      <c r="F1" t="s">
        <v>223</v>
      </c>
      <c r="G1" t="s">
        <v>224</v>
      </c>
      <c r="H1" t="s">
        <v>113</v>
      </c>
      <c r="I1" t="s">
        <v>114</v>
      </c>
      <c r="J1" t="s">
        <v>225</v>
      </c>
    </row>
    <row r="2" spans="1:10" x14ac:dyDescent="0.35">
      <c r="A2">
        <v>20786</v>
      </c>
      <c r="B2" t="s">
        <v>226</v>
      </c>
      <c r="D2" t="s">
        <v>227</v>
      </c>
      <c r="E2" t="s">
        <v>228</v>
      </c>
      <c r="J2">
        <v>1</v>
      </c>
    </row>
    <row r="3" spans="1:10" x14ac:dyDescent="0.35">
      <c r="A3">
        <v>20786</v>
      </c>
      <c r="B3" t="s">
        <v>229</v>
      </c>
      <c r="D3" t="s">
        <v>230</v>
      </c>
      <c r="E3" t="s">
        <v>231</v>
      </c>
      <c r="J3">
        <v>4</v>
      </c>
    </row>
    <row r="4" spans="1:10" x14ac:dyDescent="0.35">
      <c r="A4">
        <v>20786</v>
      </c>
      <c r="B4" t="s">
        <v>232</v>
      </c>
      <c r="D4" t="s">
        <v>233</v>
      </c>
      <c r="E4" t="s">
        <v>234</v>
      </c>
      <c r="J4">
        <v>5</v>
      </c>
    </row>
    <row r="5" spans="1:10" x14ac:dyDescent="0.35">
      <c r="A5">
        <v>20786</v>
      </c>
      <c r="B5" t="s">
        <v>235</v>
      </c>
      <c r="D5" t="s">
        <v>236</v>
      </c>
      <c r="E5" t="s">
        <v>237</v>
      </c>
      <c r="J5">
        <v>6</v>
      </c>
    </row>
    <row r="6" spans="1:10" x14ac:dyDescent="0.35">
      <c r="A6">
        <v>20786</v>
      </c>
      <c r="B6" t="s">
        <v>238</v>
      </c>
      <c r="D6" t="s">
        <v>239</v>
      </c>
      <c r="E6" t="s">
        <v>240</v>
      </c>
      <c r="J6">
        <v>8</v>
      </c>
    </row>
    <row r="7" spans="1:10" x14ac:dyDescent="0.35">
      <c r="A7">
        <v>20786</v>
      </c>
      <c r="B7" t="s">
        <v>241</v>
      </c>
      <c r="D7" t="s">
        <v>242</v>
      </c>
      <c r="E7" t="s">
        <v>243</v>
      </c>
      <c r="J7">
        <v>9</v>
      </c>
    </row>
    <row r="8" spans="1:10" x14ac:dyDescent="0.35">
      <c r="A8">
        <v>20786</v>
      </c>
      <c r="B8" t="s">
        <v>244</v>
      </c>
      <c r="D8" t="s">
        <v>245</v>
      </c>
      <c r="E8" t="s">
        <v>246</v>
      </c>
      <c r="J8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10C75-7B61-4380-B8F6-E7949C70BCB9}">
  <sheetPr codeName="Sheet5"/>
  <dimension ref="A1:AF160"/>
  <sheetViews>
    <sheetView workbookViewId="0"/>
  </sheetViews>
  <sheetFormatPr defaultRowHeight="14.5" x14ac:dyDescent="0.35"/>
  <sheetData>
    <row r="1" spans="1:32" x14ac:dyDescent="0.35">
      <c r="A1" t="s">
        <v>99</v>
      </c>
      <c r="B1" t="s">
        <v>247</v>
      </c>
      <c r="C1" t="s">
        <v>169</v>
      </c>
      <c r="D1" t="s">
        <v>248</v>
      </c>
      <c r="E1" t="s">
        <v>249</v>
      </c>
      <c r="F1" t="s">
        <v>250</v>
      </c>
      <c r="G1" t="s">
        <v>251</v>
      </c>
      <c r="H1" t="s">
        <v>252</v>
      </c>
      <c r="I1" t="s">
        <v>253</v>
      </c>
      <c r="J1" t="s">
        <v>254</v>
      </c>
      <c r="K1" t="s">
        <v>255</v>
      </c>
      <c r="L1" t="s">
        <v>256</v>
      </c>
      <c r="M1" t="s">
        <v>257</v>
      </c>
      <c r="N1" t="s">
        <v>258</v>
      </c>
      <c r="O1" t="s">
        <v>259</v>
      </c>
      <c r="P1" t="s">
        <v>260</v>
      </c>
      <c r="Q1" t="s">
        <v>261</v>
      </c>
      <c r="R1" t="s">
        <v>262</v>
      </c>
      <c r="S1" t="s">
        <v>107</v>
      </c>
      <c r="T1" t="s">
        <v>263</v>
      </c>
      <c r="U1" t="s">
        <v>264</v>
      </c>
      <c r="V1" t="s">
        <v>265</v>
      </c>
      <c r="W1" t="s">
        <v>266</v>
      </c>
      <c r="X1" t="s">
        <v>267</v>
      </c>
      <c r="Y1" t="s">
        <v>268</v>
      </c>
      <c r="Z1" t="s">
        <v>269</v>
      </c>
      <c r="AA1" t="s">
        <v>270</v>
      </c>
      <c r="AB1" t="s">
        <v>271</v>
      </c>
      <c r="AC1" t="s">
        <v>272</v>
      </c>
      <c r="AD1" t="s">
        <v>273</v>
      </c>
      <c r="AE1" t="s">
        <v>274</v>
      </c>
      <c r="AF1" t="s">
        <v>275</v>
      </c>
    </row>
    <row r="2" spans="1:32" x14ac:dyDescent="0.35">
      <c r="A2">
        <v>20786</v>
      </c>
      <c r="B2">
        <v>7</v>
      </c>
      <c r="C2" t="s">
        <v>276</v>
      </c>
      <c r="D2" t="s">
        <v>277</v>
      </c>
      <c r="E2" t="s">
        <v>278</v>
      </c>
      <c r="F2" t="s">
        <v>205</v>
      </c>
      <c r="G2">
        <v>719.44</v>
      </c>
      <c r="H2">
        <v>39</v>
      </c>
      <c r="I2">
        <v>680.44</v>
      </c>
      <c r="J2">
        <v>36.33</v>
      </c>
      <c r="K2">
        <v>9.75</v>
      </c>
      <c r="L2">
        <v>19.75</v>
      </c>
      <c r="M2">
        <v>6.83</v>
      </c>
      <c r="N2">
        <v>65.17</v>
      </c>
      <c r="Q2" t="s">
        <v>279</v>
      </c>
      <c r="R2">
        <v>105619</v>
      </c>
      <c r="S2" t="s">
        <v>280</v>
      </c>
    </row>
    <row r="3" spans="1:32" x14ac:dyDescent="0.35">
      <c r="A3">
        <v>20786</v>
      </c>
      <c r="B3">
        <v>7</v>
      </c>
      <c r="C3" t="s">
        <v>276</v>
      </c>
      <c r="D3" t="s">
        <v>277</v>
      </c>
      <c r="E3" t="s">
        <v>278</v>
      </c>
      <c r="F3" t="s">
        <v>205</v>
      </c>
      <c r="G3">
        <v>719.44</v>
      </c>
      <c r="H3">
        <v>39</v>
      </c>
      <c r="I3">
        <v>680.44</v>
      </c>
      <c r="J3">
        <v>36.33</v>
      </c>
      <c r="K3">
        <v>9.75</v>
      </c>
      <c r="L3">
        <v>19.75</v>
      </c>
      <c r="M3">
        <v>6.83</v>
      </c>
      <c r="N3">
        <v>65.17</v>
      </c>
      <c r="Q3" t="s">
        <v>278</v>
      </c>
      <c r="R3">
        <v>111244</v>
      </c>
      <c r="S3" t="s">
        <v>281</v>
      </c>
    </row>
    <row r="4" spans="1:32" x14ac:dyDescent="0.35">
      <c r="A4">
        <v>20786</v>
      </c>
      <c r="B4">
        <v>7</v>
      </c>
      <c r="C4" t="s">
        <v>276</v>
      </c>
      <c r="D4" t="s">
        <v>277</v>
      </c>
      <c r="E4" t="s">
        <v>278</v>
      </c>
      <c r="F4" t="s">
        <v>205</v>
      </c>
      <c r="G4">
        <v>719.44</v>
      </c>
      <c r="H4">
        <v>39</v>
      </c>
      <c r="I4">
        <v>680.44</v>
      </c>
      <c r="J4">
        <v>36.33</v>
      </c>
      <c r="K4">
        <v>9.75</v>
      </c>
      <c r="L4">
        <v>19.75</v>
      </c>
      <c r="M4">
        <v>6.83</v>
      </c>
      <c r="N4">
        <v>65.17</v>
      </c>
    </row>
    <row r="5" spans="1:32" x14ac:dyDescent="0.35">
      <c r="A5">
        <v>20786</v>
      </c>
      <c r="B5">
        <v>7</v>
      </c>
      <c r="C5" t="s">
        <v>276</v>
      </c>
      <c r="D5" t="s">
        <v>277</v>
      </c>
      <c r="E5" t="s">
        <v>278</v>
      </c>
      <c r="F5" t="s">
        <v>205</v>
      </c>
      <c r="G5">
        <v>719.44</v>
      </c>
      <c r="H5">
        <v>39</v>
      </c>
      <c r="I5">
        <v>680.44</v>
      </c>
      <c r="J5">
        <v>36.33</v>
      </c>
      <c r="K5">
        <v>9.75</v>
      </c>
      <c r="L5">
        <v>19.75</v>
      </c>
      <c r="M5">
        <v>6.83</v>
      </c>
      <c r="N5">
        <v>65.17</v>
      </c>
      <c r="Q5" t="s">
        <v>282</v>
      </c>
      <c r="R5">
        <v>105519</v>
      </c>
      <c r="S5" t="s">
        <v>283</v>
      </c>
    </row>
    <row r="6" spans="1:32" x14ac:dyDescent="0.35">
      <c r="A6">
        <v>20786</v>
      </c>
      <c r="B6">
        <v>7</v>
      </c>
      <c r="C6" t="s">
        <v>276</v>
      </c>
      <c r="D6" t="s">
        <v>277</v>
      </c>
      <c r="E6" t="s">
        <v>278</v>
      </c>
      <c r="F6" t="s">
        <v>205</v>
      </c>
      <c r="G6">
        <v>719.44</v>
      </c>
      <c r="H6">
        <v>39</v>
      </c>
      <c r="I6">
        <v>680.44</v>
      </c>
      <c r="J6">
        <v>36.33</v>
      </c>
      <c r="K6">
        <v>9.75</v>
      </c>
      <c r="L6">
        <v>19.75</v>
      </c>
      <c r="M6">
        <v>6.83</v>
      </c>
      <c r="N6">
        <v>65.17</v>
      </c>
    </row>
    <row r="7" spans="1:32" x14ac:dyDescent="0.35">
      <c r="A7">
        <v>20786</v>
      </c>
      <c r="B7">
        <v>7</v>
      </c>
      <c r="C7" t="s">
        <v>276</v>
      </c>
      <c r="D7" t="s">
        <v>277</v>
      </c>
      <c r="E7" t="s">
        <v>278</v>
      </c>
      <c r="F7" t="s">
        <v>205</v>
      </c>
      <c r="G7">
        <v>719.44</v>
      </c>
      <c r="H7">
        <v>39</v>
      </c>
      <c r="I7">
        <v>680.44</v>
      </c>
      <c r="J7">
        <v>36.33</v>
      </c>
      <c r="K7">
        <v>9.75</v>
      </c>
      <c r="L7">
        <v>19.75</v>
      </c>
      <c r="M7">
        <v>6.83</v>
      </c>
      <c r="N7">
        <v>65.17</v>
      </c>
    </row>
    <row r="8" spans="1:32" x14ac:dyDescent="0.35">
      <c r="A8">
        <v>20786</v>
      </c>
      <c r="B8">
        <v>7</v>
      </c>
      <c r="C8" t="s">
        <v>276</v>
      </c>
      <c r="D8" t="s">
        <v>277</v>
      </c>
      <c r="E8" t="s">
        <v>278</v>
      </c>
      <c r="F8" t="s">
        <v>205</v>
      </c>
      <c r="G8">
        <v>719.44</v>
      </c>
      <c r="H8">
        <v>39</v>
      </c>
      <c r="I8">
        <v>680.44</v>
      </c>
      <c r="J8">
        <v>36.33</v>
      </c>
      <c r="K8">
        <v>9.75</v>
      </c>
      <c r="L8">
        <v>19.75</v>
      </c>
      <c r="M8">
        <v>6.83</v>
      </c>
      <c r="N8">
        <v>65.17</v>
      </c>
    </row>
    <row r="9" spans="1:32" x14ac:dyDescent="0.35">
      <c r="A9">
        <v>20786</v>
      </c>
      <c r="B9">
        <v>7</v>
      </c>
      <c r="C9" t="s">
        <v>276</v>
      </c>
      <c r="D9" t="s">
        <v>277</v>
      </c>
      <c r="E9" t="s">
        <v>278</v>
      </c>
      <c r="F9" t="s">
        <v>205</v>
      </c>
      <c r="G9">
        <v>719.44</v>
      </c>
      <c r="H9">
        <v>39</v>
      </c>
      <c r="I9">
        <v>680.44</v>
      </c>
      <c r="J9">
        <v>36.33</v>
      </c>
      <c r="K9">
        <v>9.75</v>
      </c>
      <c r="L9">
        <v>19.75</v>
      </c>
      <c r="M9">
        <v>6.83</v>
      </c>
      <c r="N9">
        <v>65.17</v>
      </c>
    </row>
    <row r="10" spans="1:32" x14ac:dyDescent="0.35">
      <c r="A10">
        <v>20786</v>
      </c>
      <c r="B10">
        <v>7</v>
      </c>
      <c r="C10" t="s">
        <v>276</v>
      </c>
      <c r="D10" t="s">
        <v>277</v>
      </c>
      <c r="E10" t="s">
        <v>278</v>
      </c>
      <c r="F10" t="s">
        <v>205</v>
      </c>
      <c r="G10">
        <v>719.44</v>
      </c>
      <c r="H10">
        <v>39</v>
      </c>
      <c r="I10">
        <v>680.44</v>
      </c>
      <c r="J10">
        <v>36.33</v>
      </c>
      <c r="K10">
        <v>9.75</v>
      </c>
      <c r="L10">
        <v>19.75</v>
      </c>
      <c r="M10">
        <v>6.83</v>
      </c>
      <c r="N10">
        <v>65.17</v>
      </c>
      <c r="Q10" t="s">
        <v>284</v>
      </c>
      <c r="R10">
        <v>104499</v>
      </c>
      <c r="S10" t="s">
        <v>285</v>
      </c>
    </row>
    <row r="11" spans="1:32" x14ac:dyDescent="0.35">
      <c r="A11">
        <v>20786</v>
      </c>
      <c r="B11">
        <v>7</v>
      </c>
      <c r="C11" t="s">
        <v>276</v>
      </c>
      <c r="D11" t="s">
        <v>277</v>
      </c>
      <c r="E11" t="s">
        <v>278</v>
      </c>
      <c r="F11" t="s">
        <v>205</v>
      </c>
      <c r="G11">
        <v>719.44</v>
      </c>
      <c r="H11">
        <v>39</v>
      </c>
      <c r="I11">
        <v>680.44</v>
      </c>
      <c r="J11">
        <v>36.33</v>
      </c>
      <c r="K11">
        <v>9.75</v>
      </c>
      <c r="L11">
        <v>19.75</v>
      </c>
      <c r="M11">
        <v>6.83</v>
      </c>
      <c r="N11">
        <v>65.17</v>
      </c>
      <c r="Q11" t="s">
        <v>286</v>
      </c>
      <c r="R11">
        <v>110760</v>
      </c>
      <c r="S11" t="s">
        <v>287</v>
      </c>
    </row>
    <row r="12" spans="1:32" x14ac:dyDescent="0.35">
      <c r="A12">
        <v>20786</v>
      </c>
      <c r="B12">
        <v>7</v>
      </c>
      <c r="C12" t="s">
        <v>276</v>
      </c>
      <c r="D12" t="s">
        <v>277</v>
      </c>
      <c r="E12" t="s">
        <v>278</v>
      </c>
      <c r="F12" t="s">
        <v>205</v>
      </c>
      <c r="G12">
        <v>719.44</v>
      </c>
      <c r="H12">
        <v>39</v>
      </c>
      <c r="I12">
        <v>680.44</v>
      </c>
      <c r="J12">
        <v>36.33</v>
      </c>
      <c r="K12">
        <v>9.75</v>
      </c>
      <c r="L12">
        <v>19.75</v>
      </c>
      <c r="M12">
        <v>6.83</v>
      </c>
      <c r="N12">
        <v>65.17</v>
      </c>
      <c r="Q12" t="s">
        <v>288</v>
      </c>
      <c r="R12">
        <v>105935</v>
      </c>
      <c r="S12" t="s">
        <v>289</v>
      </c>
    </row>
    <row r="13" spans="1:32" x14ac:dyDescent="0.35">
      <c r="A13">
        <v>20786</v>
      </c>
      <c r="B13">
        <v>7</v>
      </c>
      <c r="C13" t="s">
        <v>276</v>
      </c>
      <c r="D13" t="s">
        <v>277</v>
      </c>
      <c r="E13" t="s">
        <v>278</v>
      </c>
      <c r="F13" t="s">
        <v>205</v>
      </c>
      <c r="G13">
        <v>719.44</v>
      </c>
      <c r="H13">
        <v>39</v>
      </c>
      <c r="I13">
        <v>680.44</v>
      </c>
      <c r="J13">
        <v>36.33</v>
      </c>
      <c r="K13">
        <v>9.75</v>
      </c>
      <c r="L13">
        <v>19.75</v>
      </c>
      <c r="M13">
        <v>6.83</v>
      </c>
      <c r="N13">
        <v>65.17</v>
      </c>
    </row>
    <row r="14" spans="1:32" x14ac:dyDescent="0.35">
      <c r="A14">
        <v>20786</v>
      </c>
      <c r="B14">
        <v>7</v>
      </c>
      <c r="C14" t="s">
        <v>276</v>
      </c>
      <c r="D14" t="s">
        <v>277</v>
      </c>
      <c r="E14" t="s">
        <v>278</v>
      </c>
      <c r="F14" t="s">
        <v>205</v>
      </c>
      <c r="G14">
        <v>719.44</v>
      </c>
      <c r="H14">
        <v>39</v>
      </c>
      <c r="I14">
        <v>680.44</v>
      </c>
      <c r="J14">
        <v>36.33</v>
      </c>
      <c r="K14">
        <v>9.75</v>
      </c>
      <c r="L14">
        <v>19.75</v>
      </c>
      <c r="M14">
        <v>6.83</v>
      </c>
      <c r="N14">
        <v>65.17</v>
      </c>
    </row>
    <row r="15" spans="1:32" x14ac:dyDescent="0.35">
      <c r="A15">
        <v>20786</v>
      </c>
      <c r="B15">
        <v>7</v>
      </c>
      <c r="C15" t="s">
        <v>276</v>
      </c>
      <c r="D15" t="s">
        <v>277</v>
      </c>
      <c r="E15" t="s">
        <v>278</v>
      </c>
      <c r="F15" t="s">
        <v>205</v>
      </c>
      <c r="G15">
        <v>719.44</v>
      </c>
      <c r="H15">
        <v>39</v>
      </c>
      <c r="I15">
        <v>680.44</v>
      </c>
      <c r="J15">
        <v>36.33</v>
      </c>
      <c r="K15">
        <v>9.75</v>
      </c>
      <c r="L15">
        <v>19.75</v>
      </c>
      <c r="M15">
        <v>6.83</v>
      </c>
      <c r="N15">
        <v>65.17</v>
      </c>
    </row>
    <row r="16" spans="1:32" x14ac:dyDescent="0.35">
      <c r="A16">
        <v>20786</v>
      </c>
      <c r="B16">
        <v>7</v>
      </c>
      <c r="C16" t="s">
        <v>276</v>
      </c>
      <c r="D16" t="s">
        <v>277</v>
      </c>
      <c r="E16" t="s">
        <v>278</v>
      </c>
      <c r="F16" t="s">
        <v>205</v>
      </c>
      <c r="G16">
        <v>719.44</v>
      </c>
      <c r="H16">
        <v>39</v>
      </c>
      <c r="I16">
        <v>680.44</v>
      </c>
      <c r="J16">
        <v>36.33</v>
      </c>
      <c r="K16">
        <v>9.75</v>
      </c>
      <c r="L16">
        <v>19.75</v>
      </c>
      <c r="M16">
        <v>6.83</v>
      </c>
      <c r="N16">
        <v>65.17</v>
      </c>
      <c r="Q16" t="s">
        <v>290</v>
      </c>
      <c r="R16">
        <v>104488</v>
      </c>
      <c r="S16" t="s">
        <v>291</v>
      </c>
    </row>
    <row r="17" spans="1:19" x14ac:dyDescent="0.35">
      <c r="A17">
        <v>20786</v>
      </c>
      <c r="B17">
        <v>7</v>
      </c>
      <c r="C17" t="s">
        <v>276</v>
      </c>
      <c r="D17" t="s">
        <v>277</v>
      </c>
      <c r="E17" t="s">
        <v>278</v>
      </c>
      <c r="F17" t="s">
        <v>205</v>
      </c>
      <c r="G17">
        <v>719.44</v>
      </c>
      <c r="H17">
        <v>39</v>
      </c>
      <c r="I17">
        <v>680.44</v>
      </c>
      <c r="J17">
        <v>36.33</v>
      </c>
      <c r="K17">
        <v>9.75</v>
      </c>
      <c r="L17">
        <v>19.75</v>
      </c>
      <c r="M17">
        <v>6.83</v>
      </c>
      <c r="N17">
        <v>65.17</v>
      </c>
      <c r="Q17">
        <v>59009</v>
      </c>
      <c r="R17">
        <v>114706</v>
      </c>
      <c r="S17" t="s">
        <v>292</v>
      </c>
    </row>
    <row r="18" spans="1:19" x14ac:dyDescent="0.35">
      <c r="A18">
        <v>20786</v>
      </c>
      <c r="B18">
        <v>7</v>
      </c>
      <c r="C18" t="s">
        <v>276</v>
      </c>
      <c r="D18" t="s">
        <v>277</v>
      </c>
      <c r="E18" t="s">
        <v>278</v>
      </c>
      <c r="F18" t="s">
        <v>205</v>
      </c>
      <c r="G18">
        <v>719.44</v>
      </c>
      <c r="H18">
        <v>39</v>
      </c>
      <c r="I18">
        <v>680.44</v>
      </c>
      <c r="J18">
        <v>36.33</v>
      </c>
      <c r="K18">
        <v>9.75</v>
      </c>
      <c r="L18">
        <v>19.75</v>
      </c>
      <c r="M18">
        <v>6.83</v>
      </c>
      <c r="N18">
        <v>65.17</v>
      </c>
    </row>
    <row r="19" spans="1:19" x14ac:dyDescent="0.35">
      <c r="A19">
        <v>20786</v>
      </c>
      <c r="B19">
        <v>7</v>
      </c>
      <c r="C19" t="s">
        <v>276</v>
      </c>
      <c r="D19" t="s">
        <v>277</v>
      </c>
      <c r="E19" t="s">
        <v>278</v>
      </c>
      <c r="F19" t="s">
        <v>205</v>
      </c>
      <c r="G19">
        <v>719.44</v>
      </c>
      <c r="H19">
        <v>39</v>
      </c>
      <c r="I19">
        <v>680.44</v>
      </c>
      <c r="J19">
        <v>36.33</v>
      </c>
      <c r="K19">
        <v>9.75</v>
      </c>
      <c r="L19">
        <v>19.75</v>
      </c>
      <c r="M19">
        <v>6.83</v>
      </c>
      <c r="N19">
        <v>65.17</v>
      </c>
    </row>
    <row r="20" spans="1:19" x14ac:dyDescent="0.35">
      <c r="A20">
        <v>20786</v>
      </c>
      <c r="B20">
        <v>7</v>
      </c>
      <c r="C20" t="s">
        <v>276</v>
      </c>
      <c r="D20" t="s">
        <v>277</v>
      </c>
      <c r="E20" t="s">
        <v>278</v>
      </c>
      <c r="F20" t="s">
        <v>205</v>
      </c>
      <c r="G20">
        <v>719.44</v>
      </c>
      <c r="H20">
        <v>39</v>
      </c>
      <c r="I20">
        <v>680.44</v>
      </c>
      <c r="J20">
        <v>36.33</v>
      </c>
      <c r="K20">
        <v>9.75</v>
      </c>
      <c r="L20">
        <v>19.75</v>
      </c>
      <c r="M20">
        <v>6.83</v>
      </c>
      <c r="N20">
        <v>65.17</v>
      </c>
      <c r="Q20">
        <v>58976</v>
      </c>
      <c r="R20">
        <v>114718</v>
      </c>
      <c r="S20" t="s">
        <v>293</v>
      </c>
    </row>
    <row r="21" spans="1:19" x14ac:dyDescent="0.35">
      <c r="A21">
        <v>20786</v>
      </c>
      <c r="B21">
        <v>7</v>
      </c>
      <c r="C21" t="s">
        <v>276</v>
      </c>
      <c r="D21" t="s">
        <v>277</v>
      </c>
      <c r="E21" t="s">
        <v>278</v>
      </c>
      <c r="F21" t="s">
        <v>205</v>
      </c>
      <c r="G21">
        <v>719.44</v>
      </c>
      <c r="H21">
        <v>39</v>
      </c>
      <c r="I21">
        <v>680.44</v>
      </c>
      <c r="J21">
        <v>36.33</v>
      </c>
      <c r="K21">
        <v>9.75</v>
      </c>
      <c r="L21">
        <v>19.75</v>
      </c>
      <c r="M21">
        <v>6.83</v>
      </c>
      <c r="N21">
        <v>65.17</v>
      </c>
    </row>
    <row r="22" spans="1:19" x14ac:dyDescent="0.35">
      <c r="A22">
        <v>20786</v>
      </c>
      <c r="B22">
        <v>7</v>
      </c>
      <c r="C22" t="s">
        <v>276</v>
      </c>
      <c r="D22" t="s">
        <v>277</v>
      </c>
      <c r="E22" t="s">
        <v>278</v>
      </c>
      <c r="F22" t="s">
        <v>205</v>
      </c>
      <c r="G22">
        <v>719.44</v>
      </c>
      <c r="H22">
        <v>39</v>
      </c>
      <c r="I22">
        <v>680.44</v>
      </c>
      <c r="J22">
        <v>36.33</v>
      </c>
      <c r="K22">
        <v>9.75</v>
      </c>
      <c r="L22">
        <v>19.75</v>
      </c>
      <c r="M22">
        <v>6.83</v>
      </c>
      <c r="N22">
        <v>65.17</v>
      </c>
      <c r="Q22" t="s">
        <v>294</v>
      </c>
      <c r="R22">
        <v>108809</v>
      </c>
      <c r="S22" t="s">
        <v>295</v>
      </c>
    </row>
    <row r="23" spans="1:19" x14ac:dyDescent="0.35">
      <c r="A23">
        <v>20786</v>
      </c>
      <c r="B23">
        <v>7</v>
      </c>
      <c r="C23" t="s">
        <v>276</v>
      </c>
      <c r="D23" t="s">
        <v>277</v>
      </c>
      <c r="E23" t="s">
        <v>278</v>
      </c>
      <c r="F23" t="s">
        <v>205</v>
      </c>
      <c r="G23">
        <v>719.44</v>
      </c>
      <c r="H23">
        <v>39</v>
      </c>
      <c r="I23">
        <v>680.44</v>
      </c>
      <c r="J23">
        <v>36.33</v>
      </c>
      <c r="K23">
        <v>9.75</v>
      </c>
      <c r="L23">
        <v>19.75</v>
      </c>
      <c r="M23">
        <v>6.83</v>
      </c>
      <c r="N23">
        <v>65.17</v>
      </c>
    </row>
    <row r="24" spans="1:19" x14ac:dyDescent="0.35">
      <c r="A24">
        <v>20786</v>
      </c>
      <c r="B24">
        <v>7</v>
      </c>
      <c r="C24" t="s">
        <v>276</v>
      </c>
      <c r="D24" t="s">
        <v>277</v>
      </c>
      <c r="E24" t="s">
        <v>278</v>
      </c>
      <c r="F24" t="s">
        <v>205</v>
      </c>
      <c r="G24">
        <v>719.44</v>
      </c>
      <c r="H24">
        <v>39</v>
      </c>
      <c r="I24">
        <v>680.44</v>
      </c>
      <c r="J24">
        <v>36.33</v>
      </c>
      <c r="K24">
        <v>9.75</v>
      </c>
      <c r="L24">
        <v>19.75</v>
      </c>
      <c r="M24">
        <v>6.83</v>
      </c>
      <c r="N24">
        <v>65.17</v>
      </c>
      <c r="Q24" t="s">
        <v>296</v>
      </c>
      <c r="R24">
        <v>108526</v>
      </c>
      <c r="S24" t="s">
        <v>297</v>
      </c>
    </row>
    <row r="25" spans="1:19" x14ac:dyDescent="0.35">
      <c r="A25">
        <v>20786</v>
      </c>
      <c r="B25">
        <v>7</v>
      </c>
      <c r="C25" t="s">
        <v>276</v>
      </c>
      <c r="D25" t="s">
        <v>277</v>
      </c>
      <c r="E25" t="s">
        <v>278</v>
      </c>
      <c r="F25" t="s">
        <v>205</v>
      </c>
      <c r="G25">
        <v>719.44</v>
      </c>
      <c r="H25">
        <v>39</v>
      </c>
      <c r="I25">
        <v>680.44</v>
      </c>
      <c r="J25">
        <v>36.33</v>
      </c>
      <c r="K25">
        <v>9.75</v>
      </c>
      <c r="L25">
        <v>19.75</v>
      </c>
      <c r="M25">
        <v>6.83</v>
      </c>
      <c r="N25">
        <v>65.17</v>
      </c>
    </row>
    <row r="26" spans="1:19" x14ac:dyDescent="0.35">
      <c r="A26">
        <v>20786</v>
      </c>
      <c r="B26">
        <v>7</v>
      </c>
      <c r="C26" t="s">
        <v>276</v>
      </c>
      <c r="D26" t="s">
        <v>277</v>
      </c>
      <c r="E26" t="s">
        <v>278</v>
      </c>
      <c r="F26" t="s">
        <v>205</v>
      </c>
      <c r="G26">
        <v>719.44</v>
      </c>
      <c r="H26">
        <v>39</v>
      </c>
      <c r="I26">
        <v>680.44</v>
      </c>
      <c r="J26">
        <v>36.33</v>
      </c>
      <c r="K26">
        <v>9.75</v>
      </c>
      <c r="L26">
        <v>19.75</v>
      </c>
      <c r="M26">
        <v>6.83</v>
      </c>
      <c r="N26">
        <v>65.17</v>
      </c>
      <c r="Q26" t="s">
        <v>298</v>
      </c>
      <c r="R26">
        <v>108623</v>
      </c>
      <c r="S26" t="s">
        <v>299</v>
      </c>
    </row>
    <row r="27" spans="1:19" x14ac:dyDescent="0.35">
      <c r="A27">
        <v>20786</v>
      </c>
      <c r="B27">
        <v>7</v>
      </c>
      <c r="C27" t="s">
        <v>276</v>
      </c>
      <c r="D27" t="s">
        <v>277</v>
      </c>
      <c r="E27" t="s">
        <v>278</v>
      </c>
      <c r="F27" t="s">
        <v>205</v>
      </c>
      <c r="G27">
        <v>719.44</v>
      </c>
      <c r="H27">
        <v>39</v>
      </c>
      <c r="I27">
        <v>680.44</v>
      </c>
      <c r="J27">
        <v>36.33</v>
      </c>
      <c r="K27">
        <v>9.75</v>
      </c>
      <c r="L27">
        <v>19.75</v>
      </c>
      <c r="M27">
        <v>6.83</v>
      </c>
      <c r="N27">
        <v>65.17</v>
      </c>
      <c r="Q27">
        <v>59002</v>
      </c>
      <c r="R27">
        <v>114706</v>
      </c>
      <c r="S27" t="s">
        <v>292</v>
      </c>
    </row>
    <row r="28" spans="1:19" x14ac:dyDescent="0.35">
      <c r="A28">
        <v>20786</v>
      </c>
      <c r="B28">
        <v>7</v>
      </c>
      <c r="C28" t="s">
        <v>276</v>
      </c>
      <c r="D28" t="s">
        <v>277</v>
      </c>
      <c r="E28" t="s">
        <v>278</v>
      </c>
      <c r="F28" t="s">
        <v>205</v>
      </c>
      <c r="G28">
        <v>719.44</v>
      </c>
      <c r="H28">
        <v>39</v>
      </c>
      <c r="I28">
        <v>680.44</v>
      </c>
      <c r="J28">
        <v>36.33</v>
      </c>
      <c r="K28">
        <v>9.75</v>
      </c>
      <c r="L28">
        <v>19.75</v>
      </c>
      <c r="M28">
        <v>6.83</v>
      </c>
      <c r="N28">
        <v>65.17</v>
      </c>
    </row>
    <row r="29" spans="1:19" x14ac:dyDescent="0.35">
      <c r="A29">
        <v>20786</v>
      </c>
      <c r="B29">
        <v>7</v>
      </c>
      <c r="C29" t="s">
        <v>276</v>
      </c>
      <c r="D29" t="s">
        <v>277</v>
      </c>
      <c r="E29" t="s">
        <v>278</v>
      </c>
      <c r="F29" t="s">
        <v>205</v>
      </c>
      <c r="G29">
        <v>719.44</v>
      </c>
      <c r="H29">
        <v>39</v>
      </c>
      <c r="I29">
        <v>680.44</v>
      </c>
      <c r="J29">
        <v>36.33</v>
      </c>
      <c r="K29">
        <v>9.75</v>
      </c>
      <c r="L29">
        <v>19.75</v>
      </c>
      <c r="M29">
        <v>6.83</v>
      </c>
      <c r="N29">
        <v>65.17</v>
      </c>
    </row>
    <row r="30" spans="1:19" x14ac:dyDescent="0.35">
      <c r="A30">
        <v>20786</v>
      </c>
      <c r="B30">
        <v>6</v>
      </c>
      <c r="C30" t="s">
        <v>276</v>
      </c>
      <c r="D30" t="s">
        <v>277</v>
      </c>
      <c r="E30" t="s">
        <v>300</v>
      </c>
      <c r="F30" t="s">
        <v>205</v>
      </c>
      <c r="G30">
        <v>2089.0700000000002</v>
      </c>
      <c r="H30">
        <v>276</v>
      </c>
      <c r="I30">
        <v>1813.07</v>
      </c>
      <c r="J30">
        <v>77.5</v>
      </c>
      <c r="K30">
        <v>25.5</v>
      </c>
      <c r="L30">
        <v>39.92</v>
      </c>
      <c r="M30">
        <v>12.08</v>
      </c>
      <c r="N30">
        <v>97.33</v>
      </c>
    </row>
    <row r="31" spans="1:19" x14ac:dyDescent="0.35">
      <c r="A31">
        <v>20786</v>
      </c>
      <c r="B31">
        <v>6</v>
      </c>
      <c r="C31" t="s">
        <v>276</v>
      </c>
      <c r="D31" t="s">
        <v>277</v>
      </c>
      <c r="E31" t="s">
        <v>300</v>
      </c>
      <c r="F31" t="s">
        <v>205</v>
      </c>
      <c r="G31">
        <v>2089.0700000000002</v>
      </c>
      <c r="H31">
        <v>276</v>
      </c>
      <c r="I31">
        <v>1813.07</v>
      </c>
      <c r="J31">
        <v>77.5</v>
      </c>
      <c r="K31">
        <v>25.5</v>
      </c>
      <c r="L31">
        <v>39.92</v>
      </c>
      <c r="M31">
        <v>12.08</v>
      </c>
      <c r="N31">
        <v>97.33</v>
      </c>
      <c r="Q31" t="s">
        <v>301</v>
      </c>
      <c r="R31">
        <v>105935</v>
      </c>
      <c r="S31" t="s">
        <v>289</v>
      </c>
    </row>
    <row r="32" spans="1:19" x14ac:dyDescent="0.35">
      <c r="A32">
        <v>20786</v>
      </c>
      <c r="B32">
        <v>6</v>
      </c>
      <c r="C32" t="s">
        <v>276</v>
      </c>
      <c r="D32" t="s">
        <v>277</v>
      </c>
      <c r="E32" t="s">
        <v>300</v>
      </c>
      <c r="F32" t="s">
        <v>205</v>
      </c>
      <c r="G32">
        <v>2089.0700000000002</v>
      </c>
      <c r="H32">
        <v>276</v>
      </c>
      <c r="I32">
        <v>1813.07</v>
      </c>
      <c r="J32">
        <v>77.5</v>
      </c>
      <c r="K32">
        <v>25.5</v>
      </c>
      <c r="L32">
        <v>39.92</v>
      </c>
      <c r="M32">
        <v>12.08</v>
      </c>
      <c r="N32">
        <v>97.33</v>
      </c>
      <c r="Q32" t="s">
        <v>302</v>
      </c>
      <c r="R32">
        <v>105519</v>
      </c>
      <c r="S32" t="s">
        <v>283</v>
      </c>
    </row>
    <row r="33" spans="1:19" x14ac:dyDescent="0.35">
      <c r="A33">
        <v>20786</v>
      </c>
      <c r="B33">
        <v>6</v>
      </c>
      <c r="C33" t="s">
        <v>276</v>
      </c>
      <c r="D33" t="s">
        <v>277</v>
      </c>
      <c r="E33" t="s">
        <v>300</v>
      </c>
      <c r="F33" t="s">
        <v>205</v>
      </c>
      <c r="G33">
        <v>2089.0700000000002</v>
      </c>
      <c r="H33">
        <v>276</v>
      </c>
      <c r="I33">
        <v>1813.07</v>
      </c>
      <c r="J33">
        <v>77.5</v>
      </c>
      <c r="K33">
        <v>25.5</v>
      </c>
      <c r="L33">
        <v>39.92</v>
      </c>
      <c r="M33">
        <v>12.08</v>
      </c>
      <c r="N33">
        <v>97.33</v>
      </c>
    </row>
    <row r="34" spans="1:19" x14ac:dyDescent="0.35">
      <c r="A34">
        <v>20786</v>
      </c>
      <c r="B34">
        <v>6</v>
      </c>
      <c r="C34" t="s">
        <v>276</v>
      </c>
      <c r="D34" t="s">
        <v>277</v>
      </c>
      <c r="E34" t="s">
        <v>300</v>
      </c>
      <c r="F34" t="s">
        <v>205</v>
      </c>
      <c r="G34">
        <v>2089.0700000000002</v>
      </c>
      <c r="H34">
        <v>276</v>
      </c>
      <c r="I34">
        <v>1813.07</v>
      </c>
      <c r="J34">
        <v>77.5</v>
      </c>
      <c r="K34">
        <v>25.5</v>
      </c>
      <c r="L34">
        <v>39.92</v>
      </c>
      <c r="M34">
        <v>12.08</v>
      </c>
      <c r="N34">
        <v>97.33</v>
      </c>
    </row>
    <row r="35" spans="1:19" x14ac:dyDescent="0.35">
      <c r="A35">
        <v>20786</v>
      </c>
      <c r="B35">
        <v>6</v>
      </c>
      <c r="C35" t="s">
        <v>276</v>
      </c>
      <c r="D35" t="s">
        <v>277</v>
      </c>
      <c r="E35" t="s">
        <v>300</v>
      </c>
      <c r="F35" t="s">
        <v>205</v>
      </c>
      <c r="G35">
        <v>2089.0700000000002</v>
      </c>
      <c r="H35">
        <v>276</v>
      </c>
      <c r="I35">
        <v>1813.07</v>
      </c>
      <c r="J35">
        <v>77.5</v>
      </c>
      <c r="K35">
        <v>25.5</v>
      </c>
      <c r="L35">
        <v>39.92</v>
      </c>
      <c r="M35">
        <v>12.08</v>
      </c>
      <c r="N35">
        <v>97.33</v>
      </c>
    </row>
    <row r="36" spans="1:19" x14ac:dyDescent="0.35">
      <c r="A36">
        <v>20786</v>
      </c>
      <c r="B36">
        <v>6</v>
      </c>
      <c r="C36" t="s">
        <v>276</v>
      </c>
      <c r="D36" t="s">
        <v>277</v>
      </c>
      <c r="E36" t="s">
        <v>300</v>
      </c>
      <c r="F36" t="s">
        <v>205</v>
      </c>
      <c r="G36">
        <v>2089.0700000000002</v>
      </c>
      <c r="H36">
        <v>276</v>
      </c>
      <c r="I36">
        <v>1813.07</v>
      </c>
      <c r="J36">
        <v>77.5</v>
      </c>
      <c r="K36">
        <v>25.5</v>
      </c>
      <c r="L36">
        <v>39.92</v>
      </c>
      <c r="M36">
        <v>12.08</v>
      </c>
      <c r="N36">
        <v>97.33</v>
      </c>
    </row>
    <row r="37" spans="1:19" x14ac:dyDescent="0.35">
      <c r="A37">
        <v>20786</v>
      </c>
      <c r="B37">
        <v>6</v>
      </c>
      <c r="C37" t="s">
        <v>276</v>
      </c>
      <c r="D37" t="s">
        <v>277</v>
      </c>
      <c r="E37" t="s">
        <v>300</v>
      </c>
      <c r="F37" t="s">
        <v>205</v>
      </c>
      <c r="G37">
        <v>2089.0700000000002</v>
      </c>
      <c r="H37">
        <v>276</v>
      </c>
      <c r="I37">
        <v>1813.07</v>
      </c>
      <c r="J37">
        <v>77.5</v>
      </c>
      <c r="K37">
        <v>25.5</v>
      </c>
      <c r="L37">
        <v>39.92</v>
      </c>
      <c r="M37">
        <v>12.08</v>
      </c>
      <c r="N37">
        <v>97.33</v>
      </c>
    </row>
    <row r="38" spans="1:19" x14ac:dyDescent="0.35">
      <c r="A38">
        <v>20786</v>
      </c>
      <c r="B38">
        <v>6</v>
      </c>
      <c r="C38" t="s">
        <v>276</v>
      </c>
      <c r="D38" t="s">
        <v>277</v>
      </c>
      <c r="E38" t="s">
        <v>300</v>
      </c>
      <c r="F38" t="s">
        <v>205</v>
      </c>
      <c r="G38">
        <v>2089.0700000000002</v>
      </c>
      <c r="H38">
        <v>276</v>
      </c>
      <c r="I38">
        <v>1813.07</v>
      </c>
      <c r="J38">
        <v>77.5</v>
      </c>
      <c r="K38">
        <v>25.5</v>
      </c>
      <c r="L38">
        <v>39.92</v>
      </c>
      <c r="M38">
        <v>12.08</v>
      </c>
      <c r="N38">
        <v>97.33</v>
      </c>
      <c r="Q38" t="s">
        <v>303</v>
      </c>
      <c r="R38">
        <v>105619</v>
      </c>
      <c r="S38" t="s">
        <v>280</v>
      </c>
    </row>
    <row r="39" spans="1:19" x14ac:dyDescent="0.35">
      <c r="A39">
        <v>20786</v>
      </c>
      <c r="B39">
        <v>6</v>
      </c>
      <c r="C39" t="s">
        <v>276</v>
      </c>
      <c r="D39" t="s">
        <v>277</v>
      </c>
      <c r="E39" t="s">
        <v>300</v>
      </c>
      <c r="F39" t="s">
        <v>205</v>
      </c>
      <c r="G39">
        <v>2089.0700000000002</v>
      </c>
      <c r="H39">
        <v>276</v>
      </c>
      <c r="I39">
        <v>1813.07</v>
      </c>
      <c r="J39">
        <v>77.5</v>
      </c>
      <c r="K39">
        <v>25.5</v>
      </c>
      <c r="L39">
        <v>39.92</v>
      </c>
      <c r="M39">
        <v>12.08</v>
      </c>
      <c r="N39">
        <v>97.33</v>
      </c>
    </row>
    <row r="40" spans="1:19" x14ac:dyDescent="0.35">
      <c r="A40">
        <v>20786</v>
      </c>
      <c r="B40">
        <v>6</v>
      </c>
      <c r="C40" t="s">
        <v>276</v>
      </c>
      <c r="D40" t="s">
        <v>277</v>
      </c>
      <c r="E40" t="s">
        <v>300</v>
      </c>
      <c r="F40" t="s">
        <v>205</v>
      </c>
      <c r="G40">
        <v>2089.0700000000002</v>
      </c>
      <c r="H40">
        <v>276</v>
      </c>
      <c r="I40">
        <v>1813.07</v>
      </c>
      <c r="J40">
        <v>77.5</v>
      </c>
      <c r="K40">
        <v>25.5</v>
      </c>
      <c r="L40">
        <v>39.92</v>
      </c>
      <c r="M40">
        <v>12.08</v>
      </c>
      <c r="N40">
        <v>97.33</v>
      </c>
    </row>
    <row r="41" spans="1:19" x14ac:dyDescent="0.35">
      <c r="A41">
        <v>20786</v>
      </c>
      <c r="B41">
        <v>6</v>
      </c>
      <c r="C41" t="s">
        <v>276</v>
      </c>
      <c r="D41" t="s">
        <v>277</v>
      </c>
      <c r="E41" t="s">
        <v>300</v>
      </c>
      <c r="F41" t="s">
        <v>205</v>
      </c>
      <c r="G41">
        <v>2089.0700000000002</v>
      </c>
      <c r="H41">
        <v>276</v>
      </c>
      <c r="I41">
        <v>1813.07</v>
      </c>
      <c r="J41">
        <v>77.5</v>
      </c>
      <c r="K41">
        <v>25.5</v>
      </c>
      <c r="L41">
        <v>39.92</v>
      </c>
      <c r="M41">
        <v>12.08</v>
      </c>
      <c r="N41">
        <v>97.33</v>
      </c>
      <c r="Q41" t="s">
        <v>304</v>
      </c>
      <c r="R41">
        <v>108809</v>
      </c>
      <c r="S41" t="s">
        <v>295</v>
      </c>
    </row>
    <row r="42" spans="1:19" x14ac:dyDescent="0.35">
      <c r="A42">
        <v>20786</v>
      </c>
      <c r="B42">
        <v>6</v>
      </c>
      <c r="C42" t="s">
        <v>276</v>
      </c>
      <c r="D42" t="s">
        <v>277</v>
      </c>
      <c r="E42" t="s">
        <v>300</v>
      </c>
      <c r="F42" t="s">
        <v>205</v>
      </c>
      <c r="G42">
        <v>2089.0700000000002</v>
      </c>
      <c r="H42">
        <v>276</v>
      </c>
      <c r="I42">
        <v>1813.07</v>
      </c>
      <c r="J42">
        <v>77.5</v>
      </c>
      <c r="K42">
        <v>25.5</v>
      </c>
      <c r="L42">
        <v>39.92</v>
      </c>
      <c r="M42">
        <v>12.08</v>
      </c>
      <c r="N42">
        <v>97.33</v>
      </c>
      <c r="Q42">
        <v>58976</v>
      </c>
      <c r="R42">
        <v>114718</v>
      </c>
      <c r="S42" t="s">
        <v>293</v>
      </c>
    </row>
    <row r="43" spans="1:19" x14ac:dyDescent="0.35">
      <c r="A43">
        <v>20786</v>
      </c>
      <c r="B43">
        <v>6</v>
      </c>
      <c r="C43" t="s">
        <v>276</v>
      </c>
      <c r="D43" t="s">
        <v>277</v>
      </c>
      <c r="E43" t="s">
        <v>300</v>
      </c>
      <c r="F43" t="s">
        <v>205</v>
      </c>
      <c r="G43">
        <v>2089.0700000000002</v>
      </c>
      <c r="H43">
        <v>276</v>
      </c>
      <c r="I43">
        <v>1813.07</v>
      </c>
      <c r="J43">
        <v>77.5</v>
      </c>
      <c r="K43">
        <v>25.5</v>
      </c>
      <c r="L43">
        <v>39.92</v>
      </c>
      <c r="M43">
        <v>12.08</v>
      </c>
      <c r="N43">
        <v>97.33</v>
      </c>
      <c r="Q43">
        <v>59002</v>
      </c>
      <c r="R43">
        <v>114706</v>
      </c>
      <c r="S43" t="s">
        <v>292</v>
      </c>
    </row>
    <row r="44" spans="1:19" x14ac:dyDescent="0.35">
      <c r="A44">
        <v>20786</v>
      </c>
      <c r="B44">
        <v>6</v>
      </c>
      <c r="C44" t="s">
        <v>276</v>
      </c>
      <c r="D44" t="s">
        <v>277</v>
      </c>
      <c r="E44" t="s">
        <v>300</v>
      </c>
      <c r="F44" t="s">
        <v>205</v>
      </c>
      <c r="G44">
        <v>2089.0700000000002</v>
      </c>
      <c r="H44">
        <v>276</v>
      </c>
      <c r="I44">
        <v>1813.07</v>
      </c>
      <c r="J44">
        <v>77.5</v>
      </c>
      <c r="K44">
        <v>25.5</v>
      </c>
      <c r="L44">
        <v>39.92</v>
      </c>
      <c r="M44">
        <v>12.08</v>
      </c>
      <c r="N44">
        <v>97.33</v>
      </c>
    </row>
    <row r="45" spans="1:19" x14ac:dyDescent="0.35">
      <c r="A45">
        <v>20786</v>
      </c>
      <c r="B45">
        <v>6</v>
      </c>
      <c r="C45" t="s">
        <v>276</v>
      </c>
      <c r="D45" t="s">
        <v>277</v>
      </c>
      <c r="E45" t="s">
        <v>300</v>
      </c>
      <c r="F45" t="s">
        <v>205</v>
      </c>
      <c r="G45">
        <v>2089.0700000000002</v>
      </c>
      <c r="H45">
        <v>276</v>
      </c>
      <c r="I45">
        <v>1813.07</v>
      </c>
      <c r="J45">
        <v>77.5</v>
      </c>
      <c r="K45">
        <v>25.5</v>
      </c>
      <c r="L45">
        <v>39.92</v>
      </c>
      <c r="M45">
        <v>12.08</v>
      </c>
      <c r="N45">
        <v>97.33</v>
      </c>
    </row>
    <row r="46" spans="1:19" x14ac:dyDescent="0.35">
      <c r="A46">
        <v>20786</v>
      </c>
      <c r="B46">
        <v>6</v>
      </c>
      <c r="C46" t="s">
        <v>276</v>
      </c>
      <c r="D46" t="s">
        <v>277</v>
      </c>
      <c r="E46" t="s">
        <v>300</v>
      </c>
      <c r="F46" t="s">
        <v>205</v>
      </c>
      <c r="G46">
        <v>2089.0700000000002</v>
      </c>
      <c r="H46">
        <v>276</v>
      </c>
      <c r="I46">
        <v>1813.07</v>
      </c>
      <c r="J46">
        <v>77.5</v>
      </c>
      <c r="K46">
        <v>25.5</v>
      </c>
      <c r="L46">
        <v>39.92</v>
      </c>
      <c r="M46">
        <v>12.08</v>
      </c>
      <c r="N46">
        <v>97.33</v>
      </c>
    </row>
    <row r="47" spans="1:19" x14ac:dyDescent="0.35">
      <c r="A47">
        <v>20786</v>
      </c>
      <c r="B47">
        <v>6</v>
      </c>
      <c r="C47" t="s">
        <v>276</v>
      </c>
      <c r="D47" t="s">
        <v>277</v>
      </c>
      <c r="E47" t="s">
        <v>300</v>
      </c>
      <c r="F47" t="s">
        <v>205</v>
      </c>
      <c r="G47">
        <v>2089.0700000000002</v>
      </c>
      <c r="H47">
        <v>276</v>
      </c>
      <c r="I47">
        <v>1813.07</v>
      </c>
      <c r="J47">
        <v>77.5</v>
      </c>
      <c r="K47">
        <v>25.5</v>
      </c>
      <c r="L47">
        <v>39.92</v>
      </c>
      <c r="M47">
        <v>12.08</v>
      </c>
      <c r="N47">
        <v>97.33</v>
      </c>
      <c r="Q47" t="s">
        <v>305</v>
      </c>
      <c r="R47">
        <v>108526</v>
      </c>
      <c r="S47" t="s">
        <v>297</v>
      </c>
    </row>
    <row r="48" spans="1:19" x14ac:dyDescent="0.35">
      <c r="A48">
        <v>20786</v>
      </c>
      <c r="B48">
        <v>6</v>
      </c>
      <c r="C48" t="s">
        <v>276</v>
      </c>
      <c r="D48" t="s">
        <v>277</v>
      </c>
      <c r="E48" t="s">
        <v>300</v>
      </c>
      <c r="F48" t="s">
        <v>205</v>
      </c>
      <c r="G48">
        <v>2089.0700000000002</v>
      </c>
      <c r="H48">
        <v>276</v>
      </c>
      <c r="I48">
        <v>1813.07</v>
      </c>
      <c r="J48">
        <v>77.5</v>
      </c>
      <c r="K48">
        <v>25.5</v>
      </c>
      <c r="L48">
        <v>39.92</v>
      </c>
      <c r="M48">
        <v>12.08</v>
      </c>
      <c r="N48">
        <v>97.33</v>
      </c>
      <c r="Q48" t="s">
        <v>300</v>
      </c>
      <c r="R48">
        <v>111244</v>
      </c>
      <c r="S48" t="s">
        <v>281</v>
      </c>
    </row>
    <row r="49" spans="1:19" x14ac:dyDescent="0.35">
      <c r="A49">
        <v>20786</v>
      </c>
      <c r="B49">
        <v>6</v>
      </c>
      <c r="C49" t="s">
        <v>276</v>
      </c>
      <c r="D49" t="s">
        <v>277</v>
      </c>
      <c r="E49" t="s">
        <v>300</v>
      </c>
      <c r="F49" t="s">
        <v>205</v>
      </c>
      <c r="G49">
        <v>2089.0700000000002</v>
      </c>
      <c r="H49">
        <v>276</v>
      </c>
      <c r="I49">
        <v>1813.07</v>
      </c>
      <c r="J49">
        <v>77.5</v>
      </c>
      <c r="K49">
        <v>25.5</v>
      </c>
      <c r="L49">
        <v>39.92</v>
      </c>
      <c r="M49">
        <v>12.08</v>
      </c>
      <c r="N49">
        <v>97.33</v>
      </c>
    </row>
    <row r="50" spans="1:19" x14ac:dyDescent="0.35">
      <c r="A50">
        <v>20786</v>
      </c>
      <c r="B50">
        <v>6</v>
      </c>
      <c r="C50" t="s">
        <v>276</v>
      </c>
      <c r="D50" t="s">
        <v>277</v>
      </c>
      <c r="E50" t="s">
        <v>300</v>
      </c>
      <c r="F50" t="s">
        <v>205</v>
      </c>
      <c r="G50">
        <v>2089.0700000000002</v>
      </c>
      <c r="H50">
        <v>276</v>
      </c>
      <c r="I50">
        <v>1813.07</v>
      </c>
      <c r="J50">
        <v>77.5</v>
      </c>
      <c r="K50">
        <v>25.5</v>
      </c>
      <c r="L50">
        <v>39.92</v>
      </c>
      <c r="M50">
        <v>12.08</v>
      </c>
      <c r="N50">
        <v>97.33</v>
      </c>
    </row>
    <row r="51" spans="1:19" x14ac:dyDescent="0.35">
      <c r="A51">
        <v>20786</v>
      </c>
      <c r="B51">
        <v>6</v>
      </c>
      <c r="C51" t="s">
        <v>276</v>
      </c>
      <c r="D51" t="s">
        <v>277</v>
      </c>
      <c r="E51" t="s">
        <v>300</v>
      </c>
      <c r="F51" t="s">
        <v>205</v>
      </c>
      <c r="G51">
        <v>2089.0700000000002</v>
      </c>
      <c r="H51">
        <v>276</v>
      </c>
      <c r="I51">
        <v>1813.07</v>
      </c>
      <c r="J51">
        <v>77.5</v>
      </c>
      <c r="K51">
        <v>25.5</v>
      </c>
      <c r="L51">
        <v>39.92</v>
      </c>
      <c r="M51">
        <v>12.08</v>
      </c>
      <c r="N51">
        <v>97.33</v>
      </c>
    </row>
    <row r="52" spans="1:19" x14ac:dyDescent="0.35">
      <c r="A52">
        <v>20786</v>
      </c>
      <c r="B52">
        <v>6</v>
      </c>
      <c r="C52" t="s">
        <v>276</v>
      </c>
      <c r="D52" t="s">
        <v>277</v>
      </c>
      <c r="E52" t="s">
        <v>300</v>
      </c>
      <c r="F52" t="s">
        <v>205</v>
      </c>
      <c r="G52">
        <v>2089.0700000000002</v>
      </c>
      <c r="H52">
        <v>276</v>
      </c>
      <c r="I52">
        <v>1813.07</v>
      </c>
      <c r="J52">
        <v>77.5</v>
      </c>
      <c r="K52">
        <v>25.5</v>
      </c>
      <c r="L52">
        <v>39.92</v>
      </c>
      <c r="M52">
        <v>12.08</v>
      </c>
      <c r="N52">
        <v>97.33</v>
      </c>
    </row>
    <row r="53" spans="1:19" x14ac:dyDescent="0.35">
      <c r="A53">
        <v>20786</v>
      </c>
      <c r="B53">
        <v>6</v>
      </c>
      <c r="C53" t="s">
        <v>276</v>
      </c>
      <c r="D53" t="s">
        <v>277</v>
      </c>
      <c r="E53" t="s">
        <v>300</v>
      </c>
      <c r="F53" t="s">
        <v>205</v>
      </c>
      <c r="G53">
        <v>2089.0700000000002</v>
      </c>
      <c r="H53">
        <v>276</v>
      </c>
      <c r="I53">
        <v>1813.07</v>
      </c>
      <c r="J53">
        <v>77.5</v>
      </c>
      <c r="K53">
        <v>25.5</v>
      </c>
      <c r="L53">
        <v>39.92</v>
      </c>
      <c r="M53">
        <v>12.08</v>
      </c>
      <c r="N53">
        <v>97.33</v>
      </c>
    </row>
    <row r="54" spans="1:19" x14ac:dyDescent="0.35">
      <c r="A54">
        <v>20786</v>
      </c>
      <c r="B54">
        <v>6</v>
      </c>
      <c r="C54" t="s">
        <v>276</v>
      </c>
      <c r="D54" t="s">
        <v>277</v>
      </c>
      <c r="E54" t="s">
        <v>300</v>
      </c>
      <c r="F54" t="s">
        <v>205</v>
      </c>
      <c r="G54">
        <v>2089.0700000000002</v>
      </c>
      <c r="H54">
        <v>276</v>
      </c>
      <c r="I54">
        <v>1813.07</v>
      </c>
      <c r="J54">
        <v>77.5</v>
      </c>
      <c r="K54">
        <v>25.5</v>
      </c>
      <c r="L54">
        <v>39.92</v>
      </c>
      <c r="M54">
        <v>12.08</v>
      </c>
      <c r="N54">
        <v>97.33</v>
      </c>
      <c r="Q54" t="s">
        <v>290</v>
      </c>
      <c r="R54">
        <v>104488</v>
      </c>
      <c r="S54" t="s">
        <v>291</v>
      </c>
    </row>
    <row r="55" spans="1:19" x14ac:dyDescent="0.35">
      <c r="A55">
        <v>20786</v>
      </c>
      <c r="B55">
        <v>6</v>
      </c>
      <c r="C55" t="s">
        <v>276</v>
      </c>
      <c r="D55" t="s">
        <v>277</v>
      </c>
      <c r="E55" t="s">
        <v>300</v>
      </c>
      <c r="F55" t="s">
        <v>205</v>
      </c>
      <c r="G55">
        <v>2089.0700000000002</v>
      </c>
      <c r="H55">
        <v>276</v>
      </c>
      <c r="I55">
        <v>1813.07</v>
      </c>
      <c r="J55">
        <v>77.5</v>
      </c>
      <c r="K55">
        <v>25.5</v>
      </c>
      <c r="L55">
        <v>39.92</v>
      </c>
      <c r="M55">
        <v>12.08</v>
      </c>
      <c r="N55">
        <v>97.33</v>
      </c>
      <c r="Q55">
        <v>59009</v>
      </c>
      <c r="R55">
        <v>114706</v>
      </c>
      <c r="S55" t="s">
        <v>292</v>
      </c>
    </row>
    <row r="56" spans="1:19" x14ac:dyDescent="0.35">
      <c r="A56">
        <v>20786</v>
      </c>
      <c r="B56">
        <v>6</v>
      </c>
      <c r="C56" t="s">
        <v>276</v>
      </c>
      <c r="D56" t="s">
        <v>277</v>
      </c>
      <c r="E56" t="s">
        <v>300</v>
      </c>
      <c r="F56" t="s">
        <v>205</v>
      </c>
      <c r="G56">
        <v>2089.0700000000002</v>
      </c>
      <c r="H56">
        <v>276</v>
      </c>
      <c r="I56">
        <v>1813.07</v>
      </c>
      <c r="J56">
        <v>77.5</v>
      </c>
      <c r="K56">
        <v>25.5</v>
      </c>
      <c r="L56">
        <v>39.92</v>
      </c>
      <c r="M56">
        <v>12.08</v>
      </c>
      <c r="N56">
        <v>97.33</v>
      </c>
      <c r="Q56" t="s">
        <v>306</v>
      </c>
      <c r="R56">
        <v>110760</v>
      </c>
      <c r="S56" t="s">
        <v>287</v>
      </c>
    </row>
    <row r="57" spans="1:19" x14ac:dyDescent="0.35">
      <c r="A57">
        <v>20786</v>
      </c>
      <c r="B57">
        <v>6</v>
      </c>
      <c r="C57" t="s">
        <v>276</v>
      </c>
      <c r="D57" t="s">
        <v>277</v>
      </c>
      <c r="E57" t="s">
        <v>300</v>
      </c>
      <c r="F57" t="s">
        <v>205</v>
      </c>
      <c r="G57">
        <v>2089.0700000000002</v>
      </c>
      <c r="H57">
        <v>276</v>
      </c>
      <c r="I57">
        <v>1813.07</v>
      </c>
      <c r="J57">
        <v>77.5</v>
      </c>
      <c r="K57">
        <v>25.5</v>
      </c>
      <c r="L57">
        <v>39.92</v>
      </c>
      <c r="M57">
        <v>12.08</v>
      </c>
      <c r="N57">
        <v>97.33</v>
      </c>
    </row>
    <row r="58" spans="1:19" x14ac:dyDescent="0.35">
      <c r="A58">
        <v>20786</v>
      </c>
      <c r="B58">
        <v>6</v>
      </c>
      <c r="C58" t="s">
        <v>276</v>
      </c>
      <c r="D58" t="s">
        <v>277</v>
      </c>
      <c r="E58" t="s">
        <v>300</v>
      </c>
      <c r="F58" t="s">
        <v>205</v>
      </c>
      <c r="G58">
        <v>2089.0700000000002</v>
      </c>
      <c r="H58">
        <v>276</v>
      </c>
      <c r="I58">
        <v>1813.07</v>
      </c>
      <c r="J58">
        <v>77.5</v>
      </c>
      <c r="K58">
        <v>25.5</v>
      </c>
      <c r="L58">
        <v>39.92</v>
      </c>
      <c r="M58">
        <v>12.08</v>
      </c>
      <c r="N58">
        <v>97.33</v>
      </c>
      <c r="Q58" t="s">
        <v>284</v>
      </c>
      <c r="R58">
        <v>104499</v>
      </c>
      <c r="S58" t="s">
        <v>285</v>
      </c>
    </row>
    <row r="59" spans="1:19" x14ac:dyDescent="0.35">
      <c r="A59">
        <v>20786</v>
      </c>
      <c r="B59">
        <v>6</v>
      </c>
      <c r="C59" t="s">
        <v>276</v>
      </c>
      <c r="D59" t="s">
        <v>277</v>
      </c>
      <c r="E59" t="s">
        <v>300</v>
      </c>
      <c r="F59" t="s">
        <v>205</v>
      </c>
      <c r="G59">
        <v>2089.0700000000002</v>
      </c>
      <c r="H59">
        <v>276</v>
      </c>
      <c r="I59">
        <v>1813.07</v>
      </c>
      <c r="J59">
        <v>77.5</v>
      </c>
      <c r="K59">
        <v>25.5</v>
      </c>
      <c r="L59">
        <v>39.92</v>
      </c>
      <c r="M59">
        <v>12.08</v>
      </c>
      <c r="N59">
        <v>97.33</v>
      </c>
      <c r="Q59" t="s">
        <v>307</v>
      </c>
      <c r="R59">
        <v>108623</v>
      </c>
      <c r="S59" t="s">
        <v>299</v>
      </c>
    </row>
    <row r="60" spans="1:19" x14ac:dyDescent="0.35">
      <c r="A60">
        <v>20786</v>
      </c>
      <c r="B60">
        <v>5</v>
      </c>
      <c r="C60" t="s">
        <v>308</v>
      </c>
      <c r="D60" t="s">
        <v>277</v>
      </c>
      <c r="E60" t="s">
        <v>309</v>
      </c>
      <c r="F60" t="s">
        <v>205</v>
      </c>
      <c r="G60">
        <v>1394.28</v>
      </c>
      <c r="H60">
        <v>282.95</v>
      </c>
      <c r="I60">
        <v>1111.33</v>
      </c>
      <c r="J60">
        <v>73.67</v>
      </c>
      <c r="K60">
        <v>36.17</v>
      </c>
      <c r="L60">
        <v>28.42</v>
      </c>
      <c r="M60">
        <v>9.08</v>
      </c>
      <c r="N60">
        <v>88.92</v>
      </c>
    </row>
    <row r="61" spans="1:19" x14ac:dyDescent="0.35">
      <c r="A61">
        <v>20786</v>
      </c>
      <c r="B61">
        <v>5</v>
      </c>
      <c r="C61" t="s">
        <v>308</v>
      </c>
      <c r="D61" t="s">
        <v>277</v>
      </c>
      <c r="E61" t="s">
        <v>309</v>
      </c>
      <c r="F61" t="s">
        <v>205</v>
      </c>
      <c r="G61">
        <v>1394.28</v>
      </c>
      <c r="H61">
        <v>282.95</v>
      </c>
      <c r="I61">
        <v>1111.33</v>
      </c>
      <c r="J61">
        <v>73.67</v>
      </c>
      <c r="K61">
        <v>36.17</v>
      </c>
      <c r="L61">
        <v>28.42</v>
      </c>
      <c r="M61">
        <v>9.08</v>
      </c>
      <c r="N61">
        <v>88.92</v>
      </c>
    </row>
    <row r="62" spans="1:19" x14ac:dyDescent="0.35">
      <c r="A62">
        <v>20786</v>
      </c>
      <c r="B62">
        <v>5</v>
      </c>
      <c r="C62" t="s">
        <v>308</v>
      </c>
      <c r="D62" t="s">
        <v>277</v>
      </c>
      <c r="E62" t="s">
        <v>309</v>
      </c>
      <c r="F62" t="s">
        <v>205</v>
      </c>
      <c r="G62">
        <v>1394.28</v>
      </c>
      <c r="H62">
        <v>282.95</v>
      </c>
      <c r="I62">
        <v>1111.33</v>
      </c>
      <c r="J62">
        <v>73.67</v>
      </c>
      <c r="K62">
        <v>36.17</v>
      </c>
      <c r="L62">
        <v>28.42</v>
      </c>
      <c r="M62">
        <v>9.08</v>
      </c>
      <c r="N62">
        <v>88.92</v>
      </c>
      <c r="Q62" t="s">
        <v>310</v>
      </c>
      <c r="R62">
        <v>109601</v>
      </c>
      <c r="S62" t="s">
        <v>311</v>
      </c>
    </row>
    <row r="63" spans="1:19" x14ac:dyDescent="0.35">
      <c r="A63">
        <v>20786</v>
      </c>
      <c r="B63">
        <v>5</v>
      </c>
      <c r="C63" t="s">
        <v>308</v>
      </c>
      <c r="D63" t="s">
        <v>277</v>
      </c>
      <c r="E63" t="s">
        <v>309</v>
      </c>
      <c r="F63" t="s">
        <v>205</v>
      </c>
      <c r="G63">
        <v>1394.28</v>
      </c>
      <c r="H63">
        <v>282.95</v>
      </c>
      <c r="I63">
        <v>1111.33</v>
      </c>
      <c r="J63">
        <v>73.67</v>
      </c>
      <c r="K63">
        <v>36.17</v>
      </c>
      <c r="L63">
        <v>28.42</v>
      </c>
      <c r="M63">
        <v>9.08</v>
      </c>
      <c r="N63">
        <v>88.92</v>
      </c>
    </row>
    <row r="64" spans="1:19" x14ac:dyDescent="0.35">
      <c r="A64">
        <v>20786</v>
      </c>
      <c r="B64">
        <v>5</v>
      </c>
      <c r="C64" t="s">
        <v>308</v>
      </c>
      <c r="D64" t="s">
        <v>277</v>
      </c>
      <c r="E64" t="s">
        <v>309</v>
      </c>
      <c r="F64" t="s">
        <v>205</v>
      </c>
      <c r="G64">
        <v>1394.28</v>
      </c>
      <c r="H64">
        <v>282.95</v>
      </c>
      <c r="I64">
        <v>1111.33</v>
      </c>
      <c r="J64">
        <v>73.67</v>
      </c>
      <c r="K64">
        <v>36.17</v>
      </c>
      <c r="L64">
        <v>28.42</v>
      </c>
      <c r="M64">
        <v>9.08</v>
      </c>
      <c r="N64">
        <v>88.92</v>
      </c>
      <c r="Q64" t="s">
        <v>312</v>
      </c>
      <c r="R64">
        <v>114707</v>
      </c>
      <c r="S64" t="s">
        <v>313</v>
      </c>
    </row>
    <row r="65" spans="1:19" x14ac:dyDescent="0.35">
      <c r="A65">
        <v>20786</v>
      </c>
      <c r="B65">
        <v>5</v>
      </c>
      <c r="C65" t="s">
        <v>308</v>
      </c>
      <c r="D65" t="s">
        <v>277</v>
      </c>
      <c r="E65" t="s">
        <v>309</v>
      </c>
      <c r="F65" t="s">
        <v>205</v>
      </c>
      <c r="G65">
        <v>1394.28</v>
      </c>
      <c r="H65">
        <v>282.95</v>
      </c>
      <c r="I65">
        <v>1111.33</v>
      </c>
      <c r="J65">
        <v>73.67</v>
      </c>
      <c r="K65">
        <v>36.17</v>
      </c>
      <c r="L65">
        <v>28.42</v>
      </c>
      <c r="M65">
        <v>9.08</v>
      </c>
      <c r="N65">
        <v>88.92</v>
      </c>
      <c r="Q65" t="s">
        <v>314</v>
      </c>
      <c r="R65">
        <v>105519</v>
      </c>
      <c r="S65" t="s">
        <v>283</v>
      </c>
    </row>
    <row r="66" spans="1:19" x14ac:dyDescent="0.35">
      <c r="A66">
        <v>20786</v>
      </c>
      <c r="B66">
        <v>5</v>
      </c>
      <c r="C66" t="s">
        <v>308</v>
      </c>
      <c r="D66" t="s">
        <v>277</v>
      </c>
      <c r="E66" t="s">
        <v>309</v>
      </c>
      <c r="F66" t="s">
        <v>205</v>
      </c>
      <c r="G66">
        <v>1394.28</v>
      </c>
      <c r="H66">
        <v>282.95</v>
      </c>
      <c r="I66">
        <v>1111.33</v>
      </c>
      <c r="J66">
        <v>73.67</v>
      </c>
      <c r="K66">
        <v>36.17</v>
      </c>
      <c r="L66">
        <v>28.42</v>
      </c>
      <c r="M66">
        <v>9.08</v>
      </c>
      <c r="N66">
        <v>88.92</v>
      </c>
    </row>
    <row r="67" spans="1:19" x14ac:dyDescent="0.35">
      <c r="A67">
        <v>20786</v>
      </c>
      <c r="B67">
        <v>5</v>
      </c>
      <c r="C67" t="s">
        <v>308</v>
      </c>
      <c r="D67" t="s">
        <v>277</v>
      </c>
      <c r="E67" t="s">
        <v>309</v>
      </c>
      <c r="F67" t="s">
        <v>205</v>
      </c>
      <c r="G67">
        <v>1394.28</v>
      </c>
      <c r="H67">
        <v>282.95</v>
      </c>
      <c r="I67">
        <v>1111.33</v>
      </c>
      <c r="J67">
        <v>73.67</v>
      </c>
      <c r="K67">
        <v>36.17</v>
      </c>
      <c r="L67">
        <v>28.42</v>
      </c>
      <c r="M67">
        <v>9.08</v>
      </c>
      <c r="N67">
        <v>88.92</v>
      </c>
      <c r="Q67" t="s">
        <v>309</v>
      </c>
      <c r="R67">
        <v>109500</v>
      </c>
      <c r="S67" t="s">
        <v>315</v>
      </c>
    </row>
    <row r="68" spans="1:19" x14ac:dyDescent="0.35">
      <c r="A68">
        <v>20786</v>
      </c>
      <c r="B68">
        <v>5</v>
      </c>
      <c r="C68" t="s">
        <v>308</v>
      </c>
      <c r="D68" t="s">
        <v>277</v>
      </c>
      <c r="E68" t="s">
        <v>309</v>
      </c>
      <c r="F68" t="s">
        <v>205</v>
      </c>
      <c r="G68">
        <v>1394.28</v>
      </c>
      <c r="H68">
        <v>282.95</v>
      </c>
      <c r="I68">
        <v>1111.33</v>
      </c>
      <c r="J68">
        <v>73.67</v>
      </c>
      <c r="K68">
        <v>36.17</v>
      </c>
      <c r="L68">
        <v>28.42</v>
      </c>
      <c r="M68">
        <v>9.08</v>
      </c>
      <c r="N68">
        <v>88.92</v>
      </c>
      <c r="Q68" t="s">
        <v>316</v>
      </c>
      <c r="R68">
        <v>110761</v>
      </c>
      <c r="S68" t="s">
        <v>317</v>
      </c>
    </row>
    <row r="69" spans="1:19" x14ac:dyDescent="0.35">
      <c r="A69">
        <v>20786</v>
      </c>
      <c r="B69">
        <v>5</v>
      </c>
      <c r="C69" t="s">
        <v>308</v>
      </c>
      <c r="D69" t="s">
        <v>277</v>
      </c>
      <c r="E69" t="s">
        <v>309</v>
      </c>
      <c r="F69" t="s">
        <v>205</v>
      </c>
      <c r="G69">
        <v>1394.28</v>
      </c>
      <c r="H69">
        <v>282.95</v>
      </c>
      <c r="I69">
        <v>1111.33</v>
      </c>
      <c r="J69">
        <v>73.67</v>
      </c>
      <c r="K69">
        <v>36.17</v>
      </c>
      <c r="L69">
        <v>28.42</v>
      </c>
      <c r="M69">
        <v>9.08</v>
      </c>
      <c r="N69">
        <v>88.92</v>
      </c>
    </row>
    <row r="70" spans="1:19" x14ac:dyDescent="0.35">
      <c r="A70">
        <v>20786</v>
      </c>
      <c r="B70">
        <v>5</v>
      </c>
      <c r="C70" t="s">
        <v>308</v>
      </c>
      <c r="D70" t="s">
        <v>277</v>
      </c>
      <c r="E70" t="s">
        <v>309</v>
      </c>
      <c r="F70" t="s">
        <v>205</v>
      </c>
      <c r="G70">
        <v>1394.28</v>
      </c>
      <c r="H70">
        <v>282.95</v>
      </c>
      <c r="I70">
        <v>1111.33</v>
      </c>
      <c r="J70">
        <v>73.67</v>
      </c>
      <c r="K70">
        <v>36.17</v>
      </c>
      <c r="L70">
        <v>28.42</v>
      </c>
      <c r="M70">
        <v>9.08</v>
      </c>
      <c r="N70">
        <v>88.92</v>
      </c>
    </row>
    <row r="71" spans="1:19" x14ac:dyDescent="0.35">
      <c r="A71">
        <v>20786</v>
      </c>
      <c r="B71">
        <v>5</v>
      </c>
      <c r="C71" t="s">
        <v>308</v>
      </c>
      <c r="D71" t="s">
        <v>277</v>
      </c>
      <c r="E71" t="s">
        <v>309</v>
      </c>
      <c r="F71" t="s">
        <v>205</v>
      </c>
      <c r="G71">
        <v>1394.28</v>
      </c>
      <c r="H71">
        <v>282.95</v>
      </c>
      <c r="I71">
        <v>1111.33</v>
      </c>
      <c r="J71">
        <v>73.67</v>
      </c>
      <c r="K71">
        <v>36.17</v>
      </c>
      <c r="L71">
        <v>28.42</v>
      </c>
      <c r="M71">
        <v>9.08</v>
      </c>
      <c r="N71">
        <v>88.92</v>
      </c>
    </row>
    <row r="72" spans="1:19" x14ac:dyDescent="0.35">
      <c r="A72">
        <v>20786</v>
      </c>
      <c r="B72">
        <v>5</v>
      </c>
      <c r="C72" t="s">
        <v>308</v>
      </c>
      <c r="D72" t="s">
        <v>277</v>
      </c>
      <c r="E72" t="s">
        <v>309</v>
      </c>
      <c r="F72" t="s">
        <v>205</v>
      </c>
      <c r="G72">
        <v>1394.28</v>
      </c>
      <c r="H72">
        <v>282.95</v>
      </c>
      <c r="I72">
        <v>1111.33</v>
      </c>
      <c r="J72">
        <v>73.67</v>
      </c>
      <c r="K72">
        <v>36.17</v>
      </c>
      <c r="L72">
        <v>28.42</v>
      </c>
      <c r="M72">
        <v>9.08</v>
      </c>
      <c r="N72">
        <v>88.92</v>
      </c>
    </row>
    <row r="73" spans="1:19" x14ac:dyDescent="0.35">
      <c r="A73">
        <v>20786</v>
      </c>
      <c r="B73">
        <v>5</v>
      </c>
      <c r="C73" t="s">
        <v>308</v>
      </c>
      <c r="D73" t="s">
        <v>277</v>
      </c>
      <c r="E73" t="s">
        <v>309</v>
      </c>
      <c r="F73" t="s">
        <v>205</v>
      </c>
      <c r="G73">
        <v>1394.28</v>
      </c>
      <c r="H73">
        <v>282.95</v>
      </c>
      <c r="I73">
        <v>1111.33</v>
      </c>
      <c r="J73">
        <v>73.67</v>
      </c>
      <c r="K73">
        <v>36.17</v>
      </c>
      <c r="L73">
        <v>28.42</v>
      </c>
      <c r="M73">
        <v>9.08</v>
      </c>
      <c r="N73">
        <v>88.92</v>
      </c>
    </row>
    <row r="74" spans="1:19" x14ac:dyDescent="0.35">
      <c r="A74">
        <v>20786</v>
      </c>
      <c r="B74">
        <v>5</v>
      </c>
      <c r="C74" t="s">
        <v>308</v>
      </c>
      <c r="D74" t="s">
        <v>277</v>
      </c>
      <c r="E74" t="s">
        <v>309</v>
      </c>
      <c r="F74" t="s">
        <v>205</v>
      </c>
      <c r="G74">
        <v>1394.28</v>
      </c>
      <c r="H74">
        <v>282.95</v>
      </c>
      <c r="I74">
        <v>1111.33</v>
      </c>
      <c r="J74">
        <v>73.67</v>
      </c>
      <c r="K74">
        <v>36.17</v>
      </c>
      <c r="L74">
        <v>28.42</v>
      </c>
      <c r="M74">
        <v>9.08</v>
      </c>
      <c r="N74">
        <v>88.92</v>
      </c>
    </row>
    <row r="75" spans="1:19" x14ac:dyDescent="0.35">
      <c r="A75">
        <v>20786</v>
      </c>
      <c r="B75">
        <v>5</v>
      </c>
      <c r="C75" t="s">
        <v>308</v>
      </c>
      <c r="D75" t="s">
        <v>277</v>
      </c>
      <c r="E75" t="s">
        <v>309</v>
      </c>
      <c r="F75" t="s">
        <v>205</v>
      </c>
      <c r="G75">
        <v>1394.28</v>
      </c>
      <c r="H75">
        <v>282.95</v>
      </c>
      <c r="I75">
        <v>1111.33</v>
      </c>
      <c r="J75">
        <v>73.67</v>
      </c>
      <c r="K75">
        <v>36.17</v>
      </c>
      <c r="L75">
        <v>28.42</v>
      </c>
      <c r="M75">
        <v>9.08</v>
      </c>
      <c r="N75">
        <v>88.92</v>
      </c>
      <c r="Q75" t="s">
        <v>318</v>
      </c>
      <c r="R75">
        <v>105935</v>
      </c>
      <c r="S75" t="s">
        <v>289</v>
      </c>
    </row>
    <row r="76" spans="1:19" x14ac:dyDescent="0.35">
      <c r="A76">
        <v>20786</v>
      </c>
      <c r="B76">
        <v>5</v>
      </c>
      <c r="C76" t="s">
        <v>308</v>
      </c>
      <c r="D76" t="s">
        <v>277</v>
      </c>
      <c r="E76" t="s">
        <v>309</v>
      </c>
      <c r="F76" t="s">
        <v>205</v>
      </c>
      <c r="G76">
        <v>1394.28</v>
      </c>
      <c r="H76">
        <v>282.95</v>
      </c>
      <c r="I76">
        <v>1111.33</v>
      </c>
      <c r="J76">
        <v>73.67</v>
      </c>
      <c r="K76">
        <v>36.17</v>
      </c>
      <c r="L76">
        <v>28.42</v>
      </c>
      <c r="M76">
        <v>9.08</v>
      </c>
      <c r="N76">
        <v>88.92</v>
      </c>
    </row>
    <row r="77" spans="1:19" x14ac:dyDescent="0.35">
      <c r="A77">
        <v>20786</v>
      </c>
      <c r="B77">
        <v>5</v>
      </c>
      <c r="C77" t="s">
        <v>308</v>
      </c>
      <c r="D77" t="s">
        <v>277</v>
      </c>
      <c r="E77" t="s">
        <v>309</v>
      </c>
      <c r="F77" t="s">
        <v>205</v>
      </c>
      <c r="G77">
        <v>1394.28</v>
      </c>
      <c r="H77">
        <v>282.95</v>
      </c>
      <c r="I77">
        <v>1111.33</v>
      </c>
      <c r="J77">
        <v>73.67</v>
      </c>
      <c r="K77">
        <v>36.17</v>
      </c>
      <c r="L77">
        <v>28.42</v>
      </c>
      <c r="M77">
        <v>9.08</v>
      </c>
      <c r="N77">
        <v>88.92</v>
      </c>
    </row>
    <row r="78" spans="1:19" x14ac:dyDescent="0.35">
      <c r="A78">
        <v>20786</v>
      </c>
      <c r="B78">
        <v>5</v>
      </c>
      <c r="C78" t="s">
        <v>308</v>
      </c>
      <c r="D78" t="s">
        <v>277</v>
      </c>
      <c r="E78" t="s">
        <v>309</v>
      </c>
      <c r="F78" t="s">
        <v>205</v>
      </c>
      <c r="G78">
        <v>1394.28</v>
      </c>
      <c r="H78">
        <v>282.95</v>
      </c>
      <c r="I78">
        <v>1111.33</v>
      </c>
      <c r="J78">
        <v>73.67</v>
      </c>
      <c r="K78">
        <v>36.17</v>
      </c>
      <c r="L78">
        <v>28.42</v>
      </c>
      <c r="M78">
        <v>9.08</v>
      </c>
      <c r="N78">
        <v>88.92</v>
      </c>
      <c r="Q78" t="s">
        <v>319</v>
      </c>
      <c r="R78">
        <v>104499</v>
      </c>
      <c r="S78" t="s">
        <v>285</v>
      </c>
    </row>
    <row r="79" spans="1:19" x14ac:dyDescent="0.35">
      <c r="A79">
        <v>20786</v>
      </c>
      <c r="B79">
        <v>5</v>
      </c>
      <c r="C79" t="s">
        <v>308</v>
      </c>
      <c r="D79" t="s">
        <v>277</v>
      </c>
      <c r="E79" t="s">
        <v>309</v>
      </c>
      <c r="F79" t="s">
        <v>205</v>
      </c>
      <c r="G79">
        <v>1394.28</v>
      </c>
      <c r="H79">
        <v>282.95</v>
      </c>
      <c r="I79">
        <v>1111.33</v>
      </c>
      <c r="J79">
        <v>73.67</v>
      </c>
      <c r="K79">
        <v>36.17</v>
      </c>
      <c r="L79">
        <v>28.42</v>
      </c>
      <c r="M79">
        <v>9.08</v>
      </c>
      <c r="N79">
        <v>88.92</v>
      </c>
      <c r="Q79" t="s">
        <v>320</v>
      </c>
      <c r="R79">
        <v>114707</v>
      </c>
      <c r="S79" t="s">
        <v>313</v>
      </c>
    </row>
    <row r="80" spans="1:19" x14ac:dyDescent="0.35">
      <c r="A80">
        <v>20786</v>
      </c>
      <c r="B80">
        <v>5</v>
      </c>
      <c r="C80" t="s">
        <v>308</v>
      </c>
      <c r="D80" t="s">
        <v>277</v>
      </c>
      <c r="E80" t="s">
        <v>309</v>
      </c>
      <c r="F80" t="s">
        <v>205</v>
      </c>
      <c r="G80">
        <v>1394.28</v>
      </c>
      <c r="H80">
        <v>282.95</v>
      </c>
      <c r="I80">
        <v>1111.33</v>
      </c>
      <c r="J80">
        <v>73.67</v>
      </c>
      <c r="K80">
        <v>36.17</v>
      </c>
      <c r="L80">
        <v>28.42</v>
      </c>
      <c r="M80">
        <v>9.08</v>
      </c>
      <c r="N80">
        <v>88.92</v>
      </c>
      <c r="Q80" t="s">
        <v>321</v>
      </c>
      <c r="R80">
        <v>109603</v>
      </c>
      <c r="S80" t="s">
        <v>322</v>
      </c>
    </row>
    <row r="81" spans="1:19" x14ac:dyDescent="0.35">
      <c r="A81">
        <v>20786</v>
      </c>
      <c r="B81">
        <v>5</v>
      </c>
      <c r="C81" t="s">
        <v>308</v>
      </c>
      <c r="D81" t="s">
        <v>277</v>
      </c>
      <c r="E81" t="s">
        <v>309</v>
      </c>
      <c r="F81" t="s">
        <v>205</v>
      </c>
      <c r="G81">
        <v>1394.28</v>
      </c>
      <c r="H81">
        <v>282.95</v>
      </c>
      <c r="I81">
        <v>1111.33</v>
      </c>
      <c r="J81">
        <v>73.67</v>
      </c>
      <c r="K81">
        <v>36.17</v>
      </c>
      <c r="L81">
        <v>28.42</v>
      </c>
      <c r="M81">
        <v>9.08</v>
      </c>
      <c r="N81">
        <v>88.92</v>
      </c>
      <c r="Q81" t="s">
        <v>323</v>
      </c>
      <c r="R81">
        <v>108623</v>
      </c>
      <c r="S81" t="s">
        <v>299</v>
      </c>
    </row>
    <row r="82" spans="1:19" x14ac:dyDescent="0.35">
      <c r="A82">
        <v>20786</v>
      </c>
      <c r="B82">
        <v>5</v>
      </c>
      <c r="C82" t="s">
        <v>308</v>
      </c>
      <c r="D82" t="s">
        <v>277</v>
      </c>
      <c r="E82" t="s">
        <v>309</v>
      </c>
      <c r="F82" t="s">
        <v>205</v>
      </c>
      <c r="G82">
        <v>1394.28</v>
      </c>
      <c r="H82">
        <v>282.95</v>
      </c>
      <c r="I82">
        <v>1111.33</v>
      </c>
      <c r="J82">
        <v>73.67</v>
      </c>
      <c r="K82">
        <v>36.17</v>
      </c>
      <c r="L82">
        <v>28.42</v>
      </c>
      <c r="M82">
        <v>9.08</v>
      </c>
      <c r="N82">
        <v>88.92</v>
      </c>
    </row>
    <row r="83" spans="1:19" x14ac:dyDescent="0.35">
      <c r="A83">
        <v>20786</v>
      </c>
      <c r="B83">
        <v>5</v>
      </c>
      <c r="C83" t="s">
        <v>308</v>
      </c>
      <c r="D83" t="s">
        <v>277</v>
      </c>
      <c r="E83" t="s">
        <v>309</v>
      </c>
      <c r="F83" t="s">
        <v>205</v>
      </c>
      <c r="G83">
        <v>1394.28</v>
      </c>
      <c r="H83">
        <v>282.95</v>
      </c>
      <c r="I83">
        <v>1111.33</v>
      </c>
      <c r="J83">
        <v>73.67</v>
      </c>
      <c r="K83">
        <v>36.17</v>
      </c>
      <c r="L83">
        <v>28.42</v>
      </c>
      <c r="M83">
        <v>9.08</v>
      </c>
      <c r="N83">
        <v>88.92</v>
      </c>
      <c r="Q83" t="s">
        <v>324</v>
      </c>
      <c r="R83">
        <v>109764</v>
      </c>
      <c r="S83" t="s">
        <v>325</v>
      </c>
    </row>
    <row r="84" spans="1:19" x14ac:dyDescent="0.35">
      <c r="A84">
        <v>20786</v>
      </c>
      <c r="B84">
        <v>5</v>
      </c>
      <c r="C84" t="s">
        <v>308</v>
      </c>
      <c r="D84" t="s">
        <v>277</v>
      </c>
      <c r="E84" t="s">
        <v>309</v>
      </c>
      <c r="F84" t="s">
        <v>205</v>
      </c>
      <c r="G84">
        <v>1394.28</v>
      </c>
      <c r="H84">
        <v>282.95</v>
      </c>
      <c r="I84">
        <v>1111.33</v>
      </c>
      <c r="J84">
        <v>73.67</v>
      </c>
      <c r="K84">
        <v>36.17</v>
      </c>
      <c r="L84">
        <v>28.42</v>
      </c>
      <c r="M84">
        <v>9.08</v>
      </c>
      <c r="N84">
        <v>88.92</v>
      </c>
    </row>
    <row r="85" spans="1:19" x14ac:dyDescent="0.35">
      <c r="A85">
        <v>20786</v>
      </c>
      <c r="B85">
        <v>5</v>
      </c>
      <c r="C85" t="s">
        <v>308</v>
      </c>
      <c r="D85" t="s">
        <v>277</v>
      </c>
      <c r="E85" t="s">
        <v>309</v>
      </c>
      <c r="F85" t="s">
        <v>205</v>
      </c>
      <c r="G85">
        <v>1394.28</v>
      </c>
      <c r="H85">
        <v>282.95</v>
      </c>
      <c r="I85">
        <v>1111.33</v>
      </c>
      <c r="J85">
        <v>73.67</v>
      </c>
      <c r="K85">
        <v>36.17</v>
      </c>
      <c r="L85">
        <v>28.42</v>
      </c>
      <c r="M85">
        <v>9.08</v>
      </c>
      <c r="N85">
        <v>88.92</v>
      </c>
      <c r="Q85">
        <v>59359</v>
      </c>
      <c r="R85">
        <v>114719</v>
      </c>
      <c r="S85" t="s">
        <v>326</v>
      </c>
    </row>
    <row r="86" spans="1:19" x14ac:dyDescent="0.35">
      <c r="A86">
        <v>20786</v>
      </c>
      <c r="B86">
        <v>4</v>
      </c>
      <c r="C86" t="s">
        <v>327</v>
      </c>
      <c r="D86" t="s">
        <v>277</v>
      </c>
      <c r="E86" t="s">
        <v>328</v>
      </c>
      <c r="F86" t="s">
        <v>205</v>
      </c>
      <c r="G86">
        <v>432.94</v>
      </c>
      <c r="H86">
        <v>50.3</v>
      </c>
      <c r="I86">
        <v>382.64</v>
      </c>
      <c r="J86">
        <v>38.67</v>
      </c>
      <c r="K86">
        <v>10.92</v>
      </c>
      <c r="L86">
        <v>25.5</v>
      </c>
      <c r="M86">
        <v>2.25</v>
      </c>
      <c r="N86">
        <v>48.67</v>
      </c>
      <c r="Q86" t="s">
        <v>329</v>
      </c>
      <c r="R86">
        <v>109603</v>
      </c>
      <c r="S86" t="s">
        <v>322</v>
      </c>
    </row>
    <row r="87" spans="1:19" x14ac:dyDescent="0.35">
      <c r="A87">
        <v>20786</v>
      </c>
      <c r="B87">
        <v>4</v>
      </c>
      <c r="C87" t="s">
        <v>327</v>
      </c>
      <c r="D87" t="s">
        <v>277</v>
      </c>
      <c r="E87" t="s">
        <v>328</v>
      </c>
      <c r="F87" t="s">
        <v>205</v>
      </c>
      <c r="G87">
        <v>432.94</v>
      </c>
      <c r="H87">
        <v>50.3</v>
      </c>
      <c r="I87">
        <v>382.64</v>
      </c>
      <c r="J87">
        <v>38.67</v>
      </c>
      <c r="K87">
        <v>10.92</v>
      </c>
      <c r="L87">
        <v>25.5</v>
      </c>
      <c r="M87">
        <v>2.25</v>
      </c>
      <c r="N87">
        <v>48.67</v>
      </c>
    </row>
    <row r="88" spans="1:19" x14ac:dyDescent="0.35">
      <c r="A88">
        <v>20786</v>
      </c>
      <c r="B88">
        <v>4</v>
      </c>
      <c r="C88" t="s">
        <v>327</v>
      </c>
      <c r="D88" t="s">
        <v>277</v>
      </c>
      <c r="E88" t="s">
        <v>328</v>
      </c>
      <c r="F88" t="s">
        <v>205</v>
      </c>
      <c r="G88">
        <v>432.94</v>
      </c>
      <c r="H88">
        <v>50.3</v>
      </c>
      <c r="I88">
        <v>382.64</v>
      </c>
      <c r="J88">
        <v>38.67</v>
      </c>
      <c r="K88">
        <v>10.92</v>
      </c>
      <c r="L88">
        <v>25.5</v>
      </c>
      <c r="M88">
        <v>2.25</v>
      </c>
      <c r="N88">
        <v>48.67</v>
      </c>
      <c r="Q88" t="s">
        <v>330</v>
      </c>
      <c r="R88">
        <v>109764</v>
      </c>
      <c r="S88" t="s">
        <v>325</v>
      </c>
    </row>
    <row r="89" spans="1:19" x14ac:dyDescent="0.35">
      <c r="A89">
        <v>20786</v>
      </c>
      <c r="B89">
        <v>4</v>
      </c>
      <c r="C89" t="s">
        <v>327</v>
      </c>
      <c r="D89" t="s">
        <v>277</v>
      </c>
      <c r="E89" t="s">
        <v>328</v>
      </c>
      <c r="F89" t="s">
        <v>205</v>
      </c>
      <c r="G89">
        <v>432.94</v>
      </c>
      <c r="H89">
        <v>50.3</v>
      </c>
      <c r="I89">
        <v>382.64</v>
      </c>
      <c r="J89">
        <v>38.67</v>
      </c>
      <c r="K89">
        <v>10.92</v>
      </c>
      <c r="L89">
        <v>25.5</v>
      </c>
      <c r="M89">
        <v>2.25</v>
      </c>
      <c r="N89">
        <v>48.67</v>
      </c>
      <c r="Q89" t="s">
        <v>331</v>
      </c>
      <c r="R89">
        <v>104499</v>
      </c>
      <c r="S89" t="s">
        <v>285</v>
      </c>
    </row>
    <row r="90" spans="1:19" x14ac:dyDescent="0.35">
      <c r="A90">
        <v>20786</v>
      </c>
      <c r="B90">
        <v>4</v>
      </c>
      <c r="C90" t="s">
        <v>327</v>
      </c>
      <c r="D90" t="s">
        <v>277</v>
      </c>
      <c r="E90" t="s">
        <v>328</v>
      </c>
      <c r="F90" t="s">
        <v>205</v>
      </c>
      <c r="G90">
        <v>432.94</v>
      </c>
      <c r="H90">
        <v>50.3</v>
      </c>
      <c r="I90">
        <v>382.64</v>
      </c>
      <c r="J90">
        <v>38.67</v>
      </c>
      <c r="K90">
        <v>10.92</v>
      </c>
      <c r="L90">
        <v>25.5</v>
      </c>
      <c r="M90">
        <v>2.25</v>
      </c>
      <c r="N90">
        <v>48.67</v>
      </c>
    </row>
    <row r="91" spans="1:19" x14ac:dyDescent="0.35">
      <c r="A91">
        <v>20786</v>
      </c>
      <c r="B91">
        <v>4</v>
      </c>
      <c r="C91" t="s">
        <v>327</v>
      </c>
      <c r="D91" t="s">
        <v>277</v>
      </c>
      <c r="E91" t="s">
        <v>328</v>
      </c>
      <c r="F91" t="s">
        <v>205</v>
      </c>
      <c r="G91">
        <v>432.94</v>
      </c>
      <c r="H91">
        <v>50.3</v>
      </c>
      <c r="I91">
        <v>382.64</v>
      </c>
      <c r="J91">
        <v>38.67</v>
      </c>
      <c r="K91">
        <v>10.92</v>
      </c>
      <c r="L91">
        <v>25.5</v>
      </c>
      <c r="M91">
        <v>2.25</v>
      </c>
      <c r="N91">
        <v>48.67</v>
      </c>
    </row>
    <row r="92" spans="1:19" x14ac:dyDescent="0.35">
      <c r="A92">
        <v>20786</v>
      </c>
      <c r="B92">
        <v>4</v>
      </c>
      <c r="C92" t="s">
        <v>327</v>
      </c>
      <c r="D92" t="s">
        <v>277</v>
      </c>
      <c r="E92" t="s">
        <v>328</v>
      </c>
      <c r="F92" t="s">
        <v>205</v>
      </c>
      <c r="G92">
        <v>432.94</v>
      </c>
      <c r="H92">
        <v>50.3</v>
      </c>
      <c r="I92">
        <v>382.64</v>
      </c>
      <c r="J92">
        <v>38.67</v>
      </c>
      <c r="K92">
        <v>10.92</v>
      </c>
      <c r="L92">
        <v>25.5</v>
      </c>
      <c r="M92">
        <v>2.25</v>
      </c>
      <c r="N92">
        <v>48.67</v>
      </c>
      <c r="Q92" t="s">
        <v>328</v>
      </c>
      <c r="R92">
        <v>109500</v>
      </c>
      <c r="S92" t="s">
        <v>315</v>
      </c>
    </row>
    <row r="93" spans="1:19" x14ac:dyDescent="0.35">
      <c r="A93">
        <v>20786</v>
      </c>
      <c r="B93">
        <v>4</v>
      </c>
      <c r="C93" t="s">
        <v>327</v>
      </c>
      <c r="D93" t="s">
        <v>277</v>
      </c>
      <c r="E93" t="s">
        <v>328</v>
      </c>
      <c r="F93" t="s">
        <v>205</v>
      </c>
      <c r="G93">
        <v>432.94</v>
      </c>
      <c r="H93">
        <v>50.3</v>
      </c>
      <c r="I93">
        <v>382.64</v>
      </c>
      <c r="J93">
        <v>38.67</v>
      </c>
      <c r="K93">
        <v>10.92</v>
      </c>
      <c r="L93">
        <v>25.5</v>
      </c>
      <c r="M93">
        <v>2.25</v>
      </c>
      <c r="N93">
        <v>48.67</v>
      </c>
      <c r="Q93" t="s">
        <v>312</v>
      </c>
      <c r="R93">
        <v>114707</v>
      </c>
      <c r="S93" t="s">
        <v>313</v>
      </c>
    </row>
    <row r="94" spans="1:19" x14ac:dyDescent="0.35">
      <c r="A94">
        <v>20786</v>
      </c>
      <c r="B94">
        <v>4</v>
      </c>
      <c r="C94" t="s">
        <v>327</v>
      </c>
      <c r="D94" t="s">
        <v>277</v>
      </c>
      <c r="E94" t="s">
        <v>328</v>
      </c>
      <c r="F94" t="s">
        <v>205</v>
      </c>
      <c r="G94">
        <v>432.94</v>
      </c>
      <c r="H94">
        <v>50.3</v>
      </c>
      <c r="I94">
        <v>382.64</v>
      </c>
      <c r="J94">
        <v>38.67</v>
      </c>
      <c r="K94">
        <v>10.92</v>
      </c>
      <c r="L94">
        <v>25.5</v>
      </c>
      <c r="M94">
        <v>2.25</v>
      </c>
      <c r="N94">
        <v>48.67</v>
      </c>
    </row>
    <row r="95" spans="1:19" x14ac:dyDescent="0.35">
      <c r="A95">
        <v>20786</v>
      </c>
      <c r="B95">
        <v>4</v>
      </c>
      <c r="C95" t="s">
        <v>327</v>
      </c>
      <c r="D95" t="s">
        <v>277</v>
      </c>
      <c r="E95" t="s">
        <v>328</v>
      </c>
      <c r="F95" t="s">
        <v>205</v>
      </c>
      <c r="G95">
        <v>432.94</v>
      </c>
      <c r="H95">
        <v>50.3</v>
      </c>
      <c r="I95">
        <v>382.64</v>
      </c>
      <c r="J95">
        <v>38.67</v>
      </c>
      <c r="K95">
        <v>10.92</v>
      </c>
      <c r="L95">
        <v>25.5</v>
      </c>
      <c r="M95">
        <v>2.25</v>
      </c>
      <c r="N95">
        <v>48.67</v>
      </c>
      <c r="Q95" t="s">
        <v>332</v>
      </c>
      <c r="R95">
        <v>109601</v>
      </c>
      <c r="S95" t="s">
        <v>311</v>
      </c>
    </row>
    <row r="96" spans="1:19" x14ac:dyDescent="0.35">
      <c r="A96">
        <v>20786</v>
      </c>
      <c r="B96">
        <v>4</v>
      </c>
      <c r="C96" t="s">
        <v>327</v>
      </c>
      <c r="D96" t="s">
        <v>277</v>
      </c>
      <c r="E96" t="s">
        <v>328</v>
      </c>
      <c r="F96" t="s">
        <v>205</v>
      </c>
      <c r="G96">
        <v>432.94</v>
      </c>
      <c r="H96">
        <v>50.3</v>
      </c>
      <c r="I96">
        <v>382.64</v>
      </c>
      <c r="J96">
        <v>38.67</v>
      </c>
      <c r="K96">
        <v>10.92</v>
      </c>
      <c r="L96">
        <v>25.5</v>
      </c>
      <c r="M96">
        <v>2.25</v>
      </c>
      <c r="N96">
        <v>48.67</v>
      </c>
      <c r="Q96" t="s">
        <v>333</v>
      </c>
      <c r="R96">
        <v>104499</v>
      </c>
      <c r="S96" t="s">
        <v>285</v>
      </c>
    </row>
    <row r="97" spans="1:19" x14ac:dyDescent="0.35">
      <c r="A97">
        <v>20786</v>
      </c>
      <c r="B97">
        <v>4</v>
      </c>
      <c r="C97" t="s">
        <v>327</v>
      </c>
      <c r="D97" t="s">
        <v>277</v>
      </c>
      <c r="E97" t="s">
        <v>328</v>
      </c>
      <c r="F97" t="s">
        <v>205</v>
      </c>
      <c r="G97">
        <v>432.94</v>
      </c>
      <c r="H97">
        <v>50.3</v>
      </c>
      <c r="I97">
        <v>382.64</v>
      </c>
      <c r="J97">
        <v>38.67</v>
      </c>
      <c r="K97">
        <v>10.92</v>
      </c>
      <c r="L97">
        <v>25.5</v>
      </c>
      <c r="M97">
        <v>2.25</v>
      </c>
      <c r="N97">
        <v>48.67</v>
      </c>
    </row>
    <row r="98" spans="1:19" x14ac:dyDescent="0.35">
      <c r="A98">
        <v>20786</v>
      </c>
      <c r="B98">
        <v>4</v>
      </c>
      <c r="C98" t="s">
        <v>327</v>
      </c>
      <c r="D98" t="s">
        <v>277</v>
      </c>
      <c r="E98" t="s">
        <v>328</v>
      </c>
      <c r="F98" t="s">
        <v>205</v>
      </c>
      <c r="G98">
        <v>432.94</v>
      </c>
      <c r="H98">
        <v>50.3</v>
      </c>
      <c r="I98">
        <v>382.64</v>
      </c>
      <c r="J98">
        <v>38.67</v>
      </c>
      <c r="K98">
        <v>10.92</v>
      </c>
      <c r="L98">
        <v>25.5</v>
      </c>
      <c r="M98">
        <v>2.25</v>
      </c>
      <c r="N98">
        <v>48.67</v>
      </c>
    </row>
    <row r="99" spans="1:19" x14ac:dyDescent="0.35">
      <c r="A99">
        <v>20786</v>
      </c>
      <c r="B99">
        <v>4</v>
      </c>
      <c r="C99" t="s">
        <v>327</v>
      </c>
      <c r="D99" t="s">
        <v>277</v>
      </c>
      <c r="E99" t="s">
        <v>328</v>
      </c>
      <c r="F99" t="s">
        <v>205</v>
      </c>
      <c r="G99">
        <v>432.94</v>
      </c>
      <c r="H99">
        <v>50.3</v>
      </c>
      <c r="I99">
        <v>382.64</v>
      </c>
      <c r="J99">
        <v>38.67</v>
      </c>
      <c r="K99">
        <v>10.92</v>
      </c>
      <c r="L99">
        <v>25.5</v>
      </c>
      <c r="M99">
        <v>2.25</v>
      </c>
      <c r="N99">
        <v>48.67</v>
      </c>
      <c r="Q99" t="s">
        <v>307</v>
      </c>
      <c r="R99">
        <v>108623</v>
      </c>
      <c r="S99" t="s">
        <v>299</v>
      </c>
    </row>
    <row r="100" spans="1:19" x14ac:dyDescent="0.35">
      <c r="A100">
        <v>20786</v>
      </c>
      <c r="B100">
        <v>4</v>
      </c>
      <c r="C100" t="s">
        <v>327</v>
      </c>
      <c r="D100" t="s">
        <v>277</v>
      </c>
      <c r="E100" t="s">
        <v>328</v>
      </c>
      <c r="F100" t="s">
        <v>205</v>
      </c>
      <c r="G100">
        <v>432.94</v>
      </c>
      <c r="H100">
        <v>50.3</v>
      </c>
      <c r="I100">
        <v>382.64</v>
      </c>
      <c r="J100">
        <v>38.67</v>
      </c>
      <c r="K100">
        <v>10.92</v>
      </c>
      <c r="L100">
        <v>25.5</v>
      </c>
      <c r="M100">
        <v>2.25</v>
      </c>
      <c r="N100">
        <v>48.67</v>
      </c>
      <c r="Q100" t="s">
        <v>320</v>
      </c>
      <c r="R100">
        <v>114707</v>
      </c>
      <c r="S100" t="s">
        <v>313</v>
      </c>
    </row>
    <row r="101" spans="1:19" x14ac:dyDescent="0.35">
      <c r="A101">
        <v>20786</v>
      </c>
      <c r="B101">
        <v>4</v>
      </c>
      <c r="C101" t="s">
        <v>327</v>
      </c>
      <c r="D101" t="s">
        <v>277</v>
      </c>
      <c r="E101" t="s">
        <v>328</v>
      </c>
      <c r="F101" t="s">
        <v>205</v>
      </c>
      <c r="G101">
        <v>432.94</v>
      </c>
      <c r="H101">
        <v>50.3</v>
      </c>
      <c r="I101">
        <v>382.64</v>
      </c>
      <c r="J101">
        <v>38.67</v>
      </c>
      <c r="K101">
        <v>10.92</v>
      </c>
      <c r="L101">
        <v>25.5</v>
      </c>
      <c r="M101">
        <v>2.25</v>
      </c>
      <c r="N101">
        <v>48.67</v>
      </c>
      <c r="Q101" t="s">
        <v>334</v>
      </c>
      <c r="R101">
        <v>110761</v>
      </c>
      <c r="S101" t="s">
        <v>317</v>
      </c>
    </row>
    <row r="102" spans="1:19" x14ac:dyDescent="0.35">
      <c r="A102">
        <v>20786</v>
      </c>
      <c r="B102">
        <v>4</v>
      </c>
      <c r="C102" t="s">
        <v>327</v>
      </c>
      <c r="D102" t="s">
        <v>277</v>
      </c>
      <c r="E102" t="s">
        <v>328</v>
      </c>
      <c r="F102" t="s">
        <v>205</v>
      </c>
      <c r="G102">
        <v>432.94</v>
      </c>
      <c r="H102">
        <v>50.3</v>
      </c>
      <c r="I102">
        <v>382.64</v>
      </c>
      <c r="J102">
        <v>38.67</v>
      </c>
      <c r="K102">
        <v>10.92</v>
      </c>
      <c r="L102">
        <v>25.5</v>
      </c>
      <c r="M102">
        <v>2.25</v>
      </c>
      <c r="N102">
        <v>48.67</v>
      </c>
      <c r="Q102" t="s">
        <v>301</v>
      </c>
      <c r="R102">
        <v>105935</v>
      </c>
      <c r="S102" t="s">
        <v>289</v>
      </c>
    </row>
    <row r="103" spans="1:19" x14ac:dyDescent="0.35">
      <c r="A103">
        <v>20786</v>
      </c>
      <c r="B103">
        <v>4</v>
      </c>
      <c r="C103" t="s">
        <v>327</v>
      </c>
      <c r="D103" t="s">
        <v>277</v>
      </c>
      <c r="E103" t="s">
        <v>328</v>
      </c>
      <c r="F103" t="s">
        <v>205</v>
      </c>
      <c r="G103">
        <v>432.94</v>
      </c>
      <c r="H103">
        <v>50.3</v>
      </c>
      <c r="I103">
        <v>382.64</v>
      </c>
      <c r="J103">
        <v>38.67</v>
      </c>
      <c r="K103">
        <v>10.92</v>
      </c>
      <c r="L103">
        <v>25.5</v>
      </c>
      <c r="M103">
        <v>2.25</v>
      </c>
      <c r="N103">
        <v>48.67</v>
      </c>
      <c r="Q103" t="s">
        <v>302</v>
      </c>
      <c r="R103">
        <v>105519</v>
      </c>
      <c r="S103" t="s">
        <v>283</v>
      </c>
    </row>
    <row r="104" spans="1:19" x14ac:dyDescent="0.35">
      <c r="A104">
        <v>20786</v>
      </c>
      <c r="B104">
        <v>4</v>
      </c>
      <c r="C104" t="s">
        <v>327</v>
      </c>
      <c r="D104" t="s">
        <v>277</v>
      </c>
      <c r="E104" t="s">
        <v>328</v>
      </c>
      <c r="F104" t="s">
        <v>205</v>
      </c>
      <c r="G104">
        <v>432.94</v>
      </c>
      <c r="H104">
        <v>50.3</v>
      </c>
      <c r="I104">
        <v>382.64</v>
      </c>
      <c r="J104">
        <v>38.67</v>
      </c>
      <c r="K104">
        <v>10.92</v>
      </c>
      <c r="L104">
        <v>25.5</v>
      </c>
      <c r="M104">
        <v>2.25</v>
      </c>
      <c r="N104">
        <v>48.67</v>
      </c>
      <c r="Q104">
        <v>59357</v>
      </c>
      <c r="R104">
        <v>114719</v>
      </c>
      <c r="S104" t="s">
        <v>326</v>
      </c>
    </row>
    <row r="105" spans="1:19" x14ac:dyDescent="0.35">
      <c r="A105">
        <v>20786</v>
      </c>
      <c r="B105">
        <v>3</v>
      </c>
      <c r="C105" t="s">
        <v>327</v>
      </c>
      <c r="D105" t="s">
        <v>277</v>
      </c>
      <c r="E105" t="s">
        <v>328</v>
      </c>
      <c r="F105" t="s">
        <v>205</v>
      </c>
      <c r="G105">
        <v>403.75</v>
      </c>
      <c r="H105">
        <v>10.5</v>
      </c>
      <c r="I105">
        <v>393.25</v>
      </c>
      <c r="J105">
        <v>27.75</v>
      </c>
      <c r="K105">
        <v>1.83</v>
      </c>
      <c r="L105">
        <v>23.33</v>
      </c>
      <c r="M105">
        <v>2.58</v>
      </c>
      <c r="N105">
        <v>39.08</v>
      </c>
    </row>
    <row r="106" spans="1:19" x14ac:dyDescent="0.35">
      <c r="A106">
        <v>20786</v>
      </c>
      <c r="B106">
        <v>3</v>
      </c>
      <c r="C106" t="s">
        <v>327</v>
      </c>
      <c r="D106" t="s">
        <v>277</v>
      </c>
      <c r="E106" t="s">
        <v>328</v>
      </c>
      <c r="F106" t="s">
        <v>205</v>
      </c>
      <c r="G106">
        <v>403.75</v>
      </c>
      <c r="H106">
        <v>10.5</v>
      </c>
      <c r="I106">
        <v>393.25</v>
      </c>
      <c r="J106">
        <v>27.75</v>
      </c>
      <c r="K106">
        <v>1.83</v>
      </c>
      <c r="L106">
        <v>23.33</v>
      </c>
      <c r="M106">
        <v>2.58</v>
      </c>
      <c r="N106">
        <v>39.08</v>
      </c>
    </row>
    <row r="107" spans="1:19" x14ac:dyDescent="0.35">
      <c r="A107">
        <v>20786</v>
      </c>
      <c r="B107">
        <v>3</v>
      </c>
      <c r="C107" t="s">
        <v>327</v>
      </c>
      <c r="D107" t="s">
        <v>277</v>
      </c>
      <c r="E107" t="s">
        <v>328</v>
      </c>
      <c r="F107" t="s">
        <v>205</v>
      </c>
      <c r="G107">
        <v>403.75</v>
      </c>
      <c r="H107">
        <v>10.5</v>
      </c>
      <c r="I107">
        <v>393.25</v>
      </c>
      <c r="J107">
        <v>27.75</v>
      </c>
      <c r="K107">
        <v>1.83</v>
      </c>
      <c r="L107">
        <v>23.33</v>
      </c>
      <c r="M107">
        <v>2.58</v>
      </c>
      <c r="N107">
        <v>39.08</v>
      </c>
    </row>
    <row r="108" spans="1:19" x14ac:dyDescent="0.35">
      <c r="A108">
        <v>20786</v>
      </c>
      <c r="B108">
        <v>3</v>
      </c>
      <c r="C108" t="s">
        <v>327</v>
      </c>
      <c r="D108" t="s">
        <v>277</v>
      </c>
      <c r="E108" t="s">
        <v>328</v>
      </c>
      <c r="F108" t="s">
        <v>205</v>
      </c>
      <c r="G108">
        <v>403.75</v>
      </c>
      <c r="H108">
        <v>10.5</v>
      </c>
      <c r="I108">
        <v>393.25</v>
      </c>
      <c r="J108">
        <v>27.75</v>
      </c>
      <c r="K108">
        <v>1.83</v>
      </c>
      <c r="L108">
        <v>23.33</v>
      </c>
      <c r="M108">
        <v>2.58</v>
      </c>
      <c r="N108">
        <v>39.08</v>
      </c>
      <c r="Q108">
        <v>59357</v>
      </c>
      <c r="R108">
        <v>114719</v>
      </c>
      <c r="S108" t="s">
        <v>326</v>
      </c>
    </row>
    <row r="109" spans="1:19" x14ac:dyDescent="0.35">
      <c r="A109">
        <v>20786</v>
      </c>
      <c r="B109">
        <v>3</v>
      </c>
      <c r="C109" t="s">
        <v>327</v>
      </c>
      <c r="D109" t="s">
        <v>277</v>
      </c>
      <c r="E109" t="s">
        <v>328</v>
      </c>
      <c r="F109" t="s">
        <v>205</v>
      </c>
      <c r="G109">
        <v>403.75</v>
      </c>
      <c r="H109">
        <v>10.5</v>
      </c>
      <c r="I109">
        <v>393.25</v>
      </c>
      <c r="J109">
        <v>27.75</v>
      </c>
      <c r="K109">
        <v>1.83</v>
      </c>
      <c r="L109">
        <v>23.33</v>
      </c>
      <c r="M109">
        <v>2.58</v>
      </c>
      <c r="N109">
        <v>39.08</v>
      </c>
      <c r="Q109" t="s">
        <v>334</v>
      </c>
      <c r="R109">
        <v>110761</v>
      </c>
      <c r="S109" t="s">
        <v>317</v>
      </c>
    </row>
    <row r="110" spans="1:19" x14ac:dyDescent="0.35">
      <c r="A110">
        <v>20786</v>
      </c>
      <c r="B110">
        <v>3</v>
      </c>
      <c r="C110" t="s">
        <v>327</v>
      </c>
      <c r="D110" t="s">
        <v>277</v>
      </c>
      <c r="E110" t="s">
        <v>328</v>
      </c>
      <c r="F110" t="s">
        <v>205</v>
      </c>
      <c r="G110">
        <v>403.75</v>
      </c>
      <c r="H110">
        <v>10.5</v>
      </c>
      <c r="I110">
        <v>393.25</v>
      </c>
      <c r="J110">
        <v>27.75</v>
      </c>
      <c r="K110">
        <v>1.83</v>
      </c>
      <c r="L110">
        <v>23.33</v>
      </c>
      <c r="M110">
        <v>2.58</v>
      </c>
      <c r="N110">
        <v>39.08</v>
      </c>
    </row>
    <row r="111" spans="1:19" x14ac:dyDescent="0.35">
      <c r="A111">
        <v>20786</v>
      </c>
      <c r="B111">
        <v>3</v>
      </c>
      <c r="C111" t="s">
        <v>327</v>
      </c>
      <c r="D111" t="s">
        <v>277</v>
      </c>
      <c r="E111" t="s">
        <v>328</v>
      </c>
      <c r="F111" t="s">
        <v>205</v>
      </c>
      <c r="G111">
        <v>403.75</v>
      </c>
      <c r="H111">
        <v>10.5</v>
      </c>
      <c r="I111">
        <v>393.25</v>
      </c>
      <c r="J111">
        <v>27.75</v>
      </c>
      <c r="K111">
        <v>1.83</v>
      </c>
      <c r="L111">
        <v>23.33</v>
      </c>
      <c r="M111">
        <v>2.58</v>
      </c>
      <c r="N111">
        <v>39.08</v>
      </c>
      <c r="Q111" t="s">
        <v>307</v>
      </c>
      <c r="R111">
        <v>108623</v>
      </c>
      <c r="S111" t="s">
        <v>299</v>
      </c>
    </row>
    <row r="112" spans="1:19" x14ac:dyDescent="0.35">
      <c r="A112">
        <v>20786</v>
      </c>
      <c r="B112">
        <v>3</v>
      </c>
      <c r="C112" t="s">
        <v>327</v>
      </c>
      <c r="D112" t="s">
        <v>277</v>
      </c>
      <c r="E112" t="s">
        <v>328</v>
      </c>
      <c r="F112" t="s">
        <v>205</v>
      </c>
      <c r="G112">
        <v>403.75</v>
      </c>
      <c r="H112">
        <v>10.5</v>
      </c>
      <c r="I112">
        <v>393.25</v>
      </c>
      <c r="J112">
        <v>27.75</v>
      </c>
      <c r="K112">
        <v>1.83</v>
      </c>
      <c r="L112">
        <v>23.33</v>
      </c>
      <c r="M112">
        <v>2.58</v>
      </c>
      <c r="N112">
        <v>39.08</v>
      </c>
      <c r="Q112" t="s">
        <v>330</v>
      </c>
      <c r="R112">
        <v>109764</v>
      </c>
      <c r="S112" t="s">
        <v>325</v>
      </c>
    </row>
    <row r="113" spans="1:19" x14ac:dyDescent="0.35">
      <c r="A113">
        <v>20786</v>
      </c>
      <c r="B113">
        <v>3</v>
      </c>
      <c r="C113" t="s">
        <v>327</v>
      </c>
      <c r="D113" t="s">
        <v>277</v>
      </c>
      <c r="E113" t="s">
        <v>328</v>
      </c>
      <c r="F113" t="s">
        <v>205</v>
      </c>
      <c r="G113">
        <v>403.75</v>
      </c>
      <c r="H113">
        <v>10.5</v>
      </c>
      <c r="I113">
        <v>393.25</v>
      </c>
      <c r="J113">
        <v>27.75</v>
      </c>
      <c r="K113">
        <v>1.83</v>
      </c>
      <c r="L113">
        <v>23.33</v>
      </c>
      <c r="M113">
        <v>2.58</v>
      </c>
      <c r="N113">
        <v>39.08</v>
      </c>
      <c r="Q113" t="s">
        <v>320</v>
      </c>
      <c r="R113">
        <v>114707</v>
      </c>
      <c r="S113" t="s">
        <v>313</v>
      </c>
    </row>
    <row r="114" spans="1:19" x14ac:dyDescent="0.35">
      <c r="A114">
        <v>20786</v>
      </c>
      <c r="B114">
        <v>3</v>
      </c>
      <c r="C114" t="s">
        <v>327</v>
      </c>
      <c r="D114" t="s">
        <v>277</v>
      </c>
      <c r="E114" t="s">
        <v>328</v>
      </c>
      <c r="F114" t="s">
        <v>205</v>
      </c>
      <c r="G114">
        <v>403.75</v>
      </c>
      <c r="H114">
        <v>10.5</v>
      </c>
      <c r="I114">
        <v>393.25</v>
      </c>
      <c r="J114">
        <v>27.75</v>
      </c>
      <c r="K114">
        <v>1.83</v>
      </c>
      <c r="L114">
        <v>23.33</v>
      </c>
      <c r="M114">
        <v>2.58</v>
      </c>
      <c r="N114">
        <v>39.08</v>
      </c>
    </row>
    <row r="115" spans="1:19" x14ac:dyDescent="0.35">
      <c r="A115">
        <v>20786</v>
      </c>
      <c r="B115">
        <v>3</v>
      </c>
      <c r="C115" t="s">
        <v>327</v>
      </c>
      <c r="D115" t="s">
        <v>277</v>
      </c>
      <c r="E115" t="s">
        <v>328</v>
      </c>
      <c r="F115" t="s">
        <v>205</v>
      </c>
      <c r="G115">
        <v>403.75</v>
      </c>
      <c r="H115">
        <v>10.5</v>
      </c>
      <c r="I115">
        <v>393.25</v>
      </c>
      <c r="J115">
        <v>27.75</v>
      </c>
      <c r="K115">
        <v>1.83</v>
      </c>
      <c r="L115">
        <v>23.33</v>
      </c>
      <c r="M115">
        <v>2.58</v>
      </c>
      <c r="N115">
        <v>39.08</v>
      </c>
      <c r="Q115" t="s">
        <v>329</v>
      </c>
      <c r="R115">
        <v>109603</v>
      </c>
      <c r="S115" t="s">
        <v>322</v>
      </c>
    </row>
    <row r="116" spans="1:19" x14ac:dyDescent="0.35">
      <c r="A116">
        <v>20786</v>
      </c>
      <c r="B116">
        <v>3</v>
      </c>
      <c r="C116" t="s">
        <v>327</v>
      </c>
      <c r="D116" t="s">
        <v>277</v>
      </c>
      <c r="E116" t="s">
        <v>328</v>
      </c>
      <c r="F116" t="s">
        <v>205</v>
      </c>
      <c r="G116">
        <v>403.75</v>
      </c>
      <c r="H116">
        <v>10.5</v>
      </c>
      <c r="I116">
        <v>393.25</v>
      </c>
      <c r="J116">
        <v>27.75</v>
      </c>
      <c r="K116">
        <v>1.83</v>
      </c>
      <c r="L116">
        <v>23.33</v>
      </c>
      <c r="M116">
        <v>2.58</v>
      </c>
      <c r="N116">
        <v>39.08</v>
      </c>
      <c r="Q116" t="s">
        <v>301</v>
      </c>
      <c r="R116">
        <v>105935</v>
      </c>
      <c r="S116" t="s">
        <v>289</v>
      </c>
    </row>
    <row r="117" spans="1:19" x14ac:dyDescent="0.35">
      <c r="A117">
        <v>20786</v>
      </c>
      <c r="B117">
        <v>3</v>
      </c>
      <c r="C117" t="s">
        <v>327</v>
      </c>
      <c r="D117" t="s">
        <v>277</v>
      </c>
      <c r="E117" t="s">
        <v>328</v>
      </c>
      <c r="F117" t="s">
        <v>205</v>
      </c>
      <c r="G117">
        <v>403.75</v>
      </c>
      <c r="H117">
        <v>10.5</v>
      </c>
      <c r="I117">
        <v>393.25</v>
      </c>
      <c r="J117">
        <v>27.75</v>
      </c>
      <c r="K117">
        <v>1.83</v>
      </c>
      <c r="L117">
        <v>23.33</v>
      </c>
      <c r="M117">
        <v>2.58</v>
      </c>
      <c r="N117">
        <v>39.08</v>
      </c>
    </row>
    <row r="118" spans="1:19" x14ac:dyDescent="0.35">
      <c r="A118">
        <v>20786</v>
      </c>
      <c r="B118">
        <v>3</v>
      </c>
      <c r="C118" t="s">
        <v>327</v>
      </c>
      <c r="D118" t="s">
        <v>277</v>
      </c>
      <c r="E118" t="s">
        <v>328</v>
      </c>
      <c r="F118" t="s">
        <v>205</v>
      </c>
      <c r="G118">
        <v>403.75</v>
      </c>
      <c r="H118">
        <v>10.5</v>
      </c>
      <c r="I118">
        <v>393.25</v>
      </c>
      <c r="J118">
        <v>27.75</v>
      </c>
      <c r="K118">
        <v>1.83</v>
      </c>
      <c r="L118">
        <v>23.33</v>
      </c>
      <c r="M118">
        <v>2.58</v>
      </c>
      <c r="N118">
        <v>39.08</v>
      </c>
      <c r="Q118" t="s">
        <v>328</v>
      </c>
      <c r="R118">
        <v>109500</v>
      </c>
      <c r="S118" t="s">
        <v>315</v>
      </c>
    </row>
    <row r="119" spans="1:19" x14ac:dyDescent="0.35">
      <c r="A119">
        <v>20786</v>
      </c>
      <c r="B119">
        <v>3</v>
      </c>
      <c r="C119" t="s">
        <v>327</v>
      </c>
      <c r="D119" t="s">
        <v>277</v>
      </c>
      <c r="E119" t="s">
        <v>328</v>
      </c>
      <c r="F119" t="s">
        <v>205</v>
      </c>
      <c r="G119">
        <v>403.75</v>
      </c>
      <c r="H119">
        <v>10.5</v>
      </c>
      <c r="I119">
        <v>393.25</v>
      </c>
      <c r="J119">
        <v>27.75</v>
      </c>
      <c r="K119">
        <v>1.83</v>
      </c>
      <c r="L119">
        <v>23.33</v>
      </c>
      <c r="M119">
        <v>2.58</v>
      </c>
      <c r="N119">
        <v>39.08</v>
      </c>
      <c r="Q119" t="s">
        <v>312</v>
      </c>
      <c r="R119">
        <v>114707</v>
      </c>
      <c r="S119" t="s">
        <v>313</v>
      </c>
    </row>
    <row r="120" spans="1:19" x14ac:dyDescent="0.35">
      <c r="A120">
        <v>20786</v>
      </c>
      <c r="B120">
        <v>3</v>
      </c>
      <c r="C120" t="s">
        <v>327</v>
      </c>
      <c r="D120" t="s">
        <v>277</v>
      </c>
      <c r="E120" t="s">
        <v>328</v>
      </c>
      <c r="F120" t="s">
        <v>205</v>
      </c>
      <c r="G120">
        <v>403.75</v>
      </c>
      <c r="H120">
        <v>10.5</v>
      </c>
      <c r="I120">
        <v>393.25</v>
      </c>
      <c r="J120">
        <v>27.75</v>
      </c>
      <c r="K120">
        <v>1.83</v>
      </c>
      <c r="L120">
        <v>23.33</v>
      </c>
      <c r="M120">
        <v>2.58</v>
      </c>
      <c r="N120">
        <v>39.08</v>
      </c>
      <c r="Q120" t="s">
        <v>332</v>
      </c>
      <c r="R120">
        <v>109601</v>
      </c>
      <c r="S120" t="s">
        <v>311</v>
      </c>
    </row>
    <row r="121" spans="1:19" x14ac:dyDescent="0.35">
      <c r="A121">
        <v>20786</v>
      </c>
      <c r="B121">
        <v>3</v>
      </c>
      <c r="C121" t="s">
        <v>327</v>
      </c>
      <c r="D121" t="s">
        <v>277</v>
      </c>
      <c r="E121" t="s">
        <v>328</v>
      </c>
      <c r="F121" t="s">
        <v>205</v>
      </c>
      <c r="G121">
        <v>403.75</v>
      </c>
      <c r="H121">
        <v>10.5</v>
      </c>
      <c r="I121">
        <v>393.25</v>
      </c>
      <c r="J121">
        <v>27.75</v>
      </c>
      <c r="K121">
        <v>1.83</v>
      </c>
      <c r="L121">
        <v>23.33</v>
      </c>
      <c r="M121">
        <v>2.58</v>
      </c>
      <c r="N121">
        <v>39.08</v>
      </c>
      <c r="Q121" t="s">
        <v>331</v>
      </c>
      <c r="R121">
        <v>104499</v>
      </c>
      <c r="S121" t="s">
        <v>285</v>
      </c>
    </row>
    <row r="122" spans="1:19" x14ac:dyDescent="0.35">
      <c r="A122">
        <v>20786</v>
      </c>
      <c r="B122">
        <v>3</v>
      </c>
      <c r="C122" t="s">
        <v>327</v>
      </c>
      <c r="D122" t="s">
        <v>277</v>
      </c>
      <c r="E122" t="s">
        <v>328</v>
      </c>
      <c r="F122" t="s">
        <v>205</v>
      </c>
      <c r="G122">
        <v>403.75</v>
      </c>
      <c r="H122">
        <v>10.5</v>
      </c>
      <c r="I122">
        <v>393.25</v>
      </c>
      <c r="J122">
        <v>27.75</v>
      </c>
      <c r="K122">
        <v>1.83</v>
      </c>
      <c r="L122">
        <v>23.33</v>
      </c>
      <c r="M122">
        <v>2.58</v>
      </c>
      <c r="N122">
        <v>39.08</v>
      </c>
      <c r="Q122" t="s">
        <v>302</v>
      </c>
      <c r="R122">
        <v>105519</v>
      </c>
      <c r="S122" t="s">
        <v>283</v>
      </c>
    </row>
    <row r="123" spans="1:19" x14ac:dyDescent="0.35">
      <c r="A123">
        <v>20786</v>
      </c>
      <c r="B123">
        <v>3</v>
      </c>
      <c r="C123" t="s">
        <v>327</v>
      </c>
      <c r="D123" t="s">
        <v>277</v>
      </c>
      <c r="E123" t="s">
        <v>328</v>
      </c>
      <c r="F123" t="s">
        <v>205</v>
      </c>
      <c r="G123">
        <v>403.75</v>
      </c>
      <c r="H123">
        <v>10.5</v>
      </c>
      <c r="I123">
        <v>393.25</v>
      </c>
      <c r="J123">
        <v>27.75</v>
      </c>
      <c r="K123">
        <v>1.83</v>
      </c>
      <c r="L123">
        <v>23.33</v>
      </c>
      <c r="M123">
        <v>2.58</v>
      </c>
      <c r="N123">
        <v>39.08</v>
      </c>
      <c r="Q123" t="s">
        <v>333</v>
      </c>
      <c r="R123">
        <v>104499</v>
      </c>
      <c r="S123" t="s">
        <v>285</v>
      </c>
    </row>
    <row r="124" spans="1:19" x14ac:dyDescent="0.35">
      <c r="A124">
        <v>20786</v>
      </c>
      <c r="B124">
        <v>2</v>
      </c>
      <c r="C124" t="s">
        <v>327</v>
      </c>
      <c r="D124" t="s">
        <v>277</v>
      </c>
      <c r="E124" t="s">
        <v>335</v>
      </c>
      <c r="F124" t="s">
        <v>205</v>
      </c>
      <c r="G124">
        <v>1214.52</v>
      </c>
      <c r="H124">
        <v>19.5</v>
      </c>
      <c r="I124">
        <v>1195.02</v>
      </c>
      <c r="J124">
        <v>31.42</v>
      </c>
      <c r="K124">
        <v>1.5</v>
      </c>
      <c r="L124">
        <v>22.5</v>
      </c>
      <c r="M124">
        <v>7.42</v>
      </c>
      <c r="N124">
        <v>41</v>
      </c>
      <c r="Q124" t="s">
        <v>320</v>
      </c>
      <c r="R124">
        <v>114707</v>
      </c>
      <c r="S124" t="s">
        <v>313</v>
      </c>
    </row>
    <row r="125" spans="1:19" x14ac:dyDescent="0.35">
      <c r="A125">
        <v>20786</v>
      </c>
      <c r="B125">
        <v>2</v>
      </c>
      <c r="C125" t="s">
        <v>327</v>
      </c>
      <c r="D125" t="s">
        <v>277</v>
      </c>
      <c r="E125" t="s">
        <v>335</v>
      </c>
      <c r="F125" t="s">
        <v>205</v>
      </c>
      <c r="G125">
        <v>1214.52</v>
      </c>
      <c r="H125">
        <v>19.5</v>
      </c>
      <c r="I125">
        <v>1195.02</v>
      </c>
      <c r="J125">
        <v>31.42</v>
      </c>
      <c r="K125">
        <v>1.5</v>
      </c>
      <c r="L125">
        <v>22.5</v>
      </c>
      <c r="M125">
        <v>7.42</v>
      </c>
      <c r="N125">
        <v>41</v>
      </c>
      <c r="Q125" t="s">
        <v>331</v>
      </c>
      <c r="R125">
        <v>104499</v>
      </c>
      <c r="S125" t="s">
        <v>285</v>
      </c>
    </row>
    <row r="126" spans="1:19" x14ac:dyDescent="0.35">
      <c r="A126">
        <v>20786</v>
      </c>
      <c r="B126">
        <v>2</v>
      </c>
      <c r="C126" t="s">
        <v>327</v>
      </c>
      <c r="D126" t="s">
        <v>277</v>
      </c>
      <c r="E126" t="s">
        <v>335</v>
      </c>
      <c r="F126" t="s">
        <v>205</v>
      </c>
      <c r="G126">
        <v>1214.52</v>
      </c>
      <c r="H126">
        <v>19.5</v>
      </c>
      <c r="I126">
        <v>1195.02</v>
      </c>
      <c r="J126">
        <v>31.42</v>
      </c>
      <c r="K126">
        <v>1.5</v>
      </c>
      <c r="L126">
        <v>22.5</v>
      </c>
      <c r="M126">
        <v>7.42</v>
      </c>
      <c r="N126">
        <v>41</v>
      </c>
    </row>
    <row r="127" spans="1:19" x14ac:dyDescent="0.35">
      <c r="A127">
        <v>20786</v>
      </c>
      <c r="B127">
        <v>2</v>
      </c>
      <c r="C127" t="s">
        <v>327</v>
      </c>
      <c r="D127" t="s">
        <v>277</v>
      </c>
      <c r="E127" t="s">
        <v>335</v>
      </c>
      <c r="F127" t="s">
        <v>205</v>
      </c>
      <c r="G127">
        <v>1214.52</v>
      </c>
      <c r="H127">
        <v>19.5</v>
      </c>
      <c r="I127">
        <v>1195.02</v>
      </c>
      <c r="J127">
        <v>31.42</v>
      </c>
      <c r="K127">
        <v>1.5</v>
      </c>
      <c r="L127">
        <v>22.5</v>
      </c>
      <c r="M127">
        <v>7.42</v>
      </c>
      <c r="N127">
        <v>41</v>
      </c>
    </row>
    <row r="128" spans="1:19" x14ac:dyDescent="0.35">
      <c r="A128">
        <v>20786</v>
      </c>
      <c r="B128">
        <v>2</v>
      </c>
      <c r="C128" t="s">
        <v>327</v>
      </c>
      <c r="D128" t="s">
        <v>277</v>
      </c>
      <c r="E128" t="s">
        <v>335</v>
      </c>
      <c r="F128" t="s">
        <v>205</v>
      </c>
      <c r="G128">
        <v>1214.52</v>
      </c>
      <c r="H128">
        <v>19.5</v>
      </c>
      <c r="I128">
        <v>1195.02</v>
      </c>
      <c r="J128">
        <v>31.42</v>
      </c>
      <c r="K128">
        <v>1.5</v>
      </c>
      <c r="L128">
        <v>22.5</v>
      </c>
      <c r="M128">
        <v>7.42</v>
      </c>
      <c r="N128">
        <v>41</v>
      </c>
      <c r="Q128" t="s">
        <v>336</v>
      </c>
      <c r="R128">
        <v>109601</v>
      </c>
      <c r="S128" t="s">
        <v>311</v>
      </c>
    </row>
    <row r="129" spans="1:19" x14ac:dyDescent="0.35">
      <c r="A129">
        <v>20786</v>
      </c>
      <c r="B129">
        <v>2</v>
      </c>
      <c r="C129" t="s">
        <v>327</v>
      </c>
      <c r="D129" t="s">
        <v>277</v>
      </c>
      <c r="E129" t="s">
        <v>335</v>
      </c>
      <c r="F129" t="s">
        <v>205</v>
      </c>
      <c r="G129">
        <v>1214.52</v>
      </c>
      <c r="H129">
        <v>19.5</v>
      </c>
      <c r="I129">
        <v>1195.02</v>
      </c>
      <c r="J129">
        <v>31.42</v>
      </c>
      <c r="K129">
        <v>1.5</v>
      </c>
      <c r="L129">
        <v>22.5</v>
      </c>
      <c r="M129">
        <v>7.42</v>
      </c>
      <c r="N129">
        <v>41</v>
      </c>
      <c r="Q129" t="s">
        <v>337</v>
      </c>
      <c r="R129">
        <v>109764</v>
      </c>
      <c r="S129" t="s">
        <v>325</v>
      </c>
    </row>
    <row r="130" spans="1:19" x14ac:dyDescent="0.35">
      <c r="A130">
        <v>20786</v>
      </c>
      <c r="B130">
        <v>2</v>
      </c>
      <c r="C130" t="s">
        <v>327</v>
      </c>
      <c r="D130" t="s">
        <v>277</v>
      </c>
      <c r="E130" t="s">
        <v>335</v>
      </c>
      <c r="F130" t="s">
        <v>205</v>
      </c>
      <c r="G130">
        <v>1214.52</v>
      </c>
      <c r="H130">
        <v>19.5</v>
      </c>
      <c r="I130">
        <v>1195.02</v>
      </c>
      <c r="J130">
        <v>31.42</v>
      </c>
      <c r="K130">
        <v>1.5</v>
      </c>
      <c r="L130">
        <v>22.5</v>
      </c>
      <c r="M130">
        <v>7.42</v>
      </c>
      <c r="N130">
        <v>41</v>
      </c>
    </row>
    <row r="131" spans="1:19" x14ac:dyDescent="0.35">
      <c r="A131">
        <v>20786</v>
      </c>
      <c r="B131">
        <v>2</v>
      </c>
      <c r="C131" t="s">
        <v>327</v>
      </c>
      <c r="D131" t="s">
        <v>277</v>
      </c>
      <c r="E131" t="s">
        <v>335</v>
      </c>
      <c r="F131" t="s">
        <v>205</v>
      </c>
      <c r="G131">
        <v>1214.52</v>
      </c>
      <c r="H131">
        <v>19.5</v>
      </c>
      <c r="I131">
        <v>1195.02</v>
      </c>
      <c r="J131">
        <v>31.42</v>
      </c>
      <c r="K131">
        <v>1.5</v>
      </c>
      <c r="L131">
        <v>22.5</v>
      </c>
      <c r="M131">
        <v>7.42</v>
      </c>
      <c r="N131">
        <v>41</v>
      </c>
      <c r="Q131">
        <v>59357</v>
      </c>
      <c r="R131">
        <v>114719</v>
      </c>
      <c r="S131" t="s">
        <v>326</v>
      </c>
    </row>
    <row r="132" spans="1:19" x14ac:dyDescent="0.35">
      <c r="A132">
        <v>20786</v>
      </c>
      <c r="B132">
        <v>2</v>
      </c>
      <c r="C132" t="s">
        <v>327</v>
      </c>
      <c r="D132" t="s">
        <v>277</v>
      </c>
      <c r="E132" t="s">
        <v>335</v>
      </c>
      <c r="F132" t="s">
        <v>205</v>
      </c>
      <c r="G132">
        <v>1214.52</v>
      </c>
      <c r="H132">
        <v>19.5</v>
      </c>
      <c r="I132">
        <v>1195.02</v>
      </c>
      <c r="J132">
        <v>31.42</v>
      </c>
      <c r="K132">
        <v>1.5</v>
      </c>
      <c r="L132">
        <v>22.5</v>
      </c>
      <c r="M132">
        <v>7.42</v>
      </c>
      <c r="N132">
        <v>41</v>
      </c>
      <c r="Q132" t="s">
        <v>333</v>
      </c>
      <c r="R132">
        <v>104499</v>
      </c>
      <c r="S132" t="s">
        <v>285</v>
      </c>
    </row>
    <row r="133" spans="1:19" x14ac:dyDescent="0.35">
      <c r="A133">
        <v>20786</v>
      </c>
      <c r="B133">
        <v>2</v>
      </c>
      <c r="C133" t="s">
        <v>327</v>
      </c>
      <c r="D133" t="s">
        <v>277</v>
      </c>
      <c r="E133" t="s">
        <v>335</v>
      </c>
      <c r="F133" t="s">
        <v>205</v>
      </c>
      <c r="G133">
        <v>1214.52</v>
      </c>
      <c r="H133">
        <v>19.5</v>
      </c>
      <c r="I133">
        <v>1195.02</v>
      </c>
      <c r="J133">
        <v>31.42</v>
      </c>
      <c r="K133">
        <v>1.5</v>
      </c>
      <c r="L133">
        <v>22.5</v>
      </c>
      <c r="M133">
        <v>7.42</v>
      </c>
      <c r="N133">
        <v>41</v>
      </c>
      <c r="Q133" t="s">
        <v>338</v>
      </c>
      <c r="R133">
        <v>108623</v>
      </c>
      <c r="S133" t="s">
        <v>299</v>
      </c>
    </row>
    <row r="134" spans="1:19" x14ac:dyDescent="0.35">
      <c r="A134">
        <v>20786</v>
      </c>
      <c r="B134">
        <v>2</v>
      </c>
      <c r="C134" t="s">
        <v>327</v>
      </c>
      <c r="D134" t="s">
        <v>277</v>
      </c>
      <c r="E134" t="s">
        <v>335</v>
      </c>
      <c r="F134" t="s">
        <v>205</v>
      </c>
      <c r="G134">
        <v>1214.52</v>
      </c>
      <c r="H134">
        <v>19.5</v>
      </c>
      <c r="I134">
        <v>1195.02</v>
      </c>
      <c r="J134">
        <v>31.42</v>
      </c>
      <c r="K134">
        <v>1.5</v>
      </c>
      <c r="L134">
        <v>22.5</v>
      </c>
      <c r="M134">
        <v>7.42</v>
      </c>
      <c r="N134">
        <v>41</v>
      </c>
      <c r="Q134" t="s">
        <v>339</v>
      </c>
      <c r="R134">
        <v>105519</v>
      </c>
      <c r="S134" t="s">
        <v>283</v>
      </c>
    </row>
    <row r="135" spans="1:19" x14ac:dyDescent="0.35">
      <c r="A135">
        <v>20786</v>
      </c>
      <c r="B135">
        <v>2</v>
      </c>
      <c r="C135" t="s">
        <v>327</v>
      </c>
      <c r="D135" t="s">
        <v>277</v>
      </c>
      <c r="E135" t="s">
        <v>335</v>
      </c>
      <c r="F135" t="s">
        <v>205</v>
      </c>
      <c r="G135">
        <v>1214.52</v>
      </c>
      <c r="H135">
        <v>19.5</v>
      </c>
      <c r="I135">
        <v>1195.02</v>
      </c>
      <c r="J135">
        <v>31.42</v>
      </c>
      <c r="K135">
        <v>1.5</v>
      </c>
      <c r="L135">
        <v>22.5</v>
      </c>
      <c r="M135">
        <v>7.42</v>
      </c>
      <c r="N135">
        <v>41</v>
      </c>
      <c r="Q135" t="s">
        <v>335</v>
      </c>
      <c r="R135">
        <v>109500</v>
      </c>
      <c r="S135" t="s">
        <v>315</v>
      </c>
    </row>
    <row r="136" spans="1:19" x14ac:dyDescent="0.35">
      <c r="A136">
        <v>20786</v>
      </c>
      <c r="B136">
        <v>2</v>
      </c>
      <c r="C136" t="s">
        <v>327</v>
      </c>
      <c r="D136" t="s">
        <v>277</v>
      </c>
      <c r="E136" t="s">
        <v>335</v>
      </c>
      <c r="F136" t="s">
        <v>205</v>
      </c>
      <c r="G136">
        <v>1214.52</v>
      </c>
      <c r="H136">
        <v>19.5</v>
      </c>
      <c r="I136">
        <v>1195.02</v>
      </c>
      <c r="J136">
        <v>31.42</v>
      </c>
      <c r="K136">
        <v>1.5</v>
      </c>
      <c r="L136">
        <v>22.5</v>
      </c>
      <c r="M136">
        <v>7.42</v>
      </c>
      <c r="N136">
        <v>41</v>
      </c>
      <c r="Q136" t="s">
        <v>312</v>
      </c>
      <c r="R136">
        <v>114707</v>
      </c>
      <c r="S136" t="s">
        <v>313</v>
      </c>
    </row>
    <row r="137" spans="1:19" x14ac:dyDescent="0.35">
      <c r="A137">
        <v>20786</v>
      </c>
      <c r="B137">
        <v>2</v>
      </c>
      <c r="C137" t="s">
        <v>327</v>
      </c>
      <c r="D137" t="s">
        <v>277</v>
      </c>
      <c r="E137" t="s">
        <v>335</v>
      </c>
      <c r="F137" t="s">
        <v>205</v>
      </c>
      <c r="G137">
        <v>1214.52</v>
      </c>
      <c r="H137">
        <v>19.5</v>
      </c>
      <c r="I137">
        <v>1195.02</v>
      </c>
      <c r="J137">
        <v>31.42</v>
      </c>
      <c r="K137">
        <v>1.5</v>
      </c>
      <c r="L137">
        <v>22.5</v>
      </c>
      <c r="M137">
        <v>7.42</v>
      </c>
      <c r="N137">
        <v>41</v>
      </c>
    </row>
    <row r="138" spans="1:19" x14ac:dyDescent="0.35">
      <c r="A138">
        <v>20786</v>
      </c>
      <c r="B138">
        <v>2</v>
      </c>
      <c r="C138" t="s">
        <v>327</v>
      </c>
      <c r="D138" t="s">
        <v>277</v>
      </c>
      <c r="E138" t="s">
        <v>335</v>
      </c>
      <c r="F138" t="s">
        <v>205</v>
      </c>
      <c r="G138">
        <v>1214.52</v>
      </c>
      <c r="H138">
        <v>19.5</v>
      </c>
      <c r="I138">
        <v>1195.02</v>
      </c>
      <c r="J138">
        <v>31.42</v>
      </c>
      <c r="K138">
        <v>1.5</v>
      </c>
      <c r="L138">
        <v>22.5</v>
      </c>
      <c r="M138">
        <v>7.42</v>
      </c>
      <c r="N138">
        <v>41</v>
      </c>
      <c r="Q138" t="s">
        <v>340</v>
      </c>
      <c r="R138">
        <v>110761</v>
      </c>
      <c r="S138" t="s">
        <v>317</v>
      </c>
    </row>
    <row r="139" spans="1:19" x14ac:dyDescent="0.35">
      <c r="A139">
        <v>20786</v>
      </c>
      <c r="B139">
        <v>2</v>
      </c>
      <c r="C139" t="s">
        <v>327</v>
      </c>
      <c r="D139" t="s">
        <v>277</v>
      </c>
      <c r="E139" t="s">
        <v>335</v>
      </c>
      <c r="F139" t="s">
        <v>205</v>
      </c>
      <c r="G139">
        <v>1214.52</v>
      </c>
      <c r="H139">
        <v>19.5</v>
      </c>
      <c r="I139">
        <v>1195.02</v>
      </c>
      <c r="J139">
        <v>31.42</v>
      </c>
      <c r="K139">
        <v>1.5</v>
      </c>
      <c r="L139">
        <v>22.5</v>
      </c>
      <c r="M139">
        <v>7.42</v>
      </c>
      <c r="N139">
        <v>41</v>
      </c>
      <c r="Q139" t="s">
        <v>341</v>
      </c>
      <c r="R139">
        <v>105935</v>
      </c>
      <c r="S139" t="s">
        <v>289</v>
      </c>
    </row>
    <row r="140" spans="1:19" x14ac:dyDescent="0.35">
      <c r="A140">
        <v>20786</v>
      </c>
      <c r="B140">
        <v>2</v>
      </c>
      <c r="C140" t="s">
        <v>327</v>
      </c>
      <c r="D140" t="s">
        <v>277</v>
      </c>
      <c r="E140" t="s">
        <v>335</v>
      </c>
      <c r="F140" t="s">
        <v>205</v>
      </c>
      <c r="G140">
        <v>1214.52</v>
      </c>
      <c r="H140">
        <v>19.5</v>
      </c>
      <c r="I140">
        <v>1195.02</v>
      </c>
      <c r="J140">
        <v>31.42</v>
      </c>
      <c r="K140">
        <v>1.5</v>
      </c>
      <c r="L140">
        <v>22.5</v>
      </c>
      <c r="M140">
        <v>7.42</v>
      </c>
      <c r="N140">
        <v>41</v>
      </c>
    </row>
    <row r="141" spans="1:19" x14ac:dyDescent="0.35">
      <c r="A141">
        <v>20786</v>
      </c>
      <c r="B141">
        <v>2</v>
      </c>
      <c r="C141" t="s">
        <v>327</v>
      </c>
      <c r="D141" t="s">
        <v>277</v>
      </c>
      <c r="E141" t="s">
        <v>335</v>
      </c>
      <c r="F141" t="s">
        <v>205</v>
      </c>
      <c r="G141">
        <v>1214.52</v>
      </c>
      <c r="H141">
        <v>19.5</v>
      </c>
      <c r="I141">
        <v>1195.02</v>
      </c>
      <c r="J141">
        <v>31.42</v>
      </c>
      <c r="K141">
        <v>1.5</v>
      </c>
      <c r="L141">
        <v>22.5</v>
      </c>
      <c r="M141">
        <v>7.42</v>
      </c>
      <c r="N141">
        <v>41</v>
      </c>
      <c r="Q141" t="s">
        <v>342</v>
      </c>
      <c r="R141">
        <v>109603</v>
      </c>
      <c r="S141" t="s">
        <v>322</v>
      </c>
    </row>
    <row r="142" spans="1:19" x14ac:dyDescent="0.35">
      <c r="A142">
        <v>20786</v>
      </c>
      <c r="B142">
        <v>2</v>
      </c>
      <c r="C142" t="s">
        <v>327</v>
      </c>
      <c r="D142" t="s">
        <v>277</v>
      </c>
      <c r="E142" t="s">
        <v>335</v>
      </c>
      <c r="F142" t="s">
        <v>205</v>
      </c>
      <c r="G142">
        <v>1214.52</v>
      </c>
      <c r="H142">
        <v>19.5</v>
      </c>
      <c r="I142">
        <v>1195.02</v>
      </c>
      <c r="J142">
        <v>31.42</v>
      </c>
      <c r="K142">
        <v>1.5</v>
      </c>
      <c r="L142">
        <v>22.5</v>
      </c>
      <c r="M142">
        <v>7.42</v>
      </c>
      <c r="N142">
        <v>41</v>
      </c>
    </row>
    <row r="143" spans="1:19" x14ac:dyDescent="0.35">
      <c r="A143">
        <v>20786</v>
      </c>
      <c r="B143">
        <v>1</v>
      </c>
      <c r="C143" t="s">
        <v>343</v>
      </c>
      <c r="D143" t="s">
        <v>277</v>
      </c>
      <c r="E143" t="s">
        <v>344</v>
      </c>
      <c r="F143" t="s">
        <v>205</v>
      </c>
      <c r="G143">
        <v>614</v>
      </c>
      <c r="H143">
        <v>88.5</v>
      </c>
      <c r="I143">
        <v>525.5</v>
      </c>
      <c r="J143">
        <v>9.6199999999999992</v>
      </c>
      <c r="K143">
        <v>2.27</v>
      </c>
      <c r="L143">
        <v>5.13</v>
      </c>
      <c r="M143">
        <v>2.2200000000000002</v>
      </c>
      <c r="N143">
        <v>17</v>
      </c>
    </row>
    <row r="144" spans="1:19" x14ac:dyDescent="0.35">
      <c r="A144">
        <v>20786</v>
      </c>
      <c r="B144">
        <v>1</v>
      </c>
      <c r="C144" t="s">
        <v>343</v>
      </c>
      <c r="D144" t="s">
        <v>277</v>
      </c>
      <c r="E144" t="s">
        <v>344</v>
      </c>
      <c r="F144" t="s">
        <v>205</v>
      </c>
      <c r="G144">
        <v>614</v>
      </c>
      <c r="H144">
        <v>88.5</v>
      </c>
      <c r="I144">
        <v>525.5</v>
      </c>
      <c r="J144">
        <v>9.6199999999999992</v>
      </c>
      <c r="K144">
        <v>2.27</v>
      </c>
      <c r="L144">
        <v>5.13</v>
      </c>
      <c r="M144">
        <v>2.2200000000000002</v>
      </c>
      <c r="N144">
        <v>17</v>
      </c>
      <c r="Q144" t="s">
        <v>345</v>
      </c>
      <c r="R144">
        <v>106586</v>
      </c>
      <c r="S144" t="s">
        <v>346</v>
      </c>
    </row>
    <row r="145" spans="1:19" x14ac:dyDescent="0.35">
      <c r="A145">
        <v>20786</v>
      </c>
      <c r="B145">
        <v>1</v>
      </c>
      <c r="C145" t="s">
        <v>343</v>
      </c>
      <c r="D145" t="s">
        <v>277</v>
      </c>
      <c r="E145" t="s">
        <v>344</v>
      </c>
      <c r="F145" t="s">
        <v>205</v>
      </c>
      <c r="G145">
        <v>614</v>
      </c>
      <c r="H145">
        <v>88.5</v>
      </c>
      <c r="I145">
        <v>525.5</v>
      </c>
      <c r="J145">
        <v>9.6199999999999992</v>
      </c>
      <c r="K145">
        <v>2.27</v>
      </c>
      <c r="L145">
        <v>5.13</v>
      </c>
      <c r="M145">
        <v>2.2200000000000002</v>
      </c>
      <c r="N145">
        <v>17</v>
      </c>
    </row>
    <row r="146" spans="1:19" x14ac:dyDescent="0.35">
      <c r="A146">
        <v>20786</v>
      </c>
      <c r="B146">
        <v>1</v>
      </c>
      <c r="C146" t="s">
        <v>343</v>
      </c>
      <c r="D146" t="s">
        <v>277</v>
      </c>
      <c r="E146" t="s">
        <v>344</v>
      </c>
      <c r="F146" t="s">
        <v>205</v>
      </c>
      <c r="G146">
        <v>614</v>
      </c>
      <c r="H146">
        <v>88.5</v>
      </c>
      <c r="I146">
        <v>525.5</v>
      </c>
      <c r="J146">
        <v>9.6199999999999992</v>
      </c>
      <c r="K146">
        <v>2.27</v>
      </c>
      <c r="L146">
        <v>5.13</v>
      </c>
      <c r="M146">
        <v>2.2200000000000002</v>
      </c>
      <c r="N146">
        <v>17</v>
      </c>
      <c r="Q146" t="s">
        <v>347</v>
      </c>
      <c r="R146">
        <v>110493</v>
      </c>
      <c r="S146" t="s">
        <v>348</v>
      </c>
    </row>
    <row r="147" spans="1:19" x14ac:dyDescent="0.35">
      <c r="A147">
        <v>20786</v>
      </c>
      <c r="B147">
        <v>1</v>
      </c>
      <c r="C147" t="s">
        <v>343</v>
      </c>
      <c r="D147" t="s">
        <v>277</v>
      </c>
      <c r="E147" t="s">
        <v>344</v>
      </c>
      <c r="F147" t="s">
        <v>205</v>
      </c>
      <c r="G147">
        <v>614</v>
      </c>
      <c r="H147">
        <v>88.5</v>
      </c>
      <c r="I147">
        <v>525.5</v>
      </c>
      <c r="J147">
        <v>9.6199999999999992</v>
      </c>
      <c r="K147">
        <v>2.27</v>
      </c>
      <c r="L147">
        <v>5.13</v>
      </c>
      <c r="M147">
        <v>2.2200000000000002</v>
      </c>
      <c r="N147">
        <v>17</v>
      </c>
      <c r="Q147" t="s">
        <v>349</v>
      </c>
      <c r="R147">
        <v>110763</v>
      </c>
      <c r="S147" t="s">
        <v>350</v>
      </c>
    </row>
    <row r="148" spans="1:19" x14ac:dyDescent="0.35">
      <c r="A148">
        <v>20786</v>
      </c>
      <c r="B148">
        <v>1</v>
      </c>
      <c r="C148" t="s">
        <v>343</v>
      </c>
      <c r="D148" t="s">
        <v>277</v>
      </c>
      <c r="E148" t="s">
        <v>344</v>
      </c>
      <c r="F148" t="s">
        <v>205</v>
      </c>
      <c r="G148">
        <v>614</v>
      </c>
      <c r="H148">
        <v>88.5</v>
      </c>
      <c r="I148">
        <v>525.5</v>
      </c>
      <c r="J148">
        <v>9.6199999999999992</v>
      </c>
      <c r="K148">
        <v>2.27</v>
      </c>
      <c r="L148">
        <v>5.13</v>
      </c>
      <c r="M148">
        <v>2.2200000000000002</v>
      </c>
      <c r="N148">
        <v>17</v>
      </c>
      <c r="Q148" t="s">
        <v>351</v>
      </c>
      <c r="R148">
        <v>108513</v>
      </c>
      <c r="S148" t="s">
        <v>352</v>
      </c>
    </row>
    <row r="149" spans="1:19" x14ac:dyDescent="0.35">
      <c r="A149">
        <v>20786</v>
      </c>
      <c r="B149">
        <v>1</v>
      </c>
      <c r="C149" t="s">
        <v>343</v>
      </c>
      <c r="D149" t="s">
        <v>277</v>
      </c>
      <c r="E149" t="s">
        <v>344</v>
      </c>
      <c r="F149" t="s">
        <v>205</v>
      </c>
      <c r="G149">
        <v>614</v>
      </c>
      <c r="H149">
        <v>88.5</v>
      </c>
      <c r="I149">
        <v>525.5</v>
      </c>
      <c r="J149">
        <v>9.6199999999999992</v>
      </c>
      <c r="K149">
        <v>2.27</v>
      </c>
      <c r="L149">
        <v>5.13</v>
      </c>
      <c r="M149">
        <v>2.2200000000000002</v>
      </c>
      <c r="N149">
        <v>17</v>
      </c>
    </row>
    <row r="150" spans="1:19" x14ac:dyDescent="0.35">
      <c r="A150">
        <v>20786</v>
      </c>
      <c r="B150">
        <v>1</v>
      </c>
      <c r="C150" t="s">
        <v>343</v>
      </c>
      <c r="D150" t="s">
        <v>277</v>
      </c>
      <c r="E150" t="s">
        <v>344</v>
      </c>
      <c r="F150" t="s">
        <v>205</v>
      </c>
      <c r="G150">
        <v>614</v>
      </c>
      <c r="H150">
        <v>88.5</v>
      </c>
      <c r="I150">
        <v>525.5</v>
      </c>
      <c r="J150">
        <v>9.6199999999999992</v>
      </c>
      <c r="K150">
        <v>2.27</v>
      </c>
      <c r="L150">
        <v>5.13</v>
      </c>
      <c r="M150">
        <v>2.2200000000000002</v>
      </c>
      <c r="N150">
        <v>17</v>
      </c>
    </row>
    <row r="151" spans="1:19" x14ac:dyDescent="0.35">
      <c r="A151">
        <v>20786</v>
      </c>
      <c r="B151">
        <v>1</v>
      </c>
      <c r="C151" t="s">
        <v>343</v>
      </c>
      <c r="D151" t="s">
        <v>277</v>
      </c>
      <c r="E151" t="s">
        <v>344</v>
      </c>
      <c r="F151" t="s">
        <v>205</v>
      </c>
      <c r="G151">
        <v>614</v>
      </c>
      <c r="H151">
        <v>88.5</v>
      </c>
      <c r="I151">
        <v>525.5</v>
      </c>
      <c r="J151">
        <v>9.6199999999999992</v>
      </c>
      <c r="K151">
        <v>2.27</v>
      </c>
      <c r="L151">
        <v>5.13</v>
      </c>
      <c r="M151">
        <v>2.2200000000000002</v>
      </c>
      <c r="N151">
        <v>17</v>
      </c>
      <c r="Q151" t="s">
        <v>353</v>
      </c>
      <c r="R151">
        <v>103586</v>
      </c>
      <c r="S151" t="s">
        <v>354</v>
      </c>
    </row>
    <row r="152" spans="1:19" x14ac:dyDescent="0.35">
      <c r="A152">
        <v>20786</v>
      </c>
      <c r="B152">
        <v>1</v>
      </c>
      <c r="C152" t="s">
        <v>343</v>
      </c>
      <c r="D152" t="s">
        <v>277</v>
      </c>
      <c r="E152" t="s">
        <v>344</v>
      </c>
      <c r="F152" t="s">
        <v>205</v>
      </c>
      <c r="G152">
        <v>614</v>
      </c>
      <c r="H152">
        <v>88.5</v>
      </c>
      <c r="I152">
        <v>525.5</v>
      </c>
      <c r="J152">
        <v>9.6199999999999992</v>
      </c>
      <c r="K152">
        <v>2.27</v>
      </c>
      <c r="L152">
        <v>5.13</v>
      </c>
      <c r="M152">
        <v>2.2200000000000002</v>
      </c>
      <c r="N152">
        <v>17</v>
      </c>
      <c r="Q152" t="s">
        <v>355</v>
      </c>
      <c r="R152">
        <v>105519</v>
      </c>
      <c r="S152" t="s">
        <v>283</v>
      </c>
    </row>
    <row r="153" spans="1:19" x14ac:dyDescent="0.35">
      <c r="A153">
        <v>20786</v>
      </c>
      <c r="B153">
        <v>1</v>
      </c>
      <c r="C153" t="s">
        <v>343</v>
      </c>
      <c r="D153" t="s">
        <v>277</v>
      </c>
      <c r="E153" t="s">
        <v>344</v>
      </c>
      <c r="F153" t="s">
        <v>205</v>
      </c>
      <c r="G153">
        <v>614</v>
      </c>
      <c r="H153">
        <v>88.5</v>
      </c>
      <c r="I153">
        <v>525.5</v>
      </c>
      <c r="J153">
        <v>9.6199999999999992</v>
      </c>
      <c r="K153">
        <v>2.27</v>
      </c>
      <c r="L153">
        <v>5.13</v>
      </c>
      <c r="M153">
        <v>2.2200000000000002</v>
      </c>
      <c r="N153">
        <v>17</v>
      </c>
    </row>
    <row r="154" spans="1:19" x14ac:dyDescent="0.35">
      <c r="A154">
        <v>20786</v>
      </c>
      <c r="B154">
        <v>1</v>
      </c>
      <c r="C154" t="s">
        <v>343</v>
      </c>
      <c r="D154" t="s">
        <v>277</v>
      </c>
      <c r="E154" t="s">
        <v>344</v>
      </c>
      <c r="F154" t="s">
        <v>205</v>
      </c>
      <c r="G154">
        <v>614</v>
      </c>
      <c r="H154">
        <v>88.5</v>
      </c>
      <c r="I154">
        <v>525.5</v>
      </c>
      <c r="J154">
        <v>9.6199999999999992</v>
      </c>
      <c r="K154">
        <v>2.27</v>
      </c>
      <c r="L154">
        <v>5.13</v>
      </c>
      <c r="M154">
        <v>2.2200000000000002</v>
      </c>
      <c r="N154">
        <v>17</v>
      </c>
    </row>
    <row r="155" spans="1:19" x14ac:dyDescent="0.35">
      <c r="A155">
        <v>20786</v>
      </c>
      <c r="B155">
        <v>1</v>
      </c>
      <c r="C155" t="s">
        <v>343</v>
      </c>
      <c r="D155" t="s">
        <v>277</v>
      </c>
      <c r="E155" t="s">
        <v>344</v>
      </c>
      <c r="F155" t="s">
        <v>205</v>
      </c>
      <c r="G155">
        <v>614</v>
      </c>
      <c r="H155">
        <v>88.5</v>
      </c>
      <c r="I155">
        <v>525.5</v>
      </c>
      <c r="J155">
        <v>9.6199999999999992</v>
      </c>
      <c r="K155">
        <v>2.27</v>
      </c>
      <c r="L155">
        <v>5.13</v>
      </c>
      <c r="M155">
        <v>2.2200000000000002</v>
      </c>
      <c r="N155">
        <v>17</v>
      </c>
    </row>
    <row r="156" spans="1:19" x14ac:dyDescent="0.35">
      <c r="A156">
        <v>20786</v>
      </c>
      <c r="B156">
        <v>1</v>
      </c>
      <c r="C156" t="s">
        <v>343</v>
      </c>
      <c r="D156" t="s">
        <v>277</v>
      </c>
      <c r="E156" t="s">
        <v>344</v>
      </c>
      <c r="F156" t="s">
        <v>205</v>
      </c>
      <c r="G156">
        <v>614</v>
      </c>
      <c r="H156">
        <v>88.5</v>
      </c>
      <c r="I156">
        <v>525.5</v>
      </c>
      <c r="J156">
        <v>9.6199999999999992</v>
      </c>
      <c r="K156">
        <v>2.27</v>
      </c>
      <c r="L156">
        <v>5.13</v>
      </c>
      <c r="M156">
        <v>2.2200000000000002</v>
      </c>
      <c r="N156">
        <v>17</v>
      </c>
      <c r="Q156" t="s">
        <v>356</v>
      </c>
      <c r="R156">
        <v>108623</v>
      </c>
      <c r="S156" t="s">
        <v>299</v>
      </c>
    </row>
    <row r="157" spans="1:19" x14ac:dyDescent="0.35">
      <c r="A157">
        <v>20786</v>
      </c>
      <c r="B157">
        <v>1</v>
      </c>
      <c r="C157" t="s">
        <v>343</v>
      </c>
      <c r="D157" t="s">
        <v>277</v>
      </c>
      <c r="E157" t="s">
        <v>344</v>
      </c>
      <c r="F157" t="s">
        <v>205</v>
      </c>
      <c r="G157">
        <v>614</v>
      </c>
      <c r="H157">
        <v>88.5</v>
      </c>
      <c r="I157">
        <v>525.5</v>
      </c>
      <c r="J157">
        <v>9.6199999999999992</v>
      </c>
      <c r="K157">
        <v>2.27</v>
      </c>
      <c r="L157">
        <v>5.13</v>
      </c>
      <c r="M157">
        <v>2.2200000000000002</v>
      </c>
      <c r="N157">
        <v>17</v>
      </c>
      <c r="Q157" t="s">
        <v>344</v>
      </c>
      <c r="R157">
        <v>100240</v>
      </c>
      <c r="S157" t="s">
        <v>357</v>
      </c>
    </row>
    <row r="158" spans="1:19" x14ac:dyDescent="0.35">
      <c r="A158">
        <v>20786</v>
      </c>
      <c r="B158">
        <v>1</v>
      </c>
      <c r="C158" t="s">
        <v>343</v>
      </c>
      <c r="D158" t="s">
        <v>277</v>
      </c>
      <c r="E158" t="s">
        <v>344</v>
      </c>
      <c r="F158" t="s">
        <v>205</v>
      </c>
      <c r="G158">
        <v>614</v>
      </c>
      <c r="H158">
        <v>88.5</v>
      </c>
      <c r="I158">
        <v>525.5</v>
      </c>
      <c r="J158">
        <v>9.6199999999999992</v>
      </c>
      <c r="K158">
        <v>2.27</v>
      </c>
      <c r="L158">
        <v>5.13</v>
      </c>
      <c r="M158">
        <v>2.2200000000000002</v>
      </c>
      <c r="N158">
        <v>17</v>
      </c>
      <c r="Q158" t="s">
        <v>358</v>
      </c>
      <c r="R158">
        <v>114721</v>
      </c>
      <c r="S158" t="s">
        <v>359</v>
      </c>
    </row>
    <row r="159" spans="1:19" x14ac:dyDescent="0.35">
      <c r="A159">
        <v>20786</v>
      </c>
      <c r="B159">
        <v>1</v>
      </c>
      <c r="C159" t="s">
        <v>343</v>
      </c>
      <c r="D159" t="s">
        <v>277</v>
      </c>
      <c r="E159" t="s">
        <v>344</v>
      </c>
      <c r="F159" t="s">
        <v>205</v>
      </c>
      <c r="G159">
        <v>614</v>
      </c>
      <c r="H159">
        <v>88.5</v>
      </c>
      <c r="I159">
        <v>525.5</v>
      </c>
      <c r="J159">
        <v>9.6199999999999992</v>
      </c>
      <c r="K159">
        <v>2.27</v>
      </c>
      <c r="L159">
        <v>5.13</v>
      </c>
      <c r="M159">
        <v>2.2200000000000002</v>
      </c>
      <c r="N159">
        <v>17</v>
      </c>
    </row>
    <row r="160" spans="1:19" x14ac:dyDescent="0.35">
      <c r="A160">
        <v>20786</v>
      </c>
      <c r="B160">
        <v>1</v>
      </c>
      <c r="C160" t="s">
        <v>343</v>
      </c>
      <c r="D160" t="s">
        <v>277</v>
      </c>
      <c r="E160" t="s">
        <v>344</v>
      </c>
      <c r="F160" t="s">
        <v>205</v>
      </c>
      <c r="G160">
        <v>614</v>
      </c>
      <c r="H160">
        <v>88.5</v>
      </c>
      <c r="I160">
        <v>525.5</v>
      </c>
      <c r="J160">
        <v>9.6199999999999992</v>
      </c>
      <c r="K160">
        <v>2.27</v>
      </c>
      <c r="L160">
        <v>5.13</v>
      </c>
      <c r="M160">
        <v>2.2200000000000002</v>
      </c>
      <c r="N160">
        <v>17</v>
      </c>
      <c r="Q160" t="s">
        <v>360</v>
      </c>
      <c r="R160">
        <v>105935</v>
      </c>
      <c r="S160" t="s">
        <v>289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A2EE5-3C54-4E96-82B6-792207CABB5A}">
  <sheetPr codeName="Sheet6"/>
  <dimension ref="A1:F22"/>
  <sheetViews>
    <sheetView workbookViewId="0"/>
  </sheetViews>
  <sheetFormatPr defaultRowHeight="14.5" x14ac:dyDescent="0.35"/>
  <sheetData>
    <row r="1" spans="1:6" x14ac:dyDescent="0.35">
      <c r="A1" t="s">
        <v>99</v>
      </c>
      <c r="B1" t="s">
        <v>361</v>
      </c>
      <c r="C1" t="s">
        <v>247</v>
      </c>
      <c r="D1" t="s">
        <v>362</v>
      </c>
      <c r="E1" t="s">
        <v>363</v>
      </c>
      <c r="F1" t="s">
        <v>364</v>
      </c>
    </row>
    <row r="2" spans="1:6" x14ac:dyDescent="0.35">
      <c r="A2">
        <v>20786</v>
      </c>
      <c r="B2" s="25">
        <v>46115</v>
      </c>
      <c r="C2">
        <v>1</v>
      </c>
      <c r="D2">
        <v>57.5</v>
      </c>
      <c r="E2">
        <v>364.93</v>
      </c>
      <c r="F2">
        <v>422.43</v>
      </c>
    </row>
    <row r="3" spans="1:6" x14ac:dyDescent="0.35">
      <c r="A3">
        <v>20786</v>
      </c>
      <c r="B3" s="25">
        <v>46116</v>
      </c>
      <c r="C3">
        <v>1</v>
      </c>
      <c r="D3">
        <v>31</v>
      </c>
      <c r="E3">
        <v>160.57</v>
      </c>
      <c r="F3">
        <v>191.57</v>
      </c>
    </row>
    <row r="4" spans="1:6" x14ac:dyDescent="0.35">
      <c r="A4">
        <v>20786</v>
      </c>
      <c r="B4" s="25">
        <v>46135</v>
      </c>
      <c r="C4">
        <v>2</v>
      </c>
      <c r="D4">
        <v>16.5</v>
      </c>
      <c r="E4">
        <v>996.5</v>
      </c>
      <c r="F4">
        <v>1013</v>
      </c>
    </row>
    <row r="5" spans="1:6" x14ac:dyDescent="0.35">
      <c r="A5">
        <v>20786</v>
      </c>
      <c r="B5" s="25">
        <v>46136</v>
      </c>
      <c r="C5">
        <v>2</v>
      </c>
      <c r="D5">
        <v>3</v>
      </c>
      <c r="E5">
        <v>198.52</v>
      </c>
      <c r="F5">
        <v>201.52</v>
      </c>
    </row>
    <row r="6" spans="1:6" x14ac:dyDescent="0.35">
      <c r="A6">
        <v>20786</v>
      </c>
      <c r="B6" s="25">
        <v>46136</v>
      </c>
      <c r="C6">
        <v>3</v>
      </c>
      <c r="E6">
        <v>28.84</v>
      </c>
      <c r="F6">
        <v>28.84</v>
      </c>
    </row>
    <row r="7" spans="1:6" x14ac:dyDescent="0.35">
      <c r="A7">
        <v>20786</v>
      </c>
      <c r="B7" s="25">
        <v>46137</v>
      </c>
      <c r="C7">
        <v>3</v>
      </c>
      <c r="D7">
        <v>10.5</v>
      </c>
      <c r="E7">
        <v>335.57</v>
      </c>
      <c r="F7">
        <v>346.07</v>
      </c>
    </row>
    <row r="8" spans="1:6" x14ac:dyDescent="0.35">
      <c r="A8">
        <v>20786</v>
      </c>
      <c r="B8" s="25">
        <v>46138</v>
      </c>
      <c r="C8">
        <v>3</v>
      </c>
      <c r="E8">
        <v>28.84</v>
      </c>
      <c r="F8">
        <v>28.84</v>
      </c>
    </row>
    <row r="9" spans="1:6" x14ac:dyDescent="0.35">
      <c r="A9">
        <v>20786</v>
      </c>
      <c r="B9" s="25">
        <v>46138</v>
      </c>
      <c r="C9">
        <v>4</v>
      </c>
      <c r="D9">
        <v>8</v>
      </c>
      <c r="E9">
        <v>173.73</v>
      </c>
      <c r="F9">
        <v>181.73</v>
      </c>
    </row>
    <row r="10" spans="1:6" x14ac:dyDescent="0.35">
      <c r="A10">
        <v>20786</v>
      </c>
      <c r="B10" s="25">
        <v>46139</v>
      </c>
      <c r="C10">
        <v>4</v>
      </c>
      <c r="D10">
        <v>16.8</v>
      </c>
      <c r="E10">
        <v>205.55</v>
      </c>
      <c r="F10">
        <v>222.35</v>
      </c>
    </row>
    <row r="11" spans="1:6" x14ac:dyDescent="0.35">
      <c r="A11">
        <v>20786</v>
      </c>
      <c r="B11" s="25">
        <v>46140</v>
      </c>
      <c r="C11">
        <v>4</v>
      </c>
      <c r="D11">
        <v>25.5</v>
      </c>
      <c r="E11">
        <v>3.36</v>
      </c>
      <c r="F11">
        <v>28.86</v>
      </c>
    </row>
    <row r="12" spans="1:6" x14ac:dyDescent="0.35">
      <c r="A12">
        <v>20786</v>
      </c>
      <c r="B12" s="25">
        <v>46140</v>
      </c>
      <c r="C12">
        <v>5</v>
      </c>
      <c r="D12">
        <v>33</v>
      </c>
      <c r="E12">
        <v>63.31</v>
      </c>
      <c r="F12">
        <v>96.31</v>
      </c>
    </row>
    <row r="13" spans="1:6" x14ac:dyDescent="0.35">
      <c r="A13">
        <v>20786</v>
      </c>
      <c r="B13" s="25">
        <v>46141</v>
      </c>
      <c r="C13">
        <v>5</v>
      </c>
      <c r="D13">
        <v>125.2</v>
      </c>
      <c r="E13">
        <v>148.87</v>
      </c>
      <c r="F13">
        <v>274.07</v>
      </c>
    </row>
    <row r="14" spans="1:6" x14ac:dyDescent="0.35">
      <c r="A14">
        <v>20786</v>
      </c>
      <c r="B14" s="25">
        <v>46142</v>
      </c>
      <c r="C14">
        <v>5</v>
      </c>
      <c r="D14">
        <v>100</v>
      </c>
      <c r="E14">
        <v>325.8</v>
      </c>
      <c r="F14">
        <v>425.8</v>
      </c>
    </row>
    <row r="15" spans="1:6" x14ac:dyDescent="0.35">
      <c r="A15">
        <v>20786</v>
      </c>
      <c r="B15" s="25">
        <v>46143</v>
      </c>
      <c r="C15">
        <v>5</v>
      </c>
      <c r="D15">
        <v>24.75</v>
      </c>
      <c r="E15">
        <v>573.35</v>
      </c>
      <c r="F15">
        <v>598.1</v>
      </c>
    </row>
    <row r="16" spans="1:6" x14ac:dyDescent="0.35">
      <c r="A16">
        <v>20786</v>
      </c>
      <c r="B16" s="25">
        <v>46144</v>
      </c>
      <c r="C16">
        <v>6</v>
      </c>
      <c r="D16">
        <v>40.5</v>
      </c>
      <c r="E16">
        <v>292.01</v>
      </c>
      <c r="F16">
        <v>332.51</v>
      </c>
    </row>
    <row r="17" spans="1:6" x14ac:dyDescent="0.35">
      <c r="A17">
        <v>20786</v>
      </c>
      <c r="B17" s="25">
        <v>46145</v>
      </c>
      <c r="C17">
        <v>6</v>
      </c>
      <c r="D17">
        <v>94</v>
      </c>
      <c r="E17">
        <v>583</v>
      </c>
      <c r="F17">
        <v>677</v>
      </c>
    </row>
    <row r="18" spans="1:6" x14ac:dyDescent="0.35">
      <c r="A18">
        <v>20786</v>
      </c>
      <c r="B18" s="25">
        <v>46146</v>
      </c>
      <c r="C18">
        <v>6</v>
      </c>
      <c r="D18">
        <v>102.5</v>
      </c>
      <c r="E18">
        <v>565.5</v>
      </c>
      <c r="F18">
        <v>668</v>
      </c>
    </row>
    <row r="19" spans="1:6" x14ac:dyDescent="0.35">
      <c r="A19">
        <v>20786</v>
      </c>
      <c r="B19" s="25">
        <v>46147</v>
      </c>
      <c r="C19">
        <v>6</v>
      </c>
      <c r="D19">
        <v>39</v>
      </c>
      <c r="E19">
        <v>372.56</v>
      </c>
      <c r="F19">
        <v>411.56</v>
      </c>
    </row>
    <row r="20" spans="1:6" x14ac:dyDescent="0.35">
      <c r="A20">
        <v>20786</v>
      </c>
      <c r="B20" s="25">
        <v>46148</v>
      </c>
      <c r="C20">
        <v>7</v>
      </c>
      <c r="D20">
        <v>6.5</v>
      </c>
      <c r="E20">
        <v>20.81</v>
      </c>
      <c r="F20">
        <v>27.31</v>
      </c>
    </row>
    <row r="21" spans="1:6" x14ac:dyDescent="0.35">
      <c r="A21">
        <v>20786</v>
      </c>
      <c r="B21" s="25">
        <v>46149</v>
      </c>
      <c r="C21">
        <v>7</v>
      </c>
      <c r="D21">
        <v>28.5</v>
      </c>
      <c r="E21">
        <v>545.63</v>
      </c>
      <c r="F21">
        <v>574.13</v>
      </c>
    </row>
    <row r="22" spans="1:6" x14ac:dyDescent="0.35">
      <c r="A22">
        <v>20786</v>
      </c>
      <c r="B22" s="25">
        <v>46150</v>
      </c>
      <c r="C22">
        <v>7</v>
      </c>
      <c r="D22">
        <v>4</v>
      </c>
      <c r="E22">
        <v>114</v>
      </c>
      <c r="F22">
        <v>118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2EB8E-B619-45B3-9164-92CE888B23E6}">
  <sheetPr codeName="Sheet7"/>
  <dimension ref="A1:V142"/>
  <sheetViews>
    <sheetView workbookViewId="0"/>
  </sheetViews>
  <sheetFormatPr defaultRowHeight="14.5" x14ac:dyDescent="0.35"/>
  <sheetData>
    <row r="1" spans="1:22" x14ac:dyDescent="0.35">
      <c r="A1" t="s">
        <v>365</v>
      </c>
      <c r="B1" t="s">
        <v>366</v>
      </c>
      <c r="C1" t="s">
        <v>367</v>
      </c>
      <c r="D1" t="s">
        <v>368</v>
      </c>
      <c r="E1" t="s">
        <v>369</v>
      </c>
      <c r="F1" t="s">
        <v>370</v>
      </c>
      <c r="G1" t="s">
        <v>371</v>
      </c>
      <c r="H1" t="s">
        <v>372</v>
      </c>
      <c r="I1" t="s">
        <v>373</v>
      </c>
      <c r="J1" t="s">
        <v>374</v>
      </c>
      <c r="K1" t="s">
        <v>375</v>
      </c>
      <c r="L1" t="s">
        <v>376</v>
      </c>
      <c r="M1" t="s">
        <v>377</v>
      </c>
      <c r="N1" t="s">
        <v>378</v>
      </c>
      <c r="O1" t="s">
        <v>379</v>
      </c>
      <c r="P1" t="s">
        <v>380</v>
      </c>
      <c r="Q1" t="s">
        <v>381</v>
      </c>
      <c r="R1" t="s">
        <v>382</v>
      </c>
      <c r="S1" t="s">
        <v>383</v>
      </c>
      <c r="T1" t="s">
        <v>384</v>
      </c>
      <c r="U1" t="s">
        <v>385</v>
      </c>
      <c r="V1" t="s">
        <v>386</v>
      </c>
    </row>
    <row r="2" spans="1:22" x14ac:dyDescent="0.35">
      <c r="A2">
        <v>105619</v>
      </c>
      <c r="B2" t="s">
        <v>280</v>
      </c>
      <c r="C2" t="s">
        <v>303</v>
      </c>
      <c r="D2" t="s">
        <v>387</v>
      </c>
      <c r="E2" t="s">
        <v>388</v>
      </c>
      <c r="G2" t="s">
        <v>389</v>
      </c>
      <c r="K2">
        <v>77.5</v>
      </c>
      <c r="L2">
        <v>2395</v>
      </c>
      <c r="M2">
        <v>1530</v>
      </c>
      <c r="N2">
        <v>725</v>
      </c>
      <c r="O2">
        <v>5840</v>
      </c>
      <c r="P2">
        <v>9373</v>
      </c>
      <c r="Q2">
        <v>166790</v>
      </c>
      <c r="R2">
        <v>87709</v>
      </c>
      <c r="S2">
        <v>34781</v>
      </c>
      <c r="T2">
        <v>44300</v>
      </c>
      <c r="U2">
        <v>235191</v>
      </c>
      <c r="V2" t="b">
        <v>1</v>
      </c>
    </row>
    <row r="3" spans="1:22" x14ac:dyDescent="0.35">
      <c r="A3">
        <v>105619</v>
      </c>
      <c r="B3" t="s">
        <v>280</v>
      </c>
      <c r="C3" t="s">
        <v>279</v>
      </c>
      <c r="D3" t="s">
        <v>387</v>
      </c>
      <c r="E3" t="s">
        <v>388</v>
      </c>
      <c r="G3" t="s">
        <v>389</v>
      </c>
      <c r="K3">
        <v>36.33</v>
      </c>
      <c r="L3">
        <v>1185</v>
      </c>
      <c r="M3">
        <v>585</v>
      </c>
      <c r="N3">
        <v>410</v>
      </c>
      <c r="O3">
        <v>3910</v>
      </c>
      <c r="P3">
        <v>17667</v>
      </c>
      <c r="Q3">
        <v>153865</v>
      </c>
      <c r="R3">
        <v>82392</v>
      </c>
      <c r="S3">
        <v>30340</v>
      </c>
      <c r="T3">
        <v>41133</v>
      </c>
      <c r="U3">
        <v>214787</v>
      </c>
      <c r="V3" t="b">
        <v>1</v>
      </c>
    </row>
    <row r="4" spans="1:22" x14ac:dyDescent="0.35">
      <c r="A4">
        <v>108526</v>
      </c>
      <c r="B4" t="s">
        <v>297</v>
      </c>
      <c r="C4" t="s">
        <v>296</v>
      </c>
      <c r="D4" t="s">
        <v>390</v>
      </c>
      <c r="E4" t="s">
        <v>388</v>
      </c>
      <c r="G4" t="s">
        <v>389</v>
      </c>
      <c r="K4">
        <v>36.33</v>
      </c>
      <c r="L4">
        <v>1185</v>
      </c>
      <c r="M4">
        <v>585</v>
      </c>
      <c r="N4">
        <v>410</v>
      </c>
      <c r="O4">
        <v>3910</v>
      </c>
      <c r="P4">
        <v>29456</v>
      </c>
      <c r="Q4">
        <v>29456</v>
      </c>
      <c r="R4">
        <v>16882</v>
      </c>
      <c r="S4">
        <v>6219</v>
      </c>
      <c r="T4">
        <v>6355</v>
      </c>
      <c r="U4">
        <v>40479</v>
      </c>
      <c r="V4" t="b">
        <v>1</v>
      </c>
    </row>
    <row r="5" spans="1:22" x14ac:dyDescent="0.35">
      <c r="A5">
        <v>108526</v>
      </c>
      <c r="B5" t="s">
        <v>297</v>
      </c>
      <c r="C5" t="s">
        <v>391</v>
      </c>
      <c r="E5" t="s">
        <v>388</v>
      </c>
      <c r="G5" t="s">
        <v>389</v>
      </c>
      <c r="K5">
        <v>0</v>
      </c>
      <c r="L5">
        <v>0</v>
      </c>
      <c r="M5">
        <v>0</v>
      </c>
      <c r="N5">
        <v>0</v>
      </c>
      <c r="O5">
        <v>0</v>
      </c>
      <c r="P5">
        <v>339932</v>
      </c>
      <c r="Q5">
        <v>339932</v>
      </c>
      <c r="R5">
        <v>188496</v>
      </c>
      <c r="S5">
        <v>72246</v>
      </c>
      <c r="T5">
        <v>79190</v>
      </c>
      <c r="U5">
        <v>435575</v>
      </c>
      <c r="V5" t="b">
        <v>1</v>
      </c>
    </row>
    <row r="6" spans="1:22" x14ac:dyDescent="0.35">
      <c r="A6">
        <v>108526</v>
      </c>
      <c r="B6" t="s">
        <v>297</v>
      </c>
      <c r="G6" t="s">
        <v>392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2" x14ac:dyDescent="0.35">
      <c r="A7">
        <v>108526</v>
      </c>
      <c r="B7" t="s">
        <v>297</v>
      </c>
      <c r="C7" t="s">
        <v>305</v>
      </c>
      <c r="D7" t="s">
        <v>390</v>
      </c>
      <c r="E7" t="s">
        <v>388</v>
      </c>
      <c r="G7" t="s">
        <v>389</v>
      </c>
      <c r="K7">
        <v>77.5</v>
      </c>
      <c r="L7">
        <v>2395</v>
      </c>
      <c r="M7">
        <v>1530</v>
      </c>
      <c r="N7">
        <v>725</v>
      </c>
      <c r="O7">
        <v>5840</v>
      </c>
      <c r="P7">
        <v>30997</v>
      </c>
      <c r="Q7">
        <v>30997</v>
      </c>
      <c r="R7">
        <v>18777</v>
      </c>
      <c r="S7">
        <v>4684</v>
      </c>
      <c r="T7">
        <v>7536</v>
      </c>
      <c r="U7">
        <v>39095</v>
      </c>
      <c r="V7" t="b">
        <v>1</v>
      </c>
    </row>
    <row r="8" spans="1:22" x14ac:dyDescent="0.35">
      <c r="A8">
        <v>108526</v>
      </c>
      <c r="B8" t="s">
        <v>297</v>
      </c>
      <c r="C8" t="s">
        <v>393</v>
      </c>
      <c r="E8" t="s">
        <v>388</v>
      </c>
      <c r="G8" t="s">
        <v>389</v>
      </c>
      <c r="K8">
        <v>14.83</v>
      </c>
      <c r="L8">
        <v>460</v>
      </c>
      <c r="M8">
        <v>60</v>
      </c>
      <c r="N8">
        <v>370</v>
      </c>
      <c r="O8">
        <v>2190</v>
      </c>
      <c r="P8">
        <v>394624</v>
      </c>
      <c r="Q8">
        <v>394624</v>
      </c>
      <c r="R8">
        <v>200016</v>
      </c>
      <c r="S8">
        <v>92842</v>
      </c>
      <c r="T8">
        <v>101766</v>
      </c>
      <c r="U8">
        <v>523763</v>
      </c>
      <c r="V8" t="b">
        <v>1</v>
      </c>
    </row>
    <row r="9" spans="1:22" x14ac:dyDescent="0.35">
      <c r="A9">
        <v>110760</v>
      </c>
      <c r="B9" t="s">
        <v>287</v>
      </c>
      <c r="C9" t="s">
        <v>394</v>
      </c>
      <c r="E9" t="s">
        <v>388</v>
      </c>
      <c r="G9" t="s">
        <v>389</v>
      </c>
      <c r="K9">
        <v>0</v>
      </c>
      <c r="L9">
        <v>0</v>
      </c>
      <c r="M9">
        <v>0</v>
      </c>
      <c r="N9">
        <v>0</v>
      </c>
      <c r="O9">
        <v>0</v>
      </c>
      <c r="P9">
        <v>9211</v>
      </c>
      <c r="Q9">
        <v>29912</v>
      </c>
      <c r="R9">
        <v>14518</v>
      </c>
      <c r="S9">
        <v>4856</v>
      </c>
      <c r="T9">
        <v>10538</v>
      </c>
      <c r="U9">
        <v>42906</v>
      </c>
      <c r="V9" t="b">
        <v>1</v>
      </c>
    </row>
    <row r="10" spans="1:22" x14ac:dyDescent="0.35">
      <c r="A10">
        <v>110760</v>
      </c>
      <c r="B10" t="s">
        <v>287</v>
      </c>
      <c r="C10" t="s">
        <v>395</v>
      </c>
      <c r="D10" t="s">
        <v>396</v>
      </c>
      <c r="E10" t="s">
        <v>388</v>
      </c>
      <c r="G10" t="s">
        <v>389</v>
      </c>
      <c r="K10">
        <v>14.83</v>
      </c>
      <c r="L10">
        <v>460</v>
      </c>
      <c r="M10">
        <v>60</v>
      </c>
      <c r="N10">
        <v>370</v>
      </c>
      <c r="O10">
        <v>2190</v>
      </c>
      <c r="P10">
        <v>227401</v>
      </c>
      <c r="Q10">
        <v>227401</v>
      </c>
      <c r="R10">
        <v>109580</v>
      </c>
      <c r="S10">
        <v>54666</v>
      </c>
      <c r="T10">
        <v>63155</v>
      </c>
      <c r="U10">
        <v>305612</v>
      </c>
      <c r="V10" t="b">
        <v>1</v>
      </c>
    </row>
    <row r="11" spans="1:22" x14ac:dyDescent="0.35">
      <c r="A11">
        <v>110760</v>
      </c>
      <c r="B11" t="s">
        <v>287</v>
      </c>
      <c r="C11" t="s">
        <v>306</v>
      </c>
      <c r="D11" t="s">
        <v>397</v>
      </c>
      <c r="E11" t="s">
        <v>388</v>
      </c>
      <c r="G11" t="s">
        <v>389</v>
      </c>
      <c r="K11">
        <v>77.5</v>
      </c>
      <c r="L11">
        <v>2395</v>
      </c>
      <c r="M11">
        <v>1530</v>
      </c>
      <c r="N11">
        <v>725</v>
      </c>
      <c r="O11">
        <v>5840</v>
      </c>
      <c r="P11">
        <v>43538</v>
      </c>
      <c r="Q11">
        <v>43538</v>
      </c>
      <c r="R11">
        <v>17433</v>
      </c>
      <c r="S11">
        <v>13826</v>
      </c>
      <c r="T11">
        <v>12279</v>
      </c>
      <c r="U11">
        <v>58610</v>
      </c>
      <c r="V11" t="b">
        <v>1</v>
      </c>
    </row>
    <row r="12" spans="1:22" x14ac:dyDescent="0.35">
      <c r="A12">
        <v>110760</v>
      </c>
      <c r="B12" t="s">
        <v>287</v>
      </c>
      <c r="G12" t="s">
        <v>392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2" x14ac:dyDescent="0.35">
      <c r="A13">
        <v>110760</v>
      </c>
      <c r="B13" t="s">
        <v>287</v>
      </c>
      <c r="C13" t="s">
        <v>286</v>
      </c>
      <c r="E13" t="s">
        <v>388</v>
      </c>
      <c r="G13" t="s">
        <v>389</v>
      </c>
      <c r="K13">
        <v>36.33</v>
      </c>
      <c r="L13">
        <v>1185</v>
      </c>
      <c r="M13">
        <v>585</v>
      </c>
      <c r="N13">
        <v>410</v>
      </c>
      <c r="O13">
        <v>3910</v>
      </c>
      <c r="P13">
        <v>47166</v>
      </c>
      <c r="Q13">
        <v>47166</v>
      </c>
      <c r="R13">
        <v>26062</v>
      </c>
      <c r="S13">
        <v>8483</v>
      </c>
      <c r="T13">
        <v>12621</v>
      </c>
      <c r="U13">
        <v>66073</v>
      </c>
      <c r="V13" t="b">
        <v>1</v>
      </c>
    </row>
    <row r="14" spans="1:22" x14ac:dyDescent="0.35">
      <c r="A14">
        <v>110200</v>
      </c>
      <c r="B14" t="s">
        <v>398</v>
      </c>
      <c r="C14" t="s">
        <v>399</v>
      </c>
      <c r="D14" t="s">
        <v>400</v>
      </c>
      <c r="E14" t="s">
        <v>388</v>
      </c>
      <c r="G14" t="s">
        <v>389</v>
      </c>
      <c r="K14">
        <v>48.22</v>
      </c>
      <c r="L14">
        <v>2292</v>
      </c>
      <c r="M14">
        <v>257</v>
      </c>
      <c r="N14">
        <v>344</v>
      </c>
      <c r="O14">
        <v>3405</v>
      </c>
      <c r="P14">
        <v>12394</v>
      </c>
      <c r="Q14">
        <v>12394</v>
      </c>
      <c r="R14">
        <v>15412</v>
      </c>
      <c r="S14">
        <v>5489</v>
      </c>
      <c r="T14">
        <v>6671</v>
      </c>
      <c r="U14">
        <v>36127</v>
      </c>
      <c r="V14" t="b">
        <v>1</v>
      </c>
    </row>
    <row r="15" spans="1:22" x14ac:dyDescent="0.35">
      <c r="A15">
        <v>110200</v>
      </c>
      <c r="B15" t="s">
        <v>398</v>
      </c>
      <c r="G15" t="s">
        <v>392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</row>
    <row r="16" spans="1:22" x14ac:dyDescent="0.35">
      <c r="A16">
        <v>110200</v>
      </c>
      <c r="B16" t="s">
        <v>398</v>
      </c>
      <c r="C16" t="s">
        <v>401</v>
      </c>
      <c r="E16" t="s">
        <v>388</v>
      </c>
      <c r="G16" t="s">
        <v>389</v>
      </c>
      <c r="K16">
        <v>0</v>
      </c>
      <c r="L16">
        <v>0</v>
      </c>
      <c r="M16">
        <v>0</v>
      </c>
      <c r="N16">
        <v>0</v>
      </c>
      <c r="O16">
        <v>0</v>
      </c>
      <c r="P16">
        <v>111746</v>
      </c>
      <c r="Q16">
        <v>15865</v>
      </c>
      <c r="R16">
        <v>55804</v>
      </c>
      <c r="S16">
        <v>28519</v>
      </c>
      <c r="T16">
        <v>27423</v>
      </c>
      <c r="U16">
        <v>154148</v>
      </c>
      <c r="V16" t="b">
        <v>1</v>
      </c>
    </row>
    <row r="17" spans="1:22" x14ac:dyDescent="0.35">
      <c r="A17">
        <v>109764</v>
      </c>
      <c r="B17" t="s">
        <v>325</v>
      </c>
      <c r="C17" t="s">
        <v>330</v>
      </c>
      <c r="D17" t="s">
        <v>402</v>
      </c>
      <c r="E17" t="s">
        <v>388</v>
      </c>
      <c r="G17" t="s">
        <v>389</v>
      </c>
      <c r="K17">
        <v>111.33</v>
      </c>
      <c r="L17">
        <v>5087</v>
      </c>
      <c r="M17">
        <v>1003</v>
      </c>
      <c r="N17">
        <v>590</v>
      </c>
      <c r="O17">
        <v>8125</v>
      </c>
      <c r="P17">
        <v>17585</v>
      </c>
      <c r="Q17">
        <v>17585</v>
      </c>
      <c r="R17">
        <v>11892</v>
      </c>
      <c r="S17">
        <v>1603</v>
      </c>
      <c r="T17">
        <v>4090</v>
      </c>
      <c r="U17">
        <v>23685</v>
      </c>
      <c r="V17" t="b">
        <v>1</v>
      </c>
    </row>
    <row r="18" spans="1:22" x14ac:dyDescent="0.35">
      <c r="A18">
        <v>109764</v>
      </c>
      <c r="B18" t="s">
        <v>325</v>
      </c>
      <c r="C18" t="s">
        <v>403</v>
      </c>
      <c r="D18" t="s">
        <v>404</v>
      </c>
      <c r="E18" t="s">
        <v>388</v>
      </c>
      <c r="G18" t="s">
        <v>389</v>
      </c>
      <c r="K18">
        <v>120.67</v>
      </c>
      <c r="L18">
        <v>3967</v>
      </c>
      <c r="M18">
        <v>1923</v>
      </c>
      <c r="N18">
        <v>1350</v>
      </c>
      <c r="O18">
        <v>8925</v>
      </c>
      <c r="P18">
        <v>162488</v>
      </c>
      <c r="Q18">
        <v>162488</v>
      </c>
      <c r="R18">
        <v>87724</v>
      </c>
      <c r="S18">
        <v>33101</v>
      </c>
      <c r="T18">
        <v>41663</v>
      </c>
      <c r="U18">
        <v>224087</v>
      </c>
      <c r="V18" t="b">
        <v>1</v>
      </c>
    </row>
    <row r="19" spans="1:22" x14ac:dyDescent="0.35">
      <c r="A19">
        <v>109764</v>
      </c>
      <c r="B19" t="s">
        <v>325</v>
      </c>
      <c r="C19" t="s">
        <v>324</v>
      </c>
      <c r="D19" t="s">
        <v>405</v>
      </c>
      <c r="E19" t="s">
        <v>388</v>
      </c>
      <c r="G19" t="s">
        <v>389</v>
      </c>
      <c r="K19">
        <v>73.67</v>
      </c>
      <c r="L19">
        <v>1705</v>
      </c>
      <c r="M19">
        <v>2170</v>
      </c>
      <c r="N19">
        <v>545</v>
      </c>
      <c r="O19">
        <v>5335</v>
      </c>
      <c r="P19">
        <v>41220</v>
      </c>
      <c r="Q19">
        <v>41220</v>
      </c>
      <c r="R19">
        <v>21176</v>
      </c>
      <c r="S19">
        <v>11139</v>
      </c>
      <c r="T19">
        <v>8905</v>
      </c>
      <c r="U19">
        <v>54810</v>
      </c>
      <c r="V19" t="b">
        <v>1</v>
      </c>
    </row>
    <row r="20" spans="1:22" x14ac:dyDescent="0.35">
      <c r="A20">
        <v>109764</v>
      </c>
      <c r="B20" t="s">
        <v>325</v>
      </c>
      <c r="C20" t="s">
        <v>406</v>
      </c>
      <c r="D20" t="s">
        <v>407</v>
      </c>
      <c r="E20" t="s">
        <v>388</v>
      </c>
      <c r="G20" t="s">
        <v>389</v>
      </c>
      <c r="K20">
        <v>0</v>
      </c>
      <c r="L20">
        <v>0</v>
      </c>
      <c r="M20">
        <v>0</v>
      </c>
      <c r="N20">
        <v>0</v>
      </c>
      <c r="O20">
        <v>0</v>
      </c>
      <c r="P20">
        <v>11385</v>
      </c>
      <c r="Q20">
        <v>11385</v>
      </c>
      <c r="R20">
        <v>8867</v>
      </c>
      <c r="S20">
        <v>0</v>
      </c>
      <c r="T20">
        <v>2518</v>
      </c>
      <c r="U20">
        <v>16827</v>
      </c>
      <c r="V20" t="b">
        <v>1</v>
      </c>
    </row>
    <row r="21" spans="1:22" x14ac:dyDescent="0.35">
      <c r="A21">
        <v>109764</v>
      </c>
      <c r="B21" t="s">
        <v>325</v>
      </c>
      <c r="C21" t="s">
        <v>337</v>
      </c>
      <c r="D21" t="s">
        <v>402</v>
      </c>
      <c r="E21" t="s">
        <v>388</v>
      </c>
      <c r="G21" t="s">
        <v>389</v>
      </c>
      <c r="K21">
        <v>100.92</v>
      </c>
      <c r="L21">
        <v>4565</v>
      </c>
      <c r="M21">
        <v>482</v>
      </c>
      <c r="N21">
        <v>1008</v>
      </c>
      <c r="O21">
        <v>8385</v>
      </c>
      <c r="P21">
        <v>6055</v>
      </c>
      <c r="Q21">
        <v>6055</v>
      </c>
      <c r="R21">
        <v>4565</v>
      </c>
      <c r="S21">
        <v>482</v>
      </c>
      <c r="T21">
        <v>1008</v>
      </c>
      <c r="U21">
        <v>8385</v>
      </c>
      <c r="V21" t="b">
        <v>1</v>
      </c>
    </row>
    <row r="22" spans="1:22" x14ac:dyDescent="0.35">
      <c r="A22">
        <v>109603</v>
      </c>
      <c r="B22" t="s">
        <v>322</v>
      </c>
      <c r="C22" t="s">
        <v>329</v>
      </c>
      <c r="D22" t="s">
        <v>408</v>
      </c>
      <c r="E22" t="s">
        <v>388</v>
      </c>
      <c r="G22" t="s">
        <v>389</v>
      </c>
      <c r="K22">
        <v>111.33</v>
      </c>
      <c r="L22">
        <v>5087</v>
      </c>
      <c r="M22">
        <v>1003</v>
      </c>
      <c r="N22">
        <v>590</v>
      </c>
      <c r="O22">
        <v>8125</v>
      </c>
      <c r="P22">
        <v>180055</v>
      </c>
      <c r="Q22">
        <v>180055</v>
      </c>
      <c r="R22">
        <v>104711</v>
      </c>
      <c r="S22">
        <v>39449</v>
      </c>
      <c r="T22">
        <v>35895</v>
      </c>
      <c r="U22">
        <v>225712</v>
      </c>
      <c r="V22" t="b">
        <v>1</v>
      </c>
    </row>
    <row r="23" spans="1:22" x14ac:dyDescent="0.35">
      <c r="A23">
        <v>109603</v>
      </c>
      <c r="B23" t="s">
        <v>322</v>
      </c>
      <c r="C23" t="s">
        <v>409</v>
      </c>
      <c r="E23" t="s">
        <v>388</v>
      </c>
      <c r="G23" t="s">
        <v>389</v>
      </c>
      <c r="K23">
        <v>0</v>
      </c>
      <c r="L23">
        <v>0</v>
      </c>
      <c r="M23">
        <v>0</v>
      </c>
      <c r="N23">
        <v>0</v>
      </c>
      <c r="O23">
        <v>0</v>
      </c>
      <c r="P23">
        <v>47906</v>
      </c>
      <c r="Q23">
        <v>47906</v>
      </c>
      <c r="R23">
        <v>20126</v>
      </c>
      <c r="S23">
        <v>13792</v>
      </c>
      <c r="T23">
        <v>13988</v>
      </c>
      <c r="U23">
        <v>67844</v>
      </c>
      <c r="V23" t="b">
        <v>1</v>
      </c>
    </row>
    <row r="24" spans="1:22" x14ac:dyDescent="0.35">
      <c r="A24">
        <v>109603</v>
      </c>
      <c r="B24" t="s">
        <v>322</v>
      </c>
      <c r="C24" t="s">
        <v>410</v>
      </c>
      <c r="D24" t="s">
        <v>411</v>
      </c>
      <c r="E24" t="s">
        <v>388</v>
      </c>
      <c r="G24" t="s">
        <v>389</v>
      </c>
      <c r="K24">
        <v>120.67</v>
      </c>
      <c r="L24">
        <v>3967</v>
      </c>
      <c r="M24">
        <v>1923</v>
      </c>
      <c r="N24">
        <v>1350</v>
      </c>
      <c r="O24">
        <v>8925</v>
      </c>
      <c r="P24">
        <v>92827</v>
      </c>
      <c r="Q24">
        <v>92827</v>
      </c>
      <c r="R24">
        <v>47752</v>
      </c>
      <c r="S24">
        <v>22431</v>
      </c>
      <c r="T24">
        <v>22644</v>
      </c>
      <c r="U24">
        <v>118492</v>
      </c>
      <c r="V24" t="b">
        <v>1</v>
      </c>
    </row>
    <row r="25" spans="1:22" x14ac:dyDescent="0.35">
      <c r="A25">
        <v>109603</v>
      </c>
      <c r="B25" t="s">
        <v>322</v>
      </c>
      <c r="C25" t="s">
        <v>321</v>
      </c>
      <c r="E25" t="s">
        <v>388</v>
      </c>
      <c r="G25" t="s">
        <v>389</v>
      </c>
      <c r="K25">
        <v>73.67</v>
      </c>
      <c r="L25">
        <v>1705</v>
      </c>
      <c r="M25">
        <v>2170</v>
      </c>
      <c r="N25">
        <v>545</v>
      </c>
      <c r="O25">
        <v>5335</v>
      </c>
      <c r="P25">
        <v>150764</v>
      </c>
      <c r="Q25">
        <v>150764</v>
      </c>
      <c r="R25">
        <v>72364</v>
      </c>
      <c r="S25">
        <v>37654</v>
      </c>
      <c r="T25">
        <v>40746</v>
      </c>
      <c r="U25">
        <v>199046</v>
      </c>
      <c r="V25" t="b">
        <v>1</v>
      </c>
    </row>
    <row r="26" spans="1:22" x14ac:dyDescent="0.35">
      <c r="A26">
        <v>109603</v>
      </c>
      <c r="B26" t="s">
        <v>322</v>
      </c>
      <c r="C26" t="s">
        <v>342</v>
      </c>
      <c r="D26" t="s">
        <v>411</v>
      </c>
      <c r="E26" t="s">
        <v>388</v>
      </c>
      <c r="G26" t="s">
        <v>389</v>
      </c>
      <c r="K26">
        <v>100.92</v>
      </c>
      <c r="L26">
        <v>4565</v>
      </c>
      <c r="M26">
        <v>482</v>
      </c>
      <c r="N26">
        <v>1008</v>
      </c>
      <c r="O26">
        <v>8385</v>
      </c>
      <c r="P26">
        <v>108407</v>
      </c>
      <c r="Q26">
        <v>108407</v>
      </c>
      <c r="R26">
        <v>56265</v>
      </c>
      <c r="S26">
        <v>23820</v>
      </c>
      <c r="T26">
        <v>28322</v>
      </c>
      <c r="U26">
        <v>140594</v>
      </c>
      <c r="V26" t="b">
        <v>1</v>
      </c>
    </row>
    <row r="27" spans="1:22" x14ac:dyDescent="0.35">
      <c r="A27">
        <v>110761</v>
      </c>
      <c r="B27" t="s">
        <v>317</v>
      </c>
      <c r="C27" t="s">
        <v>316</v>
      </c>
      <c r="D27" t="s">
        <v>412</v>
      </c>
      <c r="E27" t="s">
        <v>388</v>
      </c>
      <c r="G27" t="s">
        <v>389</v>
      </c>
      <c r="K27">
        <v>73.67</v>
      </c>
      <c r="L27">
        <v>1705</v>
      </c>
      <c r="M27">
        <v>2170</v>
      </c>
      <c r="N27">
        <v>545</v>
      </c>
      <c r="O27">
        <v>5335</v>
      </c>
      <c r="P27">
        <v>194533</v>
      </c>
      <c r="Q27">
        <v>194533</v>
      </c>
      <c r="R27">
        <v>99063</v>
      </c>
      <c r="S27">
        <v>51203</v>
      </c>
      <c r="T27">
        <v>44267</v>
      </c>
      <c r="U27">
        <v>261558</v>
      </c>
      <c r="V27" t="b">
        <v>1</v>
      </c>
    </row>
    <row r="28" spans="1:22" x14ac:dyDescent="0.35">
      <c r="A28">
        <v>110761</v>
      </c>
      <c r="B28" t="s">
        <v>317</v>
      </c>
      <c r="C28" t="s">
        <v>413</v>
      </c>
      <c r="D28" t="s">
        <v>414</v>
      </c>
      <c r="E28" t="s">
        <v>388</v>
      </c>
      <c r="G28" t="s">
        <v>389</v>
      </c>
      <c r="K28">
        <v>120.67</v>
      </c>
      <c r="L28">
        <v>3967</v>
      </c>
      <c r="M28">
        <v>1923</v>
      </c>
      <c r="N28">
        <v>1350</v>
      </c>
      <c r="O28">
        <v>8925</v>
      </c>
      <c r="P28">
        <v>203651</v>
      </c>
      <c r="Q28">
        <v>203651</v>
      </c>
      <c r="R28">
        <v>104737</v>
      </c>
      <c r="S28">
        <v>54581</v>
      </c>
      <c r="T28">
        <v>44333</v>
      </c>
      <c r="U28">
        <v>263930</v>
      </c>
      <c r="V28" t="b">
        <v>1</v>
      </c>
    </row>
    <row r="29" spans="1:22" x14ac:dyDescent="0.35">
      <c r="A29">
        <v>110761</v>
      </c>
      <c r="B29" t="s">
        <v>317</v>
      </c>
      <c r="C29" t="s">
        <v>340</v>
      </c>
      <c r="D29" t="s">
        <v>415</v>
      </c>
      <c r="E29" t="s">
        <v>388</v>
      </c>
      <c r="G29" t="s">
        <v>389</v>
      </c>
      <c r="K29">
        <v>100.92</v>
      </c>
      <c r="L29">
        <v>4565</v>
      </c>
      <c r="M29">
        <v>482</v>
      </c>
      <c r="N29">
        <v>1008</v>
      </c>
      <c r="O29">
        <v>8385</v>
      </c>
      <c r="P29">
        <v>107307</v>
      </c>
      <c r="Q29">
        <v>107307</v>
      </c>
      <c r="R29">
        <v>56390</v>
      </c>
      <c r="S29">
        <v>27262</v>
      </c>
      <c r="T29">
        <v>23655</v>
      </c>
      <c r="U29">
        <v>137661</v>
      </c>
      <c r="V29" t="b">
        <v>1</v>
      </c>
    </row>
    <row r="30" spans="1:22" x14ac:dyDescent="0.35">
      <c r="A30">
        <v>110761</v>
      </c>
      <c r="B30" t="s">
        <v>317</v>
      </c>
      <c r="C30" t="s">
        <v>416</v>
      </c>
      <c r="D30" t="s">
        <v>414</v>
      </c>
      <c r="E30" t="s">
        <v>388</v>
      </c>
      <c r="G30" t="s">
        <v>389</v>
      </c>
      <c r="K30">
        <v>0</v>
      </c>
      <c r="L30">
        <v>0</v>
      </c>
      <c r="M30">
        <v>0</v>
      </c>
      <c r="N30">
        <v>0</v>
      </c>
      <c r="O30">
        <v>0</v>
      </c>
      <c r="P30">
        <v>237185</v>
      </c>
      <c r="Q30">
        <v>237185</v>
      </c>
      <c r="R30">
        <v>108274</v>
      </c>
      <c r="S30">
        <v>66716</v>
      </c>
      <c r="T30">
        <v>62195</v>
      </c>
      <c r="U30">
        <v>318674</v>
      </c>
      <c r="V30" t="b">
        <v>1</v>
      </c>
    </row>
    <row r="31" spans="1:22" x14ac:dyDescent="0.35">
      <c r="A31">
        <v>110761</v>
      </c>
      <c r="B31" t="s">
        <v>317</v>
      </c>
      <c r="C31" t="s">
        <v>334</v>
      </c>
      <c r="D31" t="s">
        <v>417</v>
      </c>
      <c r="E31" t="s">
        <v>388</v>
      </c>
      <c r="G31" t="s">
        <v>389</v>
      </c>
      <c r="K31">
        <v>111.33</v>
      </c>
      <c r="L31">
        <v>5087</v>
      </c>
      <c r="M31">
        <v>1003</v>
      </c>
      <c r="N31">
        <v>590</v>
      </c>
      <c r="O31">
        <v>8125</v>
      </c>
      <c r="P31">
        <v>205585</v>
      </c>
      <c r="Q31">
        <v>205585</v>
      </c>
      <c r="R31">
        <v>114061</v>
      </c>
      <c r="S31">
        <v>47100</v>
      </c>
      <c r="T31">
        <v>44424</v>
      </c>
      <c r="U31">
        <v>285640</v>
      </c>
      <c r="V31" t="b">
        <v>1</v>
      </c>
    </row>
    <row r="32" spans="1:22" x14ac:dyDescent="0.35">
      <c r="A32">
        <v>109601</v>
      </c>
      <c r="B32" t="s">
        <v>311</v>
      </c>
      <c r="C32" t="s">
        <v>418</v>
      </c>
      <c r="E32" t="s">
        <v>388</v>
      </c>
      <c r="G32" t="s">
        <v>389</v>
      </c>
      <c r="K32">
        <v>120.67</v>
      </c>
      <c r="L32">
        <v>3967</v>
      </c>
      <c r="M32">
        <v>1923</v>
      </c>
      <c r="N32">
        <v>1350</v>
      </c>
      <c r="O32">
        <v>8925</v>
      </c>
      <c r="P32">
        <v>148335</v>
      </c>
      <c r="Q32">
        <v>7240</v>
      </c>
      <c r="R32">
        <v>73477</v>
      </c>
      <c r="S32">
        <v>34659</v>
      </c>
      <c r="T32">
        <v>40199</v>
      </c>
      <c r="U32">
        <v>200296</v>
      </c>
      <c r="V32" t="b">
        <v>1</v>
      </c>
    </row>
    <row r="33" spans="1:22" x14ac:dyDescent="0.35">
      <c r="A33">
        <v>109601</v>
      </c>
      <c r="B33" t="s">
        <v>311</v>
      </c>
      <c r="C33" t="s">
        <v>332</v>
      </c>
      <c r="E33" t="s">
        <v>388</v>
      </c>
      <c r="G33" t="s">
        <v>389</v>
      </c>
      <c r="K33">
        <v>111.33</v>
      </c>
      <c r="L33">
        <v>5087</v>
      </c>
      <c r="M33">
        <v>1003</v>
      </c>
      <c r="N33">
        <v>590</v>
      </c>
      <c r="O33">
        <v>8125</v>
      </c>
      <c r="P33">
        <v>134918</v>
      </c>
      <c r="Q33">
        <v>10025</v>
      </c>
      <c r="R33">
        <v>70930</v>
      </c>
      <c r="S33">
        <v>36766</v>
      </c>
      <c r="T33">
        <v>27222</v>
      </c>
      <c r="U33">
        <v>170674</v>
      </c>
      <c r="V33" t="b">
        <v>1</v>
      </c>
    </row>
    <row r="34" spans="1:22" x14ac:dyDescent="0.35">
      <c r="A34">
        <v>109601</v>
      </c>
      <c r="B34" t="s">
        <v>311</v>
      </c>
      <c r="C34" t="s">
        <v>310</v>
      </c>
      <c r="D34" t="s">
        <v>419</v>
      </c>
      <c r="E34" t="s">
        <v>388</v>
      </c>
      <c r="G34" t="s">
        <v>389</v>
      </c>
      <c r="K34">
        <v>73.67</v>
      </c>
      <c r="L34">
        <v>1705</v>
      </c>
      <c r="M34">
        <v>2170</v>
      </c>
      <c r="N34">
        <v>545</v>
      </c>
      <c r="O34">
        <v>5335</v>
      </c>
      <c r="P34">
        <v>117229</v>
      </c>
      <c r="Q34">
        <v>4420</v>
      </c>
      <c r="R34">
        <v>59002</v>
      </c>
      <c r="S34">
        <v>31504</v>
      </c>
      <c r="T34">
        <v>26723</v>
      </c>
      <c r="U34">
        <v>155551</v>
      </c>
      <c r="V34" t="b">
        <v>1</v>
      </c>
    </row>
    <row r="35" spans="1:22" x14ac:dyDescent="0.35">
      <c r="A35">
        <v>109601</v>
      </c>
      <c r="B35" t="s">
        <v>311</v>
      </c>
      <c r="C35" t="s">
        <v>420</v>
      </c>
      <c r="E35" t="s">
        <v>388</v>
      </c>
      <c r="G35" t="s">
        <v>389</v>
      </c>
      <c r="K35">
        <v>0</v>
      </c>
      <c r="L35">
        <v>0</v>
      </c>
      <c r="M35">
        <v>0</v>
      </c>
      <c r="N35">
        <v>0</v>
      </c>
      <c r="O35">
        <v>0</v>
      </c>
      <c r="P35">
        <v>214921</v>
      </c>
      <c r="Q35">
        <v>0</v>
      </c>
      <c r="R35">
        <v>109586</v>
      </c>
      <c r="S35">
        <v>52965</v>
      </c>
      <c r="T35">
        <v>52370</v>
      </c>
      <c r="U35">
        <v>287701</v>
      </c>
      <c r="V35" t="b">
        <v>1</v>
      </c>
    </row>
    <row r="36" spans="1:22" x14ac:dyDescent="0.35">
      <c r="A36">
        <v>109601</v>
      </c>
      <c r="B36" t="s">
        <v>311</v>
      </c>
      <c r="C36" t="s">
        <v>336</v>
      </c>
      <c r="E36" t="s">
        <v>388</v>
      </c>
      <c r="G36" t="s">
        <v>389</v>
      </c>
      <c r="K36">
        <v>100.92</v>
      </c>
      <c r="L36">
        <v>4565</v>
      </c>
      <c r="M36">
        <v>482</v>
      </c>
      <c r="N36">
        <v>1008</v>
      </c>
      <c r="O36">
        <v>8385</v>
      </c>
      <c r="P36">
        <v>22408</v>
      </c>
      <c r="Q36">
        <v>14491</v>
      </c>
      <c r="R36">
        <v>11512</v>
      </c>
      <c r="S36">
        <v>5237</v>
      </c>
      <c r="T36">
        <v>5659</v>
      </c>
      <c r="U36">
        <v>29737</v>
      </c>
      <c r="V36" t="b">
        <v>1</v>
      </c>
    </row>
    <row r="37" spans="1:22" x14ac:dyDescent="0.35">
      <c r="A37">
        <v>110493</v>
      </c>
      <c r="B37" t="s">
        <v>348</v>
      </c>
      <c r="C37" t="s">
        <v>347</v>
      </c>
      <c r="E37" t="s">
        <v>388</v>
      </c>
      <c r="G37" t="s">
        <v>389</v>
      </c>
      <c r="K37">
        <v>0</v>
      </c>
      <c r="L37">
        <v>0</v>
      </c>
      <c r="M37">
        <v>0</v>
      </c>
      <c r="N37">
        <v>0</v>
      </c>
      <c r="O37">
        <v>0</v>
      </c>
      <c r="P37">
        <v>7120</v>
      </c>
      <c r="Q37">
        <v>7120</v>
      </c>
      <c r="R37">
        <v>3548</v>
      </c>
      <c r="S37">
        <v>787</v>
      </c>
      <c r="T37">
        <v>2785</v>
      </c>
      <c r="U37">
        <v>14095</v>
      </c>
      <c r="V37" t="b">
        <v>1</v>
      </c>
    </row>
    <row r="38" spans="1:22" x14ac:dyDescent="0.35">
      <c r="A38">
        <v>106586</v>
      </c>
      <c r="B38" t="s">
        <v>346</v>
      </c>
      <c r="C38" t="s">
        <v>345</v>
      </c>
      <c r="E38" t="s">
        <v>388</v>
      </c>
      <c r="G38" t="s">
        <v>389</v>
      </c>
      <c r="K38">
        <v>39.32</v>
      </c>
      <c r="L38">
        <v>1388</v>
      </c>
      <c r="M38">
        <v>373</v>
      </c>
      <c r="N38">
        <v>598</v>
      </c>
      <c r="O38">
        <v>5145</v>
      </c>
      <c r="P38">
        <v>101817</v>
      </c>
      <c r="Q38">
        <v>101817</v>
      </c>
      <c r="R38">
        <v>49203</v>
      </c>
      <c r="S38">
        <v>13835</v>
      </c>
      <c r="T38">
        <v>38779</v>
      </c>
      <c r="U38">
        <v>162496</v>
      </c>
      <c r="V38" t="b">
        <v>1</v>
      </c>
    </row>
    <row r="39" spans="1:22" x14ac:dyDescent="0.35">
      <c r="A39">
        <v>108513</v>
      </c>
      <c r="B39" t="s">
        <v>352</v>
      </c>
      <c r="C39" t="s">
        <v>351</v>
      </c>
      <c r="D39" t="s">
        <v>421</v>
      </c>
      <c r="E39" t="s">
        <v>388</v>
      </c>
      <c r="G39" t="s">
        <v>389</v>
      </c>
      <c r="K39">
        <v>39.32</v>
      </c>
      <c r="L39">
        <v>1388</v>
      </c>
      <c r="M39">
        <v>373</v>
      </c>
      <c r="N39">
        <v>598</v>
      </c>
      <c r="O39">
        <v>5145</v>
      </c>
      <c r="P39">
        <v>2936</v>
      </c>
      <c r="Q39">
        <v>2936</v>
      </c>
      <c r="R39">
        <v>1704</v>
      </c>
      <c r="S39">
        <v>387</v>
      </c>
      <c r="T39">
        <v>845</v>
      </c>
      <c r="U39">
        <v>7065</v>
      </c>
      <c r="V39" t="b">
        <v>1</v>
      </c>
    </row>
    <row r="40" spans="1:22" x14ac:dyDescent="0.35">
      <c r="A40">
        <v>110763</v>
      </c>
      <c r="B40" t="s">
        <v>350</v>
      </c>
      <c r="C40" t="s">
        <v>349</v>
      </c>
      <c r="D40" t="s">
        <v>422</v>
      </c>
      <c r="E40" t="s">
        <v>388</v>
      </c>
      <c r="G40" t="s">
        <v>389</v>
      </c>
      <c r="K40">
        <v>0</v>
      </c>
      <c r="L40">
        <v>0</v>
      </c>
      <c r="M40">
        <v>0</v>
      </c>
      <c r="N40">
        <v>0</v>
      </c>
      <c r="O40">
        <v>0</v>
      </c>
      <c r="P40">
        <v>57512</v>
      </c>
      <c r="Q40">
        <v>57512</v>
      </c>
      <c r="R40">
        <v>28162</v>
      </c>
      <c r="S40">
        <v>4122</v>
      </c>
      <c r="T40">
        <v>25228</v>
      </c>
      <c r="U40">
        <v>91359</v>
      </c>
      <c r="V40" t="b">
        <v>1</v>
      </c>
    </row>
    <row r="41" spans="1:22" x14ac:dyDescent="0.35">
      <c r="A41">
        <v>105519</v>
      </c>
      <c r="B41" t="s">
        <v>283</v>
      </c>
      <c r="C41" t="s">
        <v>314</v>
      </c>
      <c r="D41" t="s">
        <v>423</v>
      </c>
      <c r="E41" t="s">
        <v>424</v>
      </c>
      <c r="G41" t="s">
        <v>389</v>
      </c>
      <c r="K41">
        <v>73.67</v>
      </c>
      <c r="L41">
        <v>1705</v>
      </c>
      <c r="M41">
        <v>2170</v>
      </c>
      <c r="N41">
        <v>545</v>
      </c>
      <c r="O41">
        <v>5335</v>
      </c>
      <c r="P41">
        <v>170248</v>
      </c>
      <c r="Q41">
        <v>170248</v>
      </c>
      <c r="R41">
        <v>92132</v>
      </c>
      <c r="S41">
        <v>34830</v>
      </c>
      <c r="T41">
        <v>43286</v>
      </c>
      <c r="U41">
        <v>230014</v>
      </c>
      <c r="V41" t="b">
        <v>1</v>
      </c>
    </row>
    <row r="42" spans="1:22" x14ac:dyDescent="0.35">
      <c r="A42">
        <v>105519</v>
      </c>
      <c r="B42" t="s">
        <v>283</v>
      </c>
      <c r="C42" t="s">
        <v>355</v>
      </c>
      <c r="D42" t="s">
        <v>425</v>
      </c>
      <c r="E42" t="s">
        <v>424</v>
      </c>
      <c r="G42" t="s">
        <v>389</v>
      </c>
      <c r="K42">
        <v>112.47</v>
      </c>
      <c r="L42">
        <v>2969</v>
      </c>
      <c r="M42">
        <v>2086</v>
      </c>
      <c r="N42">
        <v>1693</v>
      </c>
      <c r="O42">
        <v>8858</v>
      </c>
      <c r="P42">
        <v>234371</v>
      </c>
      <c r="Q42">
        <v>234371</v>
      </c>
      <c r="R42">
        <v>117140</v>
      </c>
      <c r="S42">
        <v>50011</v>
      </c>
      <c r="T42">
        <v>67220</v>
      </c>
      <c r="U42">
        <v>321741</v>
      </c>
      <c r="V42" t="b">
        <v>1</v>
      </c>
    </row>
    <row r="43" spans="1:22" x14ac:dyDescent="0.35">
      <c r="A43">
        <v>105519</v>
      </c>
      <c r="B43" t="s">
        <v>283</v>
      </c>
      <c r="C43" t="s">
        <v>426</v>
      </c>
      <c r="D43" t="s">
        <v>423</v>
      </c>
      <c r="E43" t="s">
        <v>424</v>
      </c>
      <c r="G43" t="s">
        <v>389</v>
      </c>
      <c r="K43">
        <v>44.92</v>
      </c>
      <c r="L43">
        <v>2157</v>
      </c>
      <c r="M43">
        <v>238</v>
      </c>
      <c r="N43">
        <v>300</v>
      </c>
      <c r="O43">
        <v>2860</v>
      </c>
      <c r="P43">
        <v>328478</v>
      </c>
      <c r="Q43">
        <v>328478</v>
      </c>
      <c r="R43">
        <v>176249</v>
      </c>
      <c r="S43">
        <v>66912</v>
      </c>
      <c r="T43">
        <v>85317</v>
      </c>
      <c r="U43">
        <v>446024</v>
      </c>
      <c r="V43" t="b">
        <v>1</v>
      </c>
    </row>
    <row r="44" spans="1:22" x14ac:dyDescent="0.35">
      <c r="A44">
        <v>105519</v>
      </c>
      <c r="B44" t="s">
        <v>283</v>
      </c>
      <c r="C44" t="s">
        <v>427</v>
      </c>
      <c r="D44" t="s">
        <v>428</v>
      </c>
      <c r="E44" t="s">
        <v>424</v>
      </c>
      <c r="G44" t="s">
        <v>389</v>
      </c>
      <c r="K44">
        <v>58.12</v>
      </c>
      <c r="L44">
        <v>2651</v>
      </c>
      <c r="M44">
        <v>0</v>
      </c>
      <c r="N44">
        <v>836</v>
      </c>
      <c r="O44">
        <v>3852</v>
      </c>
      <c r="P44">
        <v>188096</v>
      </c>
      <c r="Q44">
        <v>188096</v>
      </c>
      <c r="R44">
        <v>92117</v>
      </c>
      <c r="S44">
        <v>48609</v>
      </c>
      <c r="T44">
        <v>47370</v>
      </c>
      <c r="U44">
        <v>256936</v>
      </c>
      <c r="V44" t="b">
        <v>1</v>
      </c>
    </row>
    <row r="45" spans="1:22" x14ac:dyDescent="0.35">
      <c r="A45">
        <v>105519</v>
      </c>
      <c r="B45" t="s">
        <v>283</v>
      </c>
      <c r="C45" t="s">
        <v>302</v>
      </c>
      <c r="D45" t="s">
        <v>429</v>
      </c>
      <c r="E45" t="s">
        <v>424</v>
      </c>
      <c r="G45" t="s">
        <v>389</v>
      </c>
      <c r="K45">
        <v>143.91999999999999</v>
      </c>
      <c r="L45">
        <v>5325</v>
      </c>
      <c r="M45">
        <v>2295</v>
      </c>
      <c r="N45">
        <v>1015</v>
      </c>
      <c r="O45">
        <v>11105</v>
      </c>
      <c r="P45">
        <v>269931</v>
      </c>
      <c r="Q45">
        <v>269931</v>
      </c>
      <c r="R45">
        <v>140874</v>
      </c>
      <c r="S45">
        <v>56161</v>
      </c>
      <c r="T45">
        <v>72896</v>
      </c>
      <c r="U45">
        <v>363305</v>
      </c>
      <c r="V45" t="b">
        <v>1</v>
      </c>
    </row>
    <row r="46" spans="1:22" x14ac:dyDescent="0.35">
      <c r="A46">
        <v>105519</v>
      </c>
      <c r="B46" t="s">
        <v>283</v>
      </c>
      <c r="C46" t="s">
        <v>282</v>
      </c>
      <c r="E46" t="s">
        <v>424</v>
      </c>
      <c r="G46" t="s">
        <v>389</v>
      </c>
      <c r="K46">
        <v>36.33</v>
      </c>
      <c r="L46">
        <v>1185</v>
      </c>
      <c r="M46">
        <v>585</v>
      </c>
      <c r="N46">
        <v>410</v>
      </c>
      <c r="O46">
        <v>3910</v>
      </c>
      <c r="P46">
        <v>69131</v>
      </c>
      <c r="Q46">
        <v>69131</v>
      </c>
      <c r="R46">
        <v>37471</v>
      </c>
      <c r="S46">
        <v>11675</v>
      </c>
      <c r="T46">
        <v>19985</v>
      </c>
      <c r="U46">
        <v>100299</v>
      </c>
      <c r="V46" t="b">
        <v>1</v>
      </c>
    </row>
    <row r="47" spans="1:22" x14ac:dyDescent="0.35">
      <c r="A47">
        <v>105519</v>
      </c>
      <c r="B47" t="s">
        <v>283</v>
      </c>
      <c r="C47" t="s">
        <v>339</v>
      </c>
      <c r="D47" t="s">
        <v>428</v>
      </c>
      <c r="E47" t="s">
        <v>424</v>
      </c>
      <c r="G47" t="s">
        <v>389</v>
      </c>
      <c r="K47">
        <v>62.05</v>
      </c>
      <c r="L47">
        <v>1707</v>
      </c>
      <c r="M47">
        <v>546</v>
      </c>
      <c r="N47">
        <v>1470</v>
      </c>
      <c r="O47">
        <v>4875</v>
      </c>
      <c r="P47">
        <v>149839</v>
      </c>
      <c r="Q47">
        <v>149839</v>
      </c>
      <c r="R47">
        <v>81255</v>
      </c>
      <c r="S47">
        <v>30434</v>
      </c>
      <c r="T47">
        <v>38150</v>
      </c>
      <c r="U47">
        <v>201947</v>
      </c>
      <c r="V47" t="b">
        <v>1</v>
      </c>
    </row>
    <row r="48" spans="1:22" x14ac:dyDescent="0.35">
      <c r="A48">
        <v>108105</v>
      </c>
      <c r="B48" t="s">
        <v>430</v>
      </c>
      <c r="C48" t="s">
        <v>431</v>
      </c>
      <c r="E48" t="s">
        <v>424</v>
      </c>
      <c r="G48" t="s">
        <v>389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 t="b">
        <v>1</v>
      </c>
    </row>
    <row r="49" spans="1:22" x14ac:dyDescent="0.35">
      <c r="A49">
        <v>103619</v>
      </c>
      <c r="B49" t="s">
        <v>432</v>
      </c>
      <c r="C49" t="s">
        <v>433</v>
      </c>
      <c r="E49" t="s">
        <v>388</v>
      </c>
      <c r="G49" t="s">
        <v>389</v>
      </c>
      <c r="K49">
        <v>0</v>
      </c>
      <c r="L49">
        <v>0</v>
      </c>
      <c r="M49">
        <v>0</v>
      </c>
      <c r="N49">
        <v>0</v>
      </c>
      <c r="O49">
        <v>0</v>
      </c>
      <c r="P49">
        <v>92911</v>
      </c>
      <c r="Q49">
        <v>92911</v>
      </c>
      <c r="R49">
        <v>45969</v>
      </c>
      <c r="S49">
        <v>12956</v>
      </c>
      <c r="T49">
        <v>33986</v>
      </c>
      <c r="U49">
        <v>156051</v>
      </c>
      <c r="V49" t="b">
        <v>1</v>
      </c>
    </row>
    <row r="50" spans="1:22" x14ac:dyDescent="0.35">
      <c r="A50">
        <v>108809</v>
      </c>
      <c r="B50" t="s">
        <v>295</v>
      </c>
      <c r="C50" t="s">
        <v>434</v>
      </c>
      <c r="E50" t="s">
        <v>388</v>
      </c>
      <c r="G50" t="s">
        <v>389</v>
      </c>
      <c r="K50">
        <v>0</v>
      </c>
      <c r="L50">
        <v>0</v>
      </c>
      <c r="M50">
        <v>0</v>
      </c>
      <c r="N50">
        <v>0</v>
      </c>
      <c r="O50">
        <v>0</v>
      </c>
      <c r="P50">
        <v>3330</v>
      </c>
      <c r="Q50">
        <v>14810</v>
      </c>
      <c r="R50">
        <v>17648</v>
      </c>
      <c r="S50">
        <v>6161</v>
      </c>
      <c r="T50">
        <v>8261</v>
      </c>
      <c r="U50">
        <v>44034</v>
      </c>
      <c r="V50" t="b">
        <v>1</v>
      </c>
    </row>
    <row r="51" spans="1:22" x14ac:dyDescent="0.35">
      <c r="A51">
        <v>108809</v>
      </c>
      <c r="B51" t="s">
        <v>295</v>
      </c>
      <c r="G51" t="s">
        <v>392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2" x14ac:dyDescent="0.35">
      <c r="A52">
        <v>108809</v>
      </c>
      <c r="B52" t="s">
        <v>295</v>
      </c>
      <c r="C52" t="s">
        <v>304</v>
      </c>
      <c r="E52" t="s">
        <v>388</v>
      </c>
      <c r="G52" t="s">
        <v>389</v>
      </c>
      <c r="K52">
        <v>77.5</v>
      </c>
      <c r="L52">
        <v>2395</v>
      </c>
      <c r="M52">
        <v>1530</v>
      </c>
      <c r="N52">
        <v>725</v>
      </c>
      <c r="O52">
        <v>5840</v>
      </c>
      <c r="P52">
        <v>116897</v>
      </c>
      <c r="Q52">
        <v>116897</v>
      </c>
      <c r="R52">
        <v>64643</v>
      </c>
      <c r="S52">
        <v>25700</v>
      </c>
      <c r="T52">
        <v>26554</v>
      </c>
      <c r="U52">
        <v>151751</v>
      </c>
      <c r="V52" t="b">
        <v>1</v>
      </c>
    </row>
    <row r="53" spans="1:22" x14ac:dyDescent="0.35">
      <c r="A53">
        <v>108809</v>
      </c>
      <c r="B53" t="s">
        <v>295</v>
      </c>
      <c r="C53" t="s">
        <v>435</v>
      </c>
      <c r="E53" t="s">
        <v>388</v>
      </c>
      <c r="G53" t="s">
        <v>389</v>
      </c>
      <c r="K53">
        <v>0</v>
      </c>
      <c r="L53">
        <v>0</v>
      </c>
      <c r="M53">
        <v>0</v>
      </c>
      <c r="N53">
        <v>0</v>
      </c>
      <c r="O53">
        <v>0</v>
      </c>
      <c r="P53">
        <v>5845</v>
      </c>
      <c r="Q53">
        <v>48786</v>
      </c>
      <c r="R53">
        <v>23193</v>
      </c>
      <c r="S53">
        <v>9361</v>
      </c>
      <c r="T53">
        <v>16232</v>
      </c>
      <c r="U53">
        <v>65326</v>
      </c>
      <c r="V53" t="b">
        <v>1</v>
      </c>
    </row>
    <row r="54" spans="1:22" x14ac:dyDescent="0.35">
      <c r="A54">
        <v>108809</v>
      </c>
      <c r="B54" t="s">
        <v>295</v>
      </c>
      <c r="C54" t="s">
        <v>294</v>
      </c>
      <c r="E54" t="s">
        <v>388</v>
      </c>
      <c r="G54" t="s">
        <v>389</v>
      </c>
      <c r="K54">
        <v>36.33</v>
      </c>
      <c r="L54">
        <v>1185</v>
      </c>
      <c r="M54">
        <v>585</v>
      </c>
      <c r="N54">
        <v>410</v>
      </c>
      <c r="O54">
        <v>3910</v>
      </c>
      <c r="P54">
        <v>35878</v>
      </c>
      <c r="Q54">
        <v>35878</v>
      </c>
      <c r="R54">
        <v>19300</v>
      </c>
      <c r="S54">
        <v>8263</v>
      </c>
      <c r="T54">
        <v>8315</v>
      </c>
      <c r="U54">
        <v>50021</v>
      </c>
      <c r="V54" t="b">
        <v>1</v>
      </c>
    </row>
    <row r="55" spans="1:22" x14ac:dyDescent="0.35">
      <c r="A55">
        <v>108623</v>
      </c>
      <c r="B55" t="s">
        <v>299</v>
      </c>
      <c r="C55" t="s">
        <v>307</v>
      </c>
      <c r="E55" t="s">
        <v>424</v>
      </c>
      <c r="G55" t="s">
        <v>389</v>
      </c>
      <c r="K55">
        <v>143.91999999999999</v>
      </c>
      <c r="L55">
        <v>5325</v>
      </c>
      <c r="M55">
        <v>2295</v>
      </c>
      <c r="N55">
        <v>1015</v>
      </c>
      <c r="O55">
        <v>11105</v>
      </c>
      <c r="P55">
        <v>75805</v>
      </c>
      <c r="Q55">
        <v>75805</v>
      </c>
      <c r="R55">
        <v>38518</v>
      </c>
      <c r="S55">
        <v>18419</v>
      </c>
      <c r="T55">
        <v>18868</v>
      </c>
      <c r="U55">
        <v>102659</v>
      </c>
      <c r="V55" t="b">
        <v>1</v>
      </c>
    </row>
    <row r="56" spans="1:22" x14ac:dyDescent="0.35">
      <c r="A56">
        <v>108623</v>
      </c>
      <c r="B56" t="s">
        <v>299</v>
      </c>
      <c r="C56" t="s">
        <v>356</v>
      </c>
      <c r="E56" t="s">
        <v>424</v>
      </c>
      <c r="G56" t="s">
        <v>389</v>
      </c>
      <c r="K56">
        <v>78.5</v>
      </c>
      <c r="L56">
        <v>2601</v>
      </c>
      <c r="M56">
        <v>1382</v>
      </c>
      <c r="N56">
        <v>727</v>
      </c>
      <c r="O56">
        <v>5720</v>
      </c>
      <c r="P56">
        <v>525986</v>
      </c>
      <c r="Q56">
        <v>525986</v>
      </c>
      <c r="R56">
        <v>243523</v>
      </c>
      <c r="S56">
        <v>113003</v>
      </c>
      <c r="T56">
        <v>169460</v>
      </c>
      <c r="U56">
        <v>729969</v>
      </c>
      <c r="V56" t="b">
        <v>1</v>
      </c>
    </row>
    <row r="57" spans="1:22" x14ac:dyDescent="0.35">
      <c r="A57">
        <v>108623</v>
      </c>
      <c r="B57" t="s">
        <v>299</v>
      </c>
      <c r="C57" t="s">
        <v>436</v>
      </c>
      <c r="E57" t="s">
        <v>424</v>
      </c>
      <c r="G57" t="s">
        <v>389</v>
      </c>
      <c r="K57">
        <v>166.92</v>
      </c>
      <c r="L57">
        <v>6340</v>
      </c>
      <c r="M57">
        <v>1682</v>
      </c>
      <c r="N57">
        <v>1993</v>
      </c>
      <c r="O57">
        <v>13575</v>
      </c>
      <c r="P57">
        <v>301922</v>
      </c>
      <c r="Q57">
        <v>301922</v>
      </c>
      <c r="R57">
        <v>158587</v>
      </c>
      <c r="S57">
        <v>65905</v>
      </c>
      <c r="T57">
        <v>77430</v>
      </c>
      <c r="U57">
        <v>417158</v>
      </c>
      <c r="V57" t="b">
        <v>1</v>
      </c>
    </row>
    <row r="58" spans="1:22" x14ac:dyDescent="0.35">
      <c r="A58">
        <v>108623</v>
      </c>
      <c r="B58" t="s">
        <v>299</v>
      </c>
      <c r="C58" t="s">
        <v>298</v>
      </c>
      <c r="E58" t="s">
        <v>424</v>
      </c>
      <c r="G58" t="s">
        <v>389</v>
      </c>
      <c r="K58">
        <v>36.33</v>
      </c>
      <c r="L58">
        <v>1185</v>
      </c>
      <c r="M58">
        <v>585</v>
      </c>
      <c r="N58">
        <v>410</v>
      </c>
      <c r="O58">
        <v>3910</v>
      </c>
      <c r="P58">
        <v>143216</v>
      </c>
      <c r="Q58">
        <v>143216</v>
      </c>
      <c r="R58">
        <v>59531</v>
      </c>
      <c r="S58">
        <v>37488</v>
      </c>
      <c r="T58">
        <v>46197</v>
      </c>
      <c r="U58">
        <v>191561</v>
      </c>
      <c r="V58" t="b">
        <v>1</v>
      </c>
    </row>
    <row r="59" spans="1:22" x14ac:dyDescent="0.35">
      <c r="A59">
        <v>108623</v>
      </c>
      <c r="B59" t="s">
        <v>299</v>
      </c>
      <c r="C59" t="s">
        <v>338</v>
      </c>
      <c r="E59" t="s">
        <v>424</v>
      </c>
      <c r="G59" t="s">
        <v>389</v>
      </c>
      <c r="K59">
        <v>0</v>
      </c>
      <c r="L59">
        <v>0</v>
      </c>
      <c r="M59">
        <v>0</v>
      </c>
      <c r="N59">
        <v>0</v>
      </c>
      <c r="O59">
        <v>0</v>
      </c>
      <c r="P59">
        <v>400562</v>
      </c>
      <c r="Q59">
        <v>400562</v>
      </c>
      <c r="R59">
        <v>193278</v>
      </c>
      <c r="S59">
        <v>101085</v>
      </c>
      <c r="T59">
        <v>106199</v>
      </c>
      <c r="U59">
        <v>541568</v>
      </c>
      <c r="V59" t="b">
        <v>1</v>
      </c>
    </row>
    <row r="60" spans="1:22" x14ac:dyDescent="0.35">
      <c r="A60">
        <v>108623</v>
      </c>
      <c r="B60" t="s">
        <v>299</v>
      </c>
      <c r="C60" t="s">
        <v>437</v>
      </c>
      <c r="E60" t="s">
        <v>424</v>
      </c>
      <c r="G60" t="s">
        <v>389</v>
      </c>
      <c r="K60">
        <v>44.92</v>
      </c>
      <c r="L60">
        <v>2157</v>
      </c>
      <c r="M60">
        <v>238</v>
      </c>
      <c r="N60">
        <v>300</v>
      </c>
      <c r="O60">
        <v>2860</v>
      </c>
      <c r="P60">
        <v>262945</v>
      </c>
      <c r="Q60">
        <v>262945</v>
      </c>
      <c r="R60">
        <v>120546</v>
      </c>
      <c r="S60">
        <v>68510</v>
      </c>
      <c r="T60">
        <v>73889</v>
      </c>
      <c r="U60">
        <v>361409</v>
      </c>
      <c r="V60" t="b">
        <v>1</v>
      </c>
    </row>
    <row r="61" spans="1:22" x14ac:dyDescent="0.35">
      <c r="A61">
        <v>108623</v>
      </c>
      <c r="B61" t="s">
        <v>299</v>
      </c>
      <c r="C61" t="s">
        <v>323</v>
      </c>
      <c r="E61" t="s">
        <v>424</v>
      </c>
      <c r="G61" t="s">
        <v>389</v>
      </c>
      <c r="K61">
        <v>0</v>
      </c>
      <c r="L61">
        <v>0</v>
      </c>
      <c r="M61">
        <v>0</v>
      </c>
      <c r="N61">
        <v>0</v>
      </c>
      <c r="O61">
        <v>0</v>
      </c>
      <c r="P61">
        <v>235223</v>
      </c>
      <c r="Q61">
        <v>235223</v>
      </c>
      <c r="R61">
        <v>108001</v>
      </c>
      <c r="S61">
        <v>56596</v>
      </c>
      <c r="T61">
        <v>70626</v>
      </c>
      <c r="U61">
        <v>316996</v>
      </c>
      <c r="V61" t="b">
        <v>1</v>
      </c>
    </row>
    <row r="62" spans="1:22" x14ac:dyDescent="0.35">
      <c r="A62">
        <v>109507</v>
      </c>
      <c r="B62" t="s">
        <v>438</v>
      </c>
      <c r="G62" t="s">
        <v>392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2" x14ac:dyDescent="0.35">
      <c r="A63">
        <v>109507</v>
      </c>
      <c r="B63" t="s">
        <v>438</v>
      </c>
      <c r="G63" t="s">
        <v>392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2" x14ac:dyDescent="0.35">
      <c r="A64">
        <v>104054</v>
      </c>
      <c r="B64" t="s">
        <v>439</v>
      </c>
      <c r="C64" t="s">
        <v>440</v>
      </c>
      <c r="E64" t="s">
        <v>424</v>
      </c>
      <c r="G64" t="s">
        <v>389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 t="b">
        <v>1</v>
      </c>
    </row>
    <row r="65" spans="1:22" x14ac:dyDescent="0.35">
      <c r="A65">
        <v>104054</v>
      </c>
      <c r="B65" t="s">
        <v>439</v>
      </c>
      <c r="C65" t="s">
        <v>441</v>
      </c>
      <c r="E65" t="s">
        <v>424</v>
      </c>
      <c r="G65" t="s">
        <v>389</v>
      </c>
      <c r="K65">
        <v>424.97</v>
      </c>
      <c r="L65">
        <v>14971</v>
      </c>
      <c r="M65">
        <v>5324</v>
      </c>
      <c r="N65">
        <v>5203</v>
      </c>
      <c r="O65">
        <v>30495</v>
      </c>
      <c r="P65">
        <v>25498</v>
      </c>
      <c r="Q65">
        <v>25498</v>
      </c>
      <c r="R65">
        <v>14971</v>
      </c>
      <c r="S65">
        <v>5324</v>
      </c>
      <c r="T65">
        <v>5203</v>
      </c>
      <c r="U65">
        <v>30495</v>
      </c>
      <c r="V65" t="b">
        <v>1</v>
      </c>
    </row>
    <row r="66" spans="1:22" x14ac:dyDescent="0.35">
      <c r="A66">
        <v>104054</v>
      </c>
      <c r="B66" t="s">
        <v>439</v>
      </c>
      <c r="C66" t="s">
        <v>442</v>
      </c>
      <c r="E66" t="s">
        <v>424</v>
      </c>
      <c r="G66" t="s">
        <v>389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 t="b">
        <v>1</v>
      </c>
    </row>
    <row r="67" spans="1:22" x14ac:dyDescent="0.35">
      <c r="A67">
        <v>104054</v>
      </c>
      <c r="B67" t="s">
        <v>439</v>
      </c>
      <c r="C67" t="s">
        <v>443</v>
      </c>
      <c r="E67" t="s">
        <v>424</v>
      </c>
      <c r="G67" t="s">
        <v>389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 t="b">
        <v>1</v>
      </c>
    </row>
    <row r="68" spans="1:22" x14ac:dyDescent="0.35">
      <c r="A68">
        <v>108470</v>
      </c>
      <c r="B68" t="s">
        <v>444</v>
      </c>
      <c r="C68" t="s">
        <v>445</v>
      </c>
      <c r="E68" t="s">
        <v>388</v>
      </c>
      <c r="G68" t="s">
        <v>389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 t="b">
        <v>1</v>
      </c>
    </row>
    <row r="69" spans="1:22" x14ac:dyDescent="0.35">
      <c r="A69">
        <v>108470</v>
      </c>
      <c r="B69" t="s">
        <v>444</v>
      </c>
      <c r="C69" t="s">
        <v>446</v>
      </c>
      <c r="E69" t="s">
        <v>388</v>
      </c>
      <c r="G69" t="s">
        <v>389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 t="b">
        <v>1</v>
      </c>
    </row>
    <row r="70" spans="1:22" x14ac:dyDescent="0.35">
      <c r="A70">
        <v>103689</v>
      </c>
      <c r="B70" t="s">
        <v>447</v>
      </c>
      <c r="C70" t="s">
        <v>448</v>
      </c>
      <c r="E70" t="s">
        <v>388</v>
      </c>
      <c r="G70" t="s">
        <v>389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 t="b">
        <v>1</v>
      </c>
    </row>
    <row r="71" spans="1:22" x14ac:dyDescent="0.35">
      <c r="A71">
        <v>103689</v>
      </c>
      <c r="B71" t="s">
        <v>447</v>
      </c>
      <c r="C71" t="s">
        <v>449</v>
      </c>
      <c r="E71" t="s">
        <v>388</v>
      </c>
      <c r="G71" t="s">
        <v>389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 t="b">
        <v>1</v>
      </c>
    </row>
    <row r="72" spans="1:22" x14ac:dyDescent="0.35">
      <c r="A72">
        <v>109884</v>
      </c>
      <c r="B72" t="s">
        <v>450</v>
      </c>
      <c r="C72" t="s">
        <v>451</v>
      </c>
      <c r="E72" t="s">
        <v>388</v>
      </c>
      <c r="F72" t="s">
        <v>452</v>
      </c>
      <c r="G72" t="s">
        <v>389</v>
      </c>
      <c r="K72">
        <v>0</v>
      </c>
      <c r="L72">
        <v>0</v>
      </c>
      <c r="M72">
        <v>0</v>
      </c>
      <c r="N72">
        <v>0</v>
      </c>
      <c r="O72">
        <v>0</v>
      </c>
      <c r="P72">
        <v>174614</v>
      </c>
      <c r="Q72">
        <v>174614</v>
      </c>
      <c r="R72">
        <v>80923</v>
      </c>
      <c r="S72">
        <v>41057</v>
      </c>
      <c r="T72">
        <v>52634</v>
      </c>
      <c r="U72">
        <v>235611</v>
      </c>
      <c r="V72" t="b">
        <v>1</v>
      </c>
    </row>
    <row r="73" spans="1:22" x14ac:dyDescent="0.35">
      <c r="A73">
        <v>111244</v>
      </c>
      <c r="B73" t="s">
        <v>281</v>
      </c>
      <c r="C73" t="s">
        <v>453</v>
      </c>
      <c r="D73" t="s">
        <v>454</v>
      </c>
      <c r="E73" t="s">
        <v>388</v>
      </c>
      <c r="F73" t="s">
        <v>452</v>
      </c>
      <c r="G73" t="s">
        <v>389</v>
      </c>
      <c r="K73">
        <v>0</v>
      </c>
      <c r="L73">
        <v>0</v>
      </c>
      <c r="M73">
        <v>0</v>
      </c>
      <c r="N73">
        <v>0</v>
      </c>
      <c r="O73">
        <v>0</v>
      </c>
      <c r="P73">
        <v>53814</v>
      </c>
      <c r="Q73">
        <v>53814</v>
      </c>
      <c r="R73">
        <v>27706</v>
      </c>
      <c r="S73">
        <v>10593</v>
      </c>
      <c r="T73">
        <v>15515</v>
      </c>
      <c r="U73">
        <v>76163</v>
      </c>
      <c r="V73" t="b">
        <v>1</v>
      </c>
    </row>
    <row r="74" spans="1:22" x14ac:dyDescent="0.35">
      <c r="A74">
        <v>111244</v>
      </c>
      <c r="B74" t="s">
        <v>281</v>
      </c>
      <c r="C74" t="s">
        <v>300</v>
      </c>
      <c r="D74" t="s">
        <v>455</v>
      </c>
      <c r="E74" t="s">
        <v>388</v>
      </c>
      <c r="F74" t="s">
        <v>452</v>
      </c>
      <c r="G74" t="s">
        <v>389</v>
      </c>
      <c r="K74">
        <v>77.5</v>
      </c>
      <c r="L74">
        <v>2395</v>
      </c>
      <c r="M74">
        <v>1530</v>
      </c>
      <c r="N74">
        <v>725</v>
      </c>
      <c r="O74">
        <v>5840</v>
      </c>
      <c r="P74">
        <v>187226</v>
      </c>
      <c r="Q74">
        <v>187226</v>
      </c>
      <c r="R74">
        <v>98742</v>
      </c>
      <c r="S74">
        <v>40994</v>
      </c>
      <c r="T74">
        <v>47490</v>
      </c>
      <c r="U74">
        <v>250310</v>
      </c>
      <c r="V74" t="b">
        <v>1</v>
      </c>
    </row>
    <row r="75" spans="1:22" x14ac:dyDescent="0.35">
      <c r="A75">
        <v>111244</v>
      </c>
      <c r="B75" t="s">
        <v>281</v>
      </c>
      <c r="C75" t="s">
        <v>456</v>
      </c>
      <c r="E75" t="s">
        <v>388</v>
      </c>
      <c r="F75" t="s">
        <v>452</v>
      </c>
      <c r="G75" t="s">
        <v>389</v>
      </c>
      <c r="K75">
        <v>0</v>
      </c>
      <c r="L75">
        <v>0</v>
      </c>
      <c r="M75">
        <v>0</v>
      </c>
      <c r="N75">
        <v>0</v>
      </c>
      <c r="O75">
        <v>0</v>
      </c>
      <c r="P75">
        <v>104733</v>
      </c>
      <c r="Q75">
        <v>104733</v>
      </c>
      <c r="R75">
        <v>47250</v>
      </c>
      <c r="S75">
        <v>27520</v>
      </c>
      <c r="T75">
        <v>29963</v>
      </c>
      <c r="U75">
        <v>133279</v>
      </c>
      <c r="V75" t="b">
        <v>1</v>
      </c>
    </row>
    <row r="76" spans="1:22" x14ac:dyDescent="0.35">
      <c r="A76">
        <v>111244</v>
      </c>
      <c r="B76" t="s">
        <v>281</v>
      </c>
      <c r="C76" t="s">
        <v>457</v>
      </c>
      <c r="D76" t="s">
        <v>458</v>
      </c>
      <c r="E76" t="s">
        <v>388</v>
      </c>
      <c r="F76" t="s">
        <v>452</v>
      </c>
      <c r="G76" t="s">
        <v>389</v>
      </c>
      <c r="K76">
        <v>9.17</v>
      </c>
      <c r="L76">
        <v>315</v>
      </c>
      <c r="M76">
        <v>90</v>
      </c>
      <c r="N76">
        <v>145</v>
      </c>
      <c r="O76">
        <v>855</v>
      </c>
      <c r="P76">
        <v>51681</v>
      </c>
      <c r="Q76">
        <v>51681</v>
      </c>
      <c r="R76">
        <v>27744</v>
      </c>
      <c r="S76">
        <v>11635</v>
      </c>
      <c r="T76">
        <v>12302</v>
      </c>
      <c r="U76">
        <v>66885</v>
      </c>
      <c r="V76" t="b">
        <v>1</v>
      </c>
    </row>
    <row r="77" spans="1:22" x14ac:dyDescent="0.35">
      <c r="A77">
        <v>111244</v>
      </c>
      <c r="B77" t="s">
        <v>281</v>
      </c>
      <c r="C77" t="s">
        <v>278</v>
      </c>
      <c r="D77" t="s">
        <v>459</v>
      </c>
      <c r="E77" t="s">
        <v>388</v>
      </c>
      <c r="F77" t="s">
        <v>452</v>
      </c>
      <c r="G77" t="s">
        <v>389</v>
      </c>
      <c r="K77">
        <v>36.33</v>
      </c>
      <c r="L77">
        <v>1185</v>
      </c>
      <c r="M77">
        <v>585</v>
      </c>
      <c r="N77">
        <v>410</v>
      </c>
      <c r="O77">
        <v>3910</v>
      </c>
      <c r="P77">
        <v>61504</v>
      </c>
      <c r="Q77">
        <v>61504</v>
      </c>
      <c r="R77">
        <v>30043</v>
      </c>
      <c r="S77">
        <v>13556</v>
      </c>
      <c r="T77">
        <v>17905</v>
      </c>
      <c r="U77">
        <v>83525</v>
      </c>
      <c r="V77" t="b">
        <v>1</v>
      </c>
    </row>
    <row r="78" spans="1:22" x14ac:dyDescent="0.35">
      <c r="A78">
        <v>109500</v>
      </c>
      <c r="B78" t="s">
        <v>315</v>
      </c>
      <c r="C78" t="s">
        <v>460</v>
      </c>
      <c r="D78" t="s">
        <v>461</v>
      </c>
      <c r="E78" t="s">
        <v>388</v>
      </c>
      <c r="F78" t="s">
        <v>452</v>
      </c>
      <c r="G78" t="s">
        <v>389</v>
      </c>
      <c r="K78">
        <v>0</v>
      </c>
      <c r="L78">
        <v>0</v>
      </c>
      <c r="M78">
        <v>0</v>
      </c>
      <c r="N78">
        <v>0</v>
      </c>
      <c r="O78">
        <v>0</v>
      </c>
      <c r="P78">
        <v>87177</v>
      </c>
      <c r="Q78">
        <v>87177</v>
      </c>
      <c r="R78">
        <v>47508</v>
      </c>
      <c r="S78">
        <v>20533</v>
      </c>
      <c r="T78">
        <v>19136</v>
      </c>
      <c r="U78">
        <v>120605</v>
      </c>
      <c r="V78" t="b">
        <v>1</v>
      </c>
    </row>
    <row r="79" spans="1:22" x14ac:dyDescent="0.35">
      <c r="A79">
        <v>109500</v>
      </c>
      <c r="B79" t="s">
        <v>315</v>
      </c>
      <c r="C79" t="s">
        <v>462</v>
      </c>
      <c r="D79" t="s">
        <v>463</v>
      </c>
      <c r="E79" t="s">
        <v>388</v>
      </c>
      <c r="F79" t="s">
        <v>452</v>
      </c>
      <c r="G79" t="s">
        <v>389</v>
      </c>
      <c r="K79">
        <v>0</v>
      </c>
      <c r="L79">
        <v>0</v>
      </c>
      <c r="M79">
        <v>0</v>
      </c>
      <c r="N79">
        <v>0</v>
      </c>
      <c r="O79">
        <v>0</v>
      </c>
      <c r="P79">
        <v>78316</v>
      </c>
      <c r="Q79">
        <v>78316</v>
      </c>
      <c r="R79">
        <v>48164</v>
      </c>
      <c r="S79">
        <v>9654</v>
      </c>
      <c r="T79">
        <v>20498</v>
      </c>
      <c r="U79">
        <v>102355</v>
      </c>
      <c r="V79" t="b">
        <v>1</v>
      </c>
    </row>
    <row r="80" spans="1:22" x14ac:dyDescent="0.35">
      <c r="A80">
        <v>109500</v>
      </c>
      <c r="B80" t="s">
        <v>315</v>
      </c>
      <c r="C80" t="s">
        <v>335</v>
      </c>
      <c r="D80" t="s">
        <v>464</v>
      </c>
      <c r="E80" t="s">
        <v>388</v>
      </c>
      <c r="F80" t="s">
        <v>452</v>
      </c>
      <c r="G80" t="s">
        <v>389</v>
      </c>
      <c r="K80">
        <v>0</v>
      </c>
      <c r="L80">
        <v>0</v>
      </c>
      <c r="M80">
        <v>0</v>
      </c>
      <c r="N80">
        <v>0</v>
      </c>
      <c r="O80">
        <v>0</v>
      </c>
      <c r="P80">
        <v>31684</v>
      </c>
      <c r="Q80">
        <v>31684</v>
      </c>
      <c r="R80">
        <v>17424</v>
      </c>
      <c r="S80">
        <v>4755</v>
      </c>
      <c r="T80">
        <v>9505</v>
      </c>
      <c r="U80">
        <v>45233</v>
      </c>
      <c r="V80" t="b">
        <v>1</v>
      </c>
    </row>
    <row r="81" spans="1:22" x14ac:dyDescent="0.35">
      <c r="A81">
        <v>109500</v>
      </c>
      <c r="B81" t="s">
        <v>315</v>
      </c>
      <c r="C81" t="s">
        <v>309</v>
      </c>
      <c r="D81" t="s">
        <v>465</v>
      </c>
      <c r="E81" t="s">
        <v>388</v>
      </c>
      <c r="F81" t="s">
        <v>452</v>
      </c>
      <c r="G81" t="s">
        <v>389</v>
      </c>
      <c r="K81">
        <v>73.67</v>
      </c>
      <c r="L81">
        <v>1705</v>
      </c>
      <c r="M81">
        <v>2170</v>
      </c>
      <c r="N81">
        <v>545</v>
      </c>
      <c r="O81">
        <v>5335</v>
      </c>
      <c r="P81">
        <v>20440</v>
      </c>
      <c r="Q81">
        <v>20440</v>
      </c>
      <c r="R81">
        <v>8445</v>
      </c>
      <c r="S81">
        <v>7473</v>
      </c>
      <c r="T81">
        <v>4522</v>
      </c>
      <c r="U81">
        <v>28058</v>
      </c>
      <c r="V81" t="b">
        <v>1</v>
      </c>
    </row>
    <row r="82" spans="1:22" x14ac:dyDescent="0.35">
      <c r="A82">
        <v>109500</v>
      </c>
      <c r="B82" t="s">
        <v>315</v>
      </c>
      <c r="C82" t="s">
        <v>466</v>
      </c>
      <c r="D82" t="s">
        <v>467</v>
      </c>
      <c r="E82" t="s">
        <v>388</v>
      </c>
      <c r="F82" t="s">
        <v>452</v>
      </c>
      <c r="G82" t="s">
        <v>389</v>
      </c>
      <c r="K82">
        <v>0</v>
      </c>
      <c r="L82">
        <v>0</v>
      </c>
      <c r="M82">
        <v>0</v>
      </c>
      <c r="N82">
        <v>0</v>
      </c>
      <c r="O82">
        <v>0</v>
      </c>
      <c r="P82">
        <v>97254</v>
      </c>
      <c r="Q82">
        <v>97254</v>
      </c>
      <c r="R82">
        <v>53144</v>
      </c>
      <c r="S82">
        <v>21729</v>
      </c>
      <c r="T82">
        <v>22381</v>
      </c>
      <c r="U82">
        <v>123261</v>
      </c>
      <c r="V82" t="b">
        <v>1</v>
      </c>
    </row>
    <row r="83" spans="1:22" x14ac:dyDescent="0.35">
      <c r="A83">
        <v>109500</v>
      </c>
      <c r="B83" t="s">
        <v>315</v>
      </c>
      <c r="C83" t="s">
        <v>328</v>
      </c>
      <c r="E83" t="s">
        <v>388</v>
      </c>
      <c r="F83" t="s">
        <v>452</v>
      </c>
      <c r="G83" t="s">
        <v>389</v>
      </c>
      <c r="K83">
        <v>66.42</v>
      </c>
      <c r="L83">
        <v>2930</v>
      </c>
      <c r="M83">
        <v>765</v>
      </c>
      <c r="N83">
        <v>290</v>
      </c>
      <c r="O83">
        <v>5265</v>
      </c>
      <c r="P83">
        <v>249801</v>
      </c>
      <c r="Q83">
        <v>249801</v>
      </c>
      <c r="R83">
        <v>126015</v>
      </c>
      <c r="S83">
        <v>64287</v>
      </c>
      <c r="T83">
        <v>59499</v>
      </c>
      <c r="U83">
        <v>320709</v>
      </c>
      <c r="V83" t="b">
        <v>1</v>
      </c>
    </row>
    <row r="84" spans="1:22" x14ac:dyDescent="0.35">
      <c r="A84">
        <v>109500</v>
      </c>
      <c r="B84" t="s">
        <v>315</v>
      </c>
      <c r="C84" t="s">
        <v>468</v>
      </c>
      <c r="D84" t="s">
        <v>469</v>
      </c>
      <c r="E84" t="s">
        <v>388</v>
      </c>
      <c r="F84" t="s">
        <v>452</v>
      </c>
      <c r="G84" t="s">
        <v>389</v>
      </c>
      <c r="K84">
        <v>0</v>
      </c>
      <c r="L84">
        <v>0</v>
      </c>
      <c r="M84">
        <v>0</v>
      </c>
      <c r="N84">
        <v>0</v>
      </c>
      <c r="O84">
        <v>0</v>
      </c>
      <c r="P84">
        <v>12903</v>
      </c>
      <c r="Q84">
        <v>12903</v>
      </c>
      <c r="R84">
        <v>4948</v>
      </c>
      <c r="S84">
        <v>4582</v>
      </c>
      <c r="T84">
        <v>3373</v>
      </c>
      <c r="U84">
        <v>15920</v>
      </c>
      <c r="V84" t="b">
        <v>1</v>
      </c>
    </row>
    <row r="85" spans="1:22" x14ac:dyDescent="0.35">
      <c r="A85">
        <v>109500</v>
      </c>
      <c r="B85" t="s">
        <v>315</v>
      </c>
      <c r="C85" t="s">
        <v>470</v>
      </c>
      <c r="D85" t="s">
        <v>465</v>
      </c>
      <c r="E85" t="s">
        <v>388</v>
      </c>
      <c r="F85" t="s">
        <v>452</v>
      </c>
      <c r="G85" t="s">
        <v>389</v>
      </c>
      <c r="K85">
        <v>104.5</v>
      </c>
      <c r="L85">
        <v>4170</v>
      </c>
      <c r="M85">
        <v>0</v>
      </c>
      <c r="N85">
        <v>2100</v>
      </c>
      <c r="O85">
        <v>6270</v>
      </c>
      <c r="P85">
        <v>53567</v>
      </c>
      <c r="Q85">
        <v>53567</v>
      </c>
      <c r="R85">
        <v>29805</v>
      </c>
      <c r="S85">
        <v>8704</v>
      </c>
      <c r="T85">
        <v>15058</v>
      </c>
      <c r="U85">
        <v>73383</v>
      </c>
      <c r="V85" t="b">
        <v>1</v>
      </c>
    </row>
    <row r="86" spans="1:22" x14ac:dyDescent="0.35">
      <c r="A86">
        <v>109500</v>
      </c>
      <c r="B86" t="s">
        <v>315</v>
      </c>
      <c r="C86" t="s">
        <v>471</v>
      </c>
      <c r="D86" t="s">
        <v>467</v>
      </c>
      <c r="E86" t="s">
        <v>388</v>
      </c>
      <c r="F86" t="s">
        <v>452</v>
      </c>
      <c r="G86" t="s">
        <v>389</v>
      </c>
      <c r="K86">
        <v>0</v>
      </c>
      <c r="L86">
        <v>0</v>
      </c>
      <c r="M86">
        <v>0</v>
      </c>
      <c r="N86">
        <v>0</v>
      </c>
      <c r="O86">
        <v>0</v>
      </c>
      <c r="P86">
        <v>101068</v>
      </c>
      <c r="Q86">
        <v>101068</v>
      </c>
      <c r="R86">
        <v>47394</v>
      </c>
      <c r="S86">
        <v>28980</v>
      </c>
      <c r="T86">
        <v>24694</v>
      </c>
      <c r="U86">
        <v>124433</v>
      </c>
      <c r="V86" t="b">
        <v>1</v>
      </c>
    </row>
    <row r="87" spans="1:22" x14ac:dyDescent="0.35">
      <c r="A87">
        <v>109500</v>
      </c>
      <c r="B87" t="s">
        <v>315</v>
      </c>
      <c r="C87" t="s">
        <v>472</v>
      </c>
      <c r="D87" t="s">
        <v>464</v>
      </c>
      <c r="E87" t="s">
        <v>388</v>
      </c>
      <c r="F87" t="s">
        <v>452</v>
      </c>
      <c r="G87" t="s">
        <v>389</v>
      </c>
      <c r="K87">
        <v>44.92</v>
      </c>
      <c r="L87">
        <v>2157</v>
      </c>
      <c r="M87">
        <v>238</v>
      </c>
      <c r="N87">
        <v>300</v>
      </c>
      <c r="O87">
        <v>2860</v>
      </c>
      <c r="P87">
        <v>21314</v>
      </c>
      <c r="Q87">
        <v>21314</v>
      </c>
      <c r="R87">
        <v>10841</v>
      </c>
      <c r="S87">
        <v>6309</v>
      </c>
      <c r="T87">
        <v>4164</v>
      </c>
      <c r="U87">
        <v>24985</v>
      </c>
      <c r="V87" t="b">
        <v>1</v>
      </c>
    </row>
    <row r="88" spans="1:22" x14ac:dyDescent="0.35">
      <c r="A88">
        <v>109500</v>
      </c>
      <c r="B88" t="s">
        <v>315</v>
      </c>
      <c r="C88" t="s">
        <v>473</v>
      </c>
      <c r="D88" t="s">
        <v>474</v>
      </c>
      <c r="E88" t="s">
        <v>388</v>
      </c>
      <c r="F88" t="s">
        <v>452</v>
      </c>
      <c r="G88" t="s">
        <v>389</v>
      </c>
      <c r="K88">
        <v>0</v>
      </c>
      <c r="L88">
        <v>0</v>
      </c>
      <c r="M88">
        <v>0</v>
      </c>
      <c r="N88">
        <v>0</v>
      </c>
      <c r="O88">
        <v>0</v>
      </c>
      <c r="P88">
        <v>109319</v>
      </c>
      <c r="Q88">
        <v>109319</v>
      </c>
      <c r="R88">
        <v>54050</v>
      </c>
      <c r="S88">
        <v>27473</v>
      </c>
      <c r="T88">
        <v>27796</v>
      </c>
      <c r="U88">
        <v>142952</v>
      </c>
      <c r="V88" t="b">
        <v>1</v>
      </c>
    </row>
    <row r="89" spans="1:22" x14ac:dyDescent="0.35">
      <c r="A89">
        <v>100240</v>
      </c>
      <c r="B89" t="s">
        <v>357</v>
      </c>
      <c r="C89" t="s">
        <v>475</v>
      </c>
      <c r="E89" t="s">
        <v>388</v>
      </c>
      <c r="F89" t="s">
        <v>452</v>
      </c>
      <c r="G89" t="s">
        <v>389</v>
      </c>
      <c r="K89">
        <v>0</v>
      </c>
      <c r="L89">
        <v>0</v>
      </c>
      <c r="M89">
        <v>0</v>
      </c>
      <c r="N89">
        <v>0</v>
      </c>
      <c r="O89">
        <v>0</v>
      </c>
      <c r="P89">
        <v>44656</v>
      </c>
      <c r="Q89">
        <v>44656</v>
      </c>
      <c r="R89">
        <v>23736</v>
      </c>
      <c r="S89">
        <v>3620</v>
      </c>
      <c r="T89">
        <v>17300</v>
      </c>
      <c r="U89">
        <v>73409</v>
      </c>
      <c r="V89" t="b">
        <v>1</v>
      </c>
    </row>
    <row r="90" spans="1:22" x14ac:dyDescent="0.35">
      <c r="A90">
        <v>100240</v>
      </c>
      <c r="B90" t="s">
        <v>357</v>
      </c>
      <c r="C90" t="s">
        <v>344</v>
      </c>
      <c r="E90" t="s">
        <v>388</v>
      </c>
      <c r="F90" t="s">
        <v>452</v>
      </c>
      <c r="G90" t="s">
        <v>389</v>
      </c>
      <c r="K90">
        <v>14.25</v>
      </c>
      <c r="L90">
        <v>431</v>
      </c>
      <c r="M90">
        <v>43</v>
      </c>
      <c r="N90">
        <v>381</v>
      </c>
      <c r="O90">
        <v>1350</v>
      </c>
      <c r="P90">
        <v>122431</v>
      </c>
      <c r="Q90">
        <v>122431</v>
      </c>
      <c r="R90">
        <v>54210</v>
      </c>
      <c r="S90">
        <v>14699</v>
      </c>
      <c r="T90">
        <v>53522</v>
      </c>
      <c r="U90">
        <v>184402</v>
      </c>
      <c r="V90" t="b">
        <v>1</v>
      </c>
    </row>
    <row r="91" spans="1:22" x14ac:dyDescent="0.35">
      <c r="A91">
        <v>104508</v>
      </c>
      <c r="B91" t="s">
        <v>476</v>
      </c>
      <c r="C91">
        <v>1005</v>
      </c>
      <c r="E91" t="s">
        <v>424</v>
      </c>
      <c r="G91" t="s">
        <v>389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 t="b">
        <v>1</v>
      </c>
    </row>
    <row r="92" spans="1:22" x14ac:dyDescent="0.35">
      <c r="A92">
        <v>114412</v>
      </c>
      <c r="B92" t="s">
        <v>477</v>
      </c>
      <c r="C92" t="s">
        <v>478</v>
      </c>
      <c r="E92" t="s">
        <v>388</v>
      </c>
      <c r="G92" t="s">
        <v>389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25236</v>
      </c>
      <c r="S92">
        <v>15781</v>
      </c>
      <c r="T92">
        <v>24557</v>
      </c>
      <c r="U92">
        <v>93325</v>
      </c>
      <c r="V92" t="b">
        <v>1</v>
      </c>
    </row>
    <row r="93" spans="1:22" x14ac:dyDescent="0.35">
      <c r="A93">
        <v>114412</v>
      </c>
      <c r="B93" t="s">
        <v>477</v>
      </c>
      <c r="G93" t="s">
        <v>392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2" x14ac:dyDescent="0.35">
      <c r="A94">
        <v>114413</v>
      </c>
      <c r="B94" t="s">
        <v>479</v>
      </c>
      <c r="C94" t="s">
        <v>480</v>
      </c>
      <c r="E94" t="s">
        <v>388</v>
      </c>
      <c r="G94" t="s">
        <v>389</v>
      </c>
      <c r="K94">
        <v>0</v>
      </c>
      <c r="L94">
        <v>0</v>
      </c>
      <c r="M94">
        <v>0</v>
      </c>
      <c r="N94">
        <v>0</v>
      </c>
      <c r="O94">
        <v>0</v>
      </c>
      <c r="P94">
        <v>97625</v>
      </c>
      <c r="Q94">
        <v>97625</v>
      </c>
      <c r="R94">
        <v>55315</v>
      </c>
      <c r="S94">
        <v>20013</v>
      </c>
      <c r="T94">
        <v>22297</v>
      </c>
      <c r="U94">
        <v>135410</v>
      </c>
      <c r="V94" t="b">
        <v>1</v>
      </c>
    </row>
    <row r="95" spans="1:22" x14ac:dyDescent="0.35">
      <c r="A95">
        <v>114413</v>
      </c>
      <c r="B95" t="s">
        <v>479</v>
      </c>
      <c r="G95" t="s">
        <v>392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</row>
    <row r="96" spans="1:22" x14ac:dyDescent="0.35">
      <c r="A96">
        <v>104499</v>
      </c>
      <c r="B96" t="s">
        <v>285</v>
      </c>
      <c r="C96" t="s">
        <v>319</v>
      </c>
      <c r="E96" t="s">
        <v>388</v>
      </c>
      <c r="G96" t="s">
        <v>389</v>
      </c>
      <c r="K96">
        <v>118.58</v>
      </c>
      <c r="L96">
        <v>3862</v>
      </c>
      <c r="M96">
        <v>2408</v>
      </c>
      <c r="N96">
        <v>845</v>
      </c>
      <c r="O96">
        <v>8195</v>
      </c>
      <c r="P96">
        <v>217791</v>
      </c>
      <c r="Q96">
        <v>217791</v>
      </c>
      <c r="R96">
        <v>102427</v>
      </c>
      <c r="S96">
        <v>58994</v>
      </c>
      <c r="T96">
        <v>56370</v>
      </c>
      <c r="U96">
        <v>284428</v>
      </c>
      <c r="V96" t="b">
        <v>1</v>
      </c>
    </row>
    <row r="97" spans="1:22" x14ac:dyDescent="0.35">
      <c r="A97">
        <v>104499</v>
      </c>
      <c r="B97" t="s">
        <v>285</v>
      </c>
      <c r="C97" t="s">
        <v>481</v>
      </c>
      <c r="E97" t="s">
        <v>388</v>
      </c>
      <c r="G97" t="s">
        <v>389</v>
      </c>
      <c r="K97">
        <v>0</v>
      </c>
      <c r="L97">
        <v>0</v>
      </c>
      <c r="M97">
        <v>0</v>
      </c>
      <c r="N97">
        <v>0</v>
      </c>
      <c r="O97">
        <v>0</v>
      </c>
      <c r="P97">
        <v>32119</v>
      </c>
      <c r="Q97">
        <v>32119</v>
      </c>
      <c r="R97">
        <v>16501</v>
      </c>
      <c r="S97">
        <v>7865</v>
      </c>
      <c r="T97">
        <v>7753</v>
      </c>
      <c r="U97">
        <v>41069</v>
      </c>
      <c r="V97" t="b">
        <v>1</v>
      </c>
    </row>
    <row r="98" spans="1:22" x14ac:dyDescent="0.35">
      <c r="A98">
        <v>104499</v>
      </c>
      <c r="B98" t="s">
        <v>285</v>
      </c>
      <c r="C98" t="s">
        <v>331</v>
      </c>
      <c r="E98" t="s">
        <v>388</v>
      </c>
      <c r="G98" t="s">
        <v>389</v>
      </c>
      <c r="K98">
        <v>0</v>
      </c>
      <c r="L98">
        <v>0</v>
      </c>
      <c r="M98">
        <v>0</v>
      </c>
      <c r="N98">
        <v>0</v>
      </c>
      <c r="O98">
        <v>0</v>
      </c>
      <c r="P98">
        <v>61337</v>
      </c>
      <c r="Q98">
        <v>61337</v>
      </c>
      <c r="R98">
        <v>33212</v>
      </c>
      <c r="S98">
        <v>14814</v>
      </c>
      <c r="T98">
        <v>13311</v>
      </c>
      <c r="U98">
        <v>80066</v>
      </c>
      <c r="V98" t="b">
        <v>1</v>
      </c>
    </row>
    <row r="99" spans="1:22" x14ac:dyDescent="0.35">
      <c r="A99">
        <v>104499</v>
      </c>
      <c r="B99" t="s">
        <v>285</v>
      </c>
      <c r="C99" t="s">
        <v>333</v>
      </c>
      <c r="E99" t="s">
        <v>388</v>
      </c>
      <c r="G99" t="s">
        <v>389</v>
      </c>
      <c r="K99">
        <v>0</v>
      </c>
      <c r="L99">
        <v>0</v>
      </c>
      <c r="M99">
        <v>0</v>
      </c>
      <c r="N99">
        <v>0</v>
      </c>
      <c r="O99">
        <v>0</v>
      </c>
      <c r="P99">
        <v>53664</v>
      </c>
      <c r="Q99">
        <v>53664</v>
      </c>
      <c r="R99">
        <v>34448</v>
      </c>
      <c r="S99">
        <v>6234</v>
      </c>
      <c r="T99">
        <v>12982</v>
      </c>
      <c r="U99">
        <v>74205</v>
      </c>
      <c r="V99" t="b">
        <v>1</v>
      </c>
    </row>
    <row r="100" spans="1:22" x14ac:dyDescent="0.35">
      <c r="A100">
        <v>104499</v>
      </c>
      <c r="B100" t="s">
        <v>285</v>
      </c>
      <c r="C100" t="s">
        <v>482</v>
      </c>
      <c r="E100" t="s">
        <v>388</v>
      </c>
      <c r="G100" t="s">
        <v>389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22324</v>
      </c>
      <c r="Q100">
        <v>22324</v>
      </c>
      <c r="R100">
        <v>12573</v>
      </c>
      <c r="S100">
        <v>5415</v>
      </c>
      <c r="T100">
        <v>4336</v>
      </c>
      <c r="U100">
        <v>30220</v>
      </c>
      <c r="V100" t="b">
        <v>1</v>
      </c>
    </row>
    <row r="101" spans="1:22" x14ac:dyDescent="0.35">
      <c r="A101">
        <v>104499</v>
      </c>
      <c r="B101" t="s">
        <v>285</v>
      </c>
      <c r="G101" t="s">
        <v>392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</row>
    <row r="102" spans="1:22" x14ac:dyDescent="0.35">
      <c r="A102">
        <v>104499</v>
      </c>
      <c r="B102" t="s">
        <v>285</v>
      </c>
      <c r="G102" t="s">
        <v>392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</row>
    <row r="103" spans="1:22" x14ac:dyDescent="0.35">
      <c r="A103">
        <v>104499</v>
      </c>
      <c r="B103" t="s">
        <v>285</v>
      </c>
      <c r="C103" t="s">
        <v>483</v>
      </c>
      <c r="E103" t="s">
        <v>388</v>
      </c>
      <c r="G103" t="s">
        <v>389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137043</v>
      </c>
      <c r="Q103">
        <v>137043</v>
      </c>
      <c r="R103">
        <v>70955</v>
      </c>
      <c r="S103">
        <v>46948</v>
      </c>
      <c r="T103">
        <v>19140</v>
      </c>
      <c r="U103">
        <v>161863</v>
      </c>
      <c r="V103" t="b">
        <v>1</v>
      </c>
    </row>
    <row r="104" spans="1:22" x14ac:dyDescent="0.35">
      <c r="A104">
        <v>104499</v>
      </c>
      <c r="B104" t="s">
        <v>285</v>
      </c>
      <c r="C104" t="s">
        <v>484</v>
      </c>
      <c r="E104" t="s">
        <v>388</v>
      </c>
      <c r="G104" t="s">
        <v>389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119613</v>
      </c>
      <c r="Q104">
        <v>119613</v>
      </c>
      <c r="R104">
        <v>67196</v>
      </c>
      <c r="S104">
        <v>22384</v>
      </c>
      <c r="T104">
        <v>30033</v>
      </c>
      <c r="U104">
        <v>163692</v>
      </c>
      <c r="V104" t="b">
        <v>1</v>
      </c>
    </row>
    <row r="105" spans="1:22" x14ac:dyDescent="0.35">
      <c r="A105">
        <v>104499</v>
      </c>
      <c r="B105" t="s">
        <v>285</v>
      </c>
      <c r="C105" t="s">
        <v>284</v>
      </c>
      <c r="E105" t="s">
        <v>388</v>
      </c>
      <c r="G105" t="s">
        <v>389</v>
      </c>
      <c r="K105">
        <v>211.25</v>
      </c>
      <c r="L105">
        <v>6705</v>
      </c>
      <c r="M105">
        <v>3405</v>
      </c>
      <c r="N105">
        <v>2565</v>
      </c>
      <c r="O105">
        <v>17400</v>
      </c>
      <c r="P105">
        <v>12675</v>
      </c>
      <c r="Q105">
        <v>12675</v>
      </c>
      <c r="R105">
        <v>6705</v>
      </c>
      <c r="S105">
        <v>3405</v>
      </c>
      <c r="T105">
        <v>2565</v>
      </c>
      <c r="U105">
        <v>17400</v>
      </c>
      <c r="V105" t="b">
        <v>1</v>
      </c>
    </row>
    <row r="106" spans="1:22" x14ac:dyDescent="0.35">
      <c r="A106">
        <v>114706</v>
      </c>
      <c r="B106" t="s">
        <v>292</v>
      </c>
      <c r="C106">
        <v>59002</v>
      </c>
      <c r="D106" t="s">
        <v>485</v>
      </c>
      <c r="E106" t="s">
        <v>388</v>
      </c>
      <c r="G106" t="s">
        <v>389</v>
      </c>
      <c r="K106">
        <v>211.25</v>
      </c>
      <c r="L106">
        <v>6705</v>
      </c>
      <c r="M106">
        <v>3405</v>
      </c>
      <c r="N106">
        <v>2565</v>
      </c>
      <c r="O106">
        <v>17400</v>
      </c>
      <c r="P106">
        <v>17739</v>
      </c>
      <c r="Q106">
        <v>17739</v>
      </c>
      <c r="R106">
        <v>9274</v>
      </c>
      <c r="S106">
        <v>4894</v>
      </c>
      <c r="T106">
        <v>3571</v>
      </c>
      <c r="U106">
        <v>26085</v>
      </c>
      <c r="V106" t="b">
        <v>1</v>
      </c>
    </row>
    <row r="107" spans="1:22" x14ac:dyDescent="0.35">
      <c r="A107">
        <v>114706</v>
      </c>
      <c r="B107" t="s">
        <v>292</v>
      </c>
      <c r="C107" t="s">
        <v>486</v>
      </c>
      <c r="E107" t="s">
        <v>388</v>
      </c>
      <c r="G107" t="s">
        <v>389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122865</v>
      </c>
      <c r="Q107">
        <v>122865</v>
      </c>
      <c r="R107">
        <v>47935</v>
      </c>
      <c r="S107">
        <v>36585</v>
      </c>
      <c r="T107">
        <v>38345</v>
      </c>
      <c r="U107">
        <v>160708</v>
      </c>
      <c r="V107" t="b">
        <v>1</v>
      </c>
    </row>
    <row r="108" spans="1:22" x14ac:dyDescent="0.35">
      <c r="A108">
        <v>114706</v>
      </c>
      <c r="B108" t="s">
        <v>292</v>
      </c>
      <c r="C108">
        <v>59012</v>
      </c>
      <c r="D108" t="s">
        <v>485</v>
      </c>
      <c r="E108" t="s">
        <v>388</v>
      </c>
      <c r="G108" t="s">
        <v>389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13026</v>
      </c>
      <c r="Q108">
        <v>13026</v>
      </c>
      <c r="R108">
        <v>6469</v>
      </c>
      <c r="S108">
        <v>2733</v>
      </c>
      <c r="T108">
        <v>3824</v>
      </c>
      <c r="U108">
        <v>18090</v>
      </c>
      <c r="V108" t="b">
        <v>1</v>
      </c>
    </row>
    <row r="109" spans="1:22" x14ac:dyDescent="0.35">
      <c r="A109">
        <v>114706</v>
      </c>
      <c r="B109" t="s">
        <v>292</v>
      </c>
      <c r="C109" t="s">
        <v>487</v>
      </c>
      <c r="E109" t="s">
        <v>388</v>
      </c>
      <c r="G109" t="s">
        <v>389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104072</v>
      </c>
      <c r="Q109">
        <v>104072</v>
      </c>
      <c r="R109">
        <v>38189</v>
      </c>
      <c r="S109">
        <v>24415</v>
      </c>
      <c r="T109">
        <v>41468</v>
      </c>
      <c r="U109">
        <v>144238</v>
      </c>
      <c r="V109" t="b">
        <v>1</v>
      </c>
    </row>
    <row r="110" spans="1:22" x14ac:dyDescent="0.35">
      <c r="A110">
        <v>114706</v>
      </c>
      <c r="B110" t="s">
        <v>292</v>
      </c>
      <c r="C110">
        <v>59009</v>
      </c>
      <c r="E110" t="s">
        <v>388</v>
      </c>
      <c r="G110" t="s">
        <v>389</v>
      </c>
      <c r="K110">
        <v>211.25</v>
      </c>
      <c r="L110">
        <v>6705</v>
      </c>
      <c r="M110">
        <v>3405</v>
      </c>
      <c r="N110">
        <v>2565</v>
      </c>
      <c r="O110">
        <v>17400</v>
      </c>
      <c r="P110">
        <v>41239</v>
      </c>
      <c r="Q110">
        <v>41239</v>
      </c>
      <c r="R110">
        <v>18983</v>
      </c>
      <c r="S110">
        <v>13485</v>
      </c>
      <c r="T110">
        <v>8771</v>
      </c>
      <c r="U110">
        <v>52350</v>
      </c>
      <c r="V110" t="b">
        <v>1</v>
      </c>
    </row>
    <row r="111" spans="1:22" x14ac:dyDescent="0.35">
      <c r="A111">
        <v>114707</v>
      </c>
      <c r="B111" t="s">
        <v>313</v>
      </c>
      <c r="C111" t="s">
        <v>488</v>
      </c>
      <c r="E111" t="s">
        <v>388</v>
      </c>
      <c r="G111" t="s">
        <v>389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28200</v>
      </c>
      <c r="Q111">
        <v>28200</v>
      </c>
      <c r="R111">
        <v>16837</v>
      </c>
      <c r="S111">
        <v>7455</v>
      </c>
      <c r="T111">
        <v>3908</v>
      </c>
      <c r="U111">
        <v>33780</v>
      </c>
      <c r="V111" t="b">
        <v>1</v>
      </c>
    </row>
    <row r="112" spans="1:22" x14ac:dyDescent="0.35">
      <c r="A112">
        <v>114707</v>
      </c>
      <c r="B112" t="s">
        <v>313</v>
      </c>
      <c r="C112" t="s">
        <v>320</v>
      </c>
      <c r="E112" t="s">
        <v>388</v>
      </c>
      <c r="G112" t="s">
        <v>389</v>
      </c>
      <c r="K112">
        <v>216.42</v>
      </c>
      <c r="L112">
        <v>8142</v>
      </c>
      <c r="M112">
        <v>3263</v>
      </c>
      <c r="N112">
        <v>1580</v>
      </c>
      <c r="O112">
        <v>15920</v>
      </c>
      <c r="P112">
        <v>41048</v>
      </c>
      <c r="Q112">
        <v>41048</v>
      </c>
      <c r="R112">
        <v>18283</v>
      </c>
      <c r="S112">
        <v>13600</v>
      </c>
      <c r="T112">
        <v>9165</v>
      </c>
      <c r="U112">
        <v>53605</v>
      </c>
      <c r="V112" t="b">
        <v>1</v>
      </c>
    </row>
    <row r="113" spans="1:22" x14ac:dyDescent="0.35">
      <c r="A113">
        <v>114707</v>
      </c>
      <c r="B113" t="s">
        <v>313</v>
      </c>
      <c r="G113" t="s">
        <v>392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2" x14ac:dyDescent="0.35">
      <c r="A114">
        <v>114707</v>
      </c>
      <c r="B114" t="s">
        <v>313</v>
      </c>
      <c r="C114" t="s">
        <v>489</v>
      </c>
      <c r="E114" t="s">
        <v>388</v>
      </c>
      <c r="G114" t="s">
        <v>389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62658</v>
      </c>
      <c r="Q114">
        <v>62658</v>
      </c>
      <c r="R114">
        <v>30007</v>
      </c>
      <c r="S114">
        <v>23117</v>
      </c>
      <c r="T114">
        <v>9534</v>
      </c>
      <c r="U114">
        <v>74522</v>
      </c>
      <c r="V114" t="b">
        <v>1</v>
      </c>
    </row>
    <row r="115" spans="1:22" x14ac:dyDescent="0.35">
      <c r="A115">
        <v>114707</v>
      </c>
      <c r="B115" t="s">
        <v>313</v>
      </c>
      <c r="C115" t="s">
        <v>490</v>
      </c>
      <c r="E115" t="s">
        <v>388</v>
      </c>
      <c r="G115" t="s">
        <v>389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110590</v>
      </c>
      <c r="Q115">
        <v>110590</v>
      </c>
      <c r="R115">
        <v>54263</v>
      </c>
      <c r="S115">
        <v>31611</v>
      </c>
      <c r="T115">
        <v>24716</v>
      </c>
      <c r="U115">
        <v>140386</v>
      </c>
      <c r="V115" t="b">
        <v>1</v>
      </c>
    </row>
    <row r="116" spans="1:22" x14ac:dyDescent="0.35">
      <c r="A116">
        <v>114707</v>
      </c>
      <c r="B116" t="s">
        <v>313</v>
      </c>
      <c r="C116" t="s">
        <v>491</v>
      </c>
      <c r="E116" t="s">
        <v>388</v>
      </c>
      <c r="G116" t="s">
        <v>389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40505</v>
      </c>
      <c r="Q116">
        <v>40505</v>
      </c>
      <c r="R116">
        <v>18595</v>
      </c>
      <c r="S116">
        <v>14003</v>
      </c>
      <c r="T116">
        <v>7907</v>
      </c>
      <c r="U116">
        <v>50818</v>
      </c>
      <c r="V116" t="b">
        <v>1</v>
      </c>
    </row>
    <row r="117" spans="1:22" x14ac:dyDescent="0.35">
      <c r="A117">
        <v>114707</v>
      </c>
      <c r="B117" t="s">
        <v>313</v>
      </c>
      <c r="G117" t="s">
        <v>392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2" x14ac:dyDescent="0.35">
      <c r="A118">
        <v>114707</v>
      </c>
      <c r="B118" t="s">
        <v>313</v>
      </c>
      <c r="C118" t="s">
        <v>312</v>
      </c>
      <c r="E118" t="s">
        <v>388</v>
      </c>
      <c r="G118" t="s">
        <v>389</v>
      </c>
      <c r="K118">
        <v>216.42</v>
      </c>
      <c r="L118">
        <v>8142</v>
      </c>
      <c r="M118">
        <v>3263</v>
      </c>
      <c r="N118">
        <v>1580</v>
      </c>
      <c r="O118">
        <v>15920</v>
      </c>
      <c r="P118">
        <v>294230</v>
      </c>
      <c r="Q118">
        <v>294230</v>
      </c>
      <c r="R118">
        <v>146657</v>
      </c>
      <c r="S118">
        <v>87166</v>
      </c>
      <c r="T118">
        <v>60407</v>
      </c>
      <c r="U118">
        <v>384127</v>
      </c>
      <c r="V118" t="b">
        <v>1</v>
      </c>
    </row>
    <row r="119" spans="1:22" x14ac:dyDescent="0.35">
      <c r="A119">
        <v>104580</v>
      </c>
      <c r="B119" t="s">
        <v>492</v>
      </c>
      <c r="C119" t="s">
        <v>493</v>
      </c>
      <c r="E119" t="s">
        <v>388</v>
      </c>
      <c r="G119" t="s">
        <v>389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 t="b">
        <v>1</v>
      </c>
    </row>
    <row r="120" spans="1:22" x14ac:dyDescent="0.35">
      <c r="A120">
        <v>104580</v>
      </c>
      <c r="B120" t="s">
        <v>492</v>
      </c>
      <c r="C120" t="s">
        <v>494</v>
      </c>
      <c r="E120" t="s">
        <v>388</v>
      </c>
      <c r="G120" t="s">
        <v>389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 t="b">
        <v>1</v>
      </c>
    </row>
    <row r="121" spans="1:22" x14ac:dyDescent="0.35">
      <c r="A121">
        <v>104747</v>
      </c>
      <c r="B121" t="s">
        <v>495</v>
      </c>
      <c r="C121" t="s">
        <v>496</v>
      </c>
      <c r="E121" t="s">
        <v>388</v>
      </c>
      <c r="G121" t="s">
        <v>389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200909</v>
      </c>
      <c r="Q121">
        <v>200909</v>
      </c>
      <c r="R121">
        <v>85217</v>
      </c>
      <c r="S121">
        <v>68906</v>
      </c>
      <c r="T121">
        <v>46786</v>
      </c>
      <c r="U121">
        <v>265226</v>
      </c>
      <c r="V121" t="b">
        <v>1</v>
      </c>
    </row>
    <row r="122" spans="1:22" x14ac:dyDescent="0.35">
      <c r="A122">
        <v>114718</v>
      </c>
      <c r="B122" t="s">
        <v>293</v>
      </c>
      <c r="C122">
        <v>58976</v>
      </c>
      <c r="D122" t="s">
        <v>485</v>
      </c>
      <c r="E122" t="s">
        <v>388</v>
      </c>
      <c r="G122" t="s">
        <v>389</v>
      </c>
      <c r="K122">
        <v>211.25</v>
      </c>
      <c r="L122">
        <v>6705</v>
      </c>
      <c r="M122">
        <v>3405</v>
      </c>
      <c r="N122">
        <v>2565</v>
      </c>
      <c r="O122">
        <v>17400</v>
      </c>
      <c r="P122">
        <v>12675</v>
      </c>
      <c r="Q122">
        <v>12675</v>
      </c>
      <c r="R122">
        <v>6705</v>
      </c>
      <c r="S122">
        <v>3405</v>
      </c>
      <c r="T122">
        <v>2565</v>
      </c>
      <c r="U122">
        <v>17400</v>
      </c>
      <c r="V122" t="b">
        <v>1</v>
      </c>
    </row>
    <row r="123" spans="1:22" x14ac:dyDescent="0.35">
      <c r="A123">
        <v>114718</v>
      </c>
      <c r="B123" t="s">
        <v>293</v>
      </c>
      <c r="C123">
        <v>58982</v>
      </c>
      <c r="D123" t="s">
        <v>485</v>
      </c>
      <c r="E123" t="s">
        <v>388</v>
      </c>
      <c r="G123" t="s">
        <v>389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 t="b">
        <v>1</v>
      </c>
    </row>
    <row r="124" spans="1:22" x14ac:dyDescent="0.35">
      <c r="A124">
        <v>114719</v>
      </c>
      <c r="B124" t="s">
        <v>326</v>
      </c>
      <c r="C124">
        <v>59359</v>
      </c>
      <c r="E124" t="s">
        <v>388</v>
      </c>
      <c r="G124" t="s">
        <v>389</v>
      </c>
      <c r="K124">
        <v>118.58</v>
      </c>
      <c r="L124">
        <v>3862</v>
      </c>
      <c r="M124">
        <v>2408</v>
      </c>
      <c r="N124">
        <v>845</v>
      </c>
      <c r="O124">
        <v>8195</v>
      </c>
      <c r="P124">
        <v>7115</v>
      </c>
      <c r="Q124">
        <v>7115</v>
      </c>
      <c r="R124">
        <v>3862</v>
      </c>
      <c r="S124">
        <v>2408</v>
      </c>
      <c r="T124">
        <v>845</v>
      </c>
      <c r="U124">
        <v>8195</v>
      </c>
      <c r="V124" t="b">
        <v>1</v>
      </c>
    </row>
    <row r="125" spans="1:22" x14ac:dyDescent="0.35">
      <c r="A125">
        <v>114719</v>
      </c>
      <c r="B125" t="s">
        <v>326</v>
      </c>
      <c r="C125">
        <v>59357</v>
      </c>
      <c r="E125" t="s">
        <v>388</v>
      </c>
      <c r="G125" t="s">
        <v>389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17280</v>
      </c>
      <c r="Q125">
        <v>17280</v>
      </c>
      <c r="R125">
        <v>11462</v>
      </c>
      <c r="S125">
        <v>3170</v>
      </c>
      <c r="T125">
        <v>2648</v>
      </c>
      <c r="U125">
        <v>22575</v>
      </c>
      <c r="V125" t="b">
        <v>1</v>
      </c>
    </row>
    <row r="126" spans="1:22" x14ac:dyDescent="0.35">
      <c r="A126">
        <v>114721</v>
      </c>
      <c r="B126" t="s">
        <v>359</v>
      </c>
      <c r="C126" t="s">
        <v>358</v>
      </c>
      <c r="E126" t="s">
        <v>388</v>
      </c>
      <c r="G126" t="s">
        <v>389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16216</v>
      </c>
      <c r="Q126">
        <v>16216</v>
      </c>
      <c r="R126">
        <v>7934</v>
      </c>
      <c r="S126">
        <v>1272</v>
      </c>
      <c r="T126">
        <v>7010</v>
      </c>
      <c r="U126">
        <v>33145</v>
      </c>
      <c r="V126" t="b">
        <v>1</v>
      </c>
    </row>
    <row r="127" spans="1:22" x14ac:dyDescent="0.35">
      <c r="A127">
        <v>114721</v>
      </c>
      <c r="B127" t="s">
        <v>359</v>
      </c>
      <c r="C127" t="s">
        <v>497</v>
      </c>
      <c r="E127" t="s">
        <v>388</v>
      </c>
      <c r="G127" t="s">
        <v>389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 t="b">
        <v>1</v>
      </c>
    </row>
    <row r="128" spans="1:22" x14ac:dyDescent="0.35">
      <c r="A128">
        <v>104488</v>
      </c>
      <c r="B128" t="s">
        <v>291</v>
      </c>
      <c r="C128" t="s">
        <v>498</v>
      </c>
      <c r="E128" t="s">
        <v>388</v>
      </c>
      <c r="G128" t="s">
        <v>389</v>
      </c>
      <c r="K128">
        <v>294.39999999999998</v>
      </c>
      <c r="L128">
        <v>9844</v>
      </c>
      <c r="M128">
        <v>4534</v>
      </c>
      <c r="N128">
        <v>3286</v>
      </c>
      <c r="O128">
        <v>23710</v>
      </c>
      <c r="P128">
        <v>17664</v>
      </c>
      <c r="Q128">
        <v>17664</v>
      </c>
      <c r="R128">
        <v>9844</v>
      </c>
      <c r="S128">
        <v>4534</v>
      </c>
      <c r="T128">
        <v>3286</v>
      </c>
      <c r="U128">
        <v>23710</v>
      </c>
      <c r="V128" t="b">
        <v>1</v>
      </c>
    </row>
    <row r="129" spans="1:22" x14ac:dyDescent="0.35">
      <c r="A129">
        <v>104488</v>
      </c>
      <c r="B129" t="s">
        <v>291</v>
      </c>
      <c r="C129" t="s">
        <v>290</v>
      </c>
      <c r="E129" t="s">
        <v>388</v>
      </c>
      <c r="G129" t="s">
        <v>389</v>
      </c>
      <c r="K129">
        <v>211.25</v>
      </c>
      <c r="L129">
        <v>6705</v>
      </c>
      <c r="M129">
        <v>3405</v>
      </c>
      <c r="N129">
        <v>2565</v>
      </c>
      <c r="O129">
        <v>17400</v>
      </c>
      <c r="P129">
        <v>32540</v>
      </c>
      <c r="Q129">
        <v>32540</v>
      </c>
      <c r="R129">
        <v>14851</v>
      </c>
      <c r="S129">
        <v>8821</v>
      </c>
      <c r="T129">
        <v>8868</v>
      </c>
      <c r="U129">
        <v>44190</v>
      </c>
      <c r="V129" t="b">
        <v>1</v>
      </c>
    </row>
    <row r="130" spans="1:22" x14ac:dyDescent="0.35">
      <c r="A130">
        <v>103586</v>
      </c>
      <c r="B130" t="s">
        <v>354</v>
      </c>
      <c r="C130" t="s">
        <v>353</v>
      </c>
      <c r="E130" t="s">
        <v>388</v>
      </c>
      <c r="G130" t="s">
        <v>389</v>
      </c>
      <c r="K130">
        <v>39.32</v>
      </c>
      <c r="L130">
        <v>1388</v>
      </c>
      <c r="M130">
        <v>373</v>
      </c>
      <c r="N130">
        <v>598</v>
      </c>
      <c r="O130">
        <v>5145</v>
      </c>
      <c r="P130">
        <v>165183</v>
      </c>
      <c r="Q130">
        <v>165183</v>
      </c>
      <c r="R130">
        <v>81209</v>
      </c>
      <c r="S130">
        <v>25279</v>
      </c>
      <c r="T130">
        <v>58695</v>
      </c>
      <c r="U130">
        <v>257705</v>
      </c>
      <c r="V130" t="b">
        <v>1</v>
      </c>
    </row>
    <row r="131" spans="1:22" x14ac:dyDescent="0.35">
      <c r="A131">
        <v>103586</v>
      </c>
      <c r="B131" t="s">
        <v>354</v>
      </c>
      <c r="C131" t="s">
        <v>499</v>
      </c>
      <c r="E131" t="s">
        <v>388</v>
      </c>
      <c r="G131" t="s">
        <v>389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1260</v>
      </c>
      <c r="Q131">
        <v>1260</v>
      </c>
      <c r="R131">
        <v>62636</v>
      </c>
      <c r="S131">
        <v>15919</v>
      </c>
      <c r="T131">
        <v>42239</v>
      </c>
      <c r="U131">
        <v>194220</v>
      </c>
      <c r="V131" t="b">
        <v>1</v>
      </c>
    </row>
    <row r="132" spans="1:22" x14ac:dyDescent="0.35">
      <c r="A132">
        <v>105739</v>
      </c>
      <c r="B132" t="s">
        <v>500</v>
      </c>
      <c r="C132" t="s">
        <v>501</v>
      </c>
      <c r="E132" t="s">
        <v>424</v>
      </c>
      <c r="G132" t="s">
        <v>389</v>
      </c>
      <c r="K132">
        <v>197.75</v>
      </c>
      <c r="L132">
        <v>9223</v>
      </c>
      <c r="M132">
        <v>0</v>
      </c>
      <c r="N132">
        <v>2642</v>
      </c>
      <c r="O132">
        <v>14405</v>
      </c>
      <c r="P132">
        <v>91873</v>
      </c>
      <c r="Q132">
        <v>91873</v>
      </c>
      <c r="R132">
        <v>45630</v>
      </c>
      <c r="S132">
        <v>23009</v>
      </c>
      <c r="T132">
        <v>23234</v>
      </c>
      <c r="U132">
        <v>116680</v>
      </c>
      <c r="V132" t="b">
        <v>1</v>
      </c>
    </row>
    <row r="133" spans="1:22" x14ac:dyDescent="0.35">
      <c r="A133">
        <v>105739</v>
      </c>
      <c r="B133" t="s">
        <v>500</v>
      </c>
      <c r="C133" t="s">
        <v>502</v>
      </c>
      <c r="E133" t="s">
        <v>424</v>
      </c>
      <c r="G133" t="s">
        <v>389</v>
      </c>
      <c r="K133">
        <v>154.75</v>
      </c>
      <c r="L133">
        <v>4336</v>
      </c>
      <c r="M133">
        <v>2232</v>
      </c>
      <c r="N133">
        <v>2717</v>
      </c>
      <c r="O133">
        <v>12610</v>
      </c>
      <c r="P133">
        <v>93625</v>
      </c>
      <c r="Q133">
        <v>93625</v>
      </c>
      <c r="R133">
        <v>37958</v>
      </c>
      <c r="S133">
        <v>23086</v>
      </c>
      <c r="T133">
        <v>32581</v>
      </c>
      <c r="U133">
        <v>124530</v>
      </c>
      <c r="V133" t="b">
        <v>1</v>
      </c>
    </row>
    <row r="134" spans="1:22" x14ac:dyDescent="0.35">
      <c r="A134">
        <v>105935</v>
      </c>
      <c r="B134" t="s">
        <v>289</v>
      </c>
      <c r="C134" t="s">
        <v>301</v>
      </c>
      <c r="D134" t="s">
        <v>503</v>
      </c>
      <c r="E134" t="s">
        <v>424</v>
      </c>
      <c r="G134" t="s">
        <v>389</v>
      </c>
      <c r="K134">
        <v>143.91999999999999</v>
      </c>
      <c r="L134">
        <v>5325</v>
      </c>
      <c r="M134">
        <v>2295</v>
      </c>
      <c r="N134">
        <v>1015</v>
      </c>
      <c r="O134">
        <v>11105</v>
      </c>
      <c r="P134">
        <v>320233</v>
      </c>
      <c r="Q134">
        <v>320233</v>
      </c>
      <c r="R134">
        <v>153390</v>
      </c>
      <c r="S134">
        <v>81652</v>
      </c>
      <c r="T134">
        <v>85191</v>
      </c>
      <c r="U134">
        <v>435705</v>
      </c>
      <c r="V134" t="b">
        <v>1</v>
      </c>
    </row>
    <row r="135" spans="1:22" x14ac:dyDescent="0.35">
      <c r="A135">
        <v>105935</v>
      </c>
      <c r="B135" t="s">
        <v>289</v>
      </c>
      <c r="C135" t="s">
        <v>360</v>
      </c>
      <c r="D135" t="s">
        <v>504</v>
      </c>
      <c r="E135" t="s">
        <v>424</v>
      </c>
      <c r="G135" t="s">
        <v>389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139196</v>
      </c>
      <c r="Q135">
        <v>139196</v>
      </c>
      <c r="R135">
        <v>66167</v>
      </c>
      <c r="S135">
        <v>36922</v>
      </c>
      <c r="T135">
        <v>36107</v>
      </c>
      <c r="U135">
        <v>198121</v>
      </c>
      <c r="V135" t="b">
        <v>1</v>
      </c>
    </row>
    <row r="136" spans="1:22" x14ac:dyDescent="0.35">
      <c r="A136">
        <v>105935</v>
      </c>
      <c r="B136" t="s">
        <v>289</v>
      </c>
      <c r="C136" t="s">
        <v>341</v>
      </c>
      <c r="E136" t="s">
        <v>424</v>
      </c>
      <c r="G136" t="s">
        <v>389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138686</v>
      </c>
      <c r="Q136">
        <v>138686</v>
      </c>
      <c r="R136">
        <v>63504</v>
      </c>
      <c r="S136">
        <v>26421</v>
      </c>
      <c r="T136">
        <v>48761</v>
      </c>
      <c r="U136">
        <v>201781</v>
      </c>
      <c r="V136" t="b">
        <v>1</v>
      </c>
    </row>
    <row r="137" spans="1:22" x14ac:dyDescent="0.35">
      <c r="A137">
        <v>105935</v>
      </c>
      <c r="B137" t="s">
        <v>289</v>
      </c>
      <c r="C137" t="s">
        <v>318</v>
      </c>
      <c r="D137" t="s">
        <v>505</v>
      </c>
      <c r="E137" t="s">
        <v>424</v>
      </c>
      <c r="G137" t="s">
        <v>389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256627</v>
      </c>
      <c r="Q137">
        <v>256627</v>
      </c>
      <c r="R137">
        <v>126020</v>
      </c>
      <c r="S137">
        <v>56060</v>
      </c>
      <c r="T137">
        <v>74547</v>
      </c>
      <c r="U137">
        <v>341381</v>
      </c>
      <c r="V137" t="b">
        <v>1</v>
      </c>
    </row>
    <row r="138" spans="1:22" x14ac:dyDescent="0.35">
      <c r="A138">
        <v>105935</v>
      </c>
      <c r="B138" t="s">
        <v>289</v>
      </c>
      <c r="C138" t="s">
        <v>506</v>
      </c>
      <c r="D138" t="s">
        <v>505</v>
      </c>
      <c r="E138" t="s">
        <v>424</v>
      </c>
      <c r="G138" t="s">
        <v>389</v>
      </c>
      <c r="K138">
        <v>42.92</v>
      </c>
      <c r="L138">
        <v>1210</v>
      </c>
      <c r="M138">
        <v>870</v>
      </c>
      <c r="N138">
        <v>495</v>
      </c>
      <c r="O138">
        <v>2995</v>
      </c>
      <c r="P138">
        <v>101414</v>
      </c>
      <c r="Q138">
        <v>101414</v>
      </c>
      <c r="R138">
        <v>51792</v>
      </c>
      <c r="S138">
        <v>24027</v>
      </c>
      <c r="T138">
        <v>25595</v>
      </c>
      <c r="U138">
        <v>139373</v>
      </c>
      <c r="V138" t="b">
        <v>1</v>
      </c>
    </row>
    <row r="139" spans="1:22" x14ac:dyDescent="0.35">
      <c r="A139">
        <v>105935</v>
      </c>
      <c r="B139" t="s">
        <v>289</v>
      </c>
      <c r="C139" t="s">
        <v>288</v>
      </c>
      <c r="E139" t="s">
        <v>424</v>
      </c>
      <c r="G139" t="s">
        <v>389</v>
      </c>
      <c r="K139">
        <v>36.33</v>
      </c>
      <c r="L139">
        <v>1185</v>
      </c>
      <c r="M139">
        <v>585</v>
      </c>
      <c r="N139">
        <v>410</v>
      </c>
      <c r="O139">
        <v>3910</v>
      </c>
      <c r="P139">
        <v>380288</v>
      </c>
      <c r="Q139">
        <v>380288</v>
      </c>
      <c r="R139">
        <v>189542</v>
      </c>
      <c r="S139">
        <v>95269</v>
      </c>
      <c r="T139">
        <v>95477</v>
      </c>
      <c r="U139">
        <v>515970</v>
      </c>
      <c r="V139" t="b">
        <v>1</v>
      </c>
    </row>
    <row r="140" spans="1:22" x14ac:dyDescent="0.35">
      <c r="A140">
        <v>105935</v>
      </c>
      <c r="B140" t="s">
        <v>289</v>
      </c>
      <c r="C140" t="s">
        <v>507</v>
      </c>
      <c r="D140" t="s">
        <v>505</v>
      </c>
      <c r="E140" t="s">
        <v>424</v>
      </c>
      <c r="G140" t="s">
        <v>389</v>
      </c>
      <c r="K140">
        <v>44.92</v>
      </c>
      <c r="L140">
        <v>2157</v>
      </c>
      <c r="M140">
        <v>238</v>
      </c>
      <c r="N140">
        <v>300</v>
      </c>
      <c r="O140">
        <v>2860</v>
      </c>
      <c r="P140">
        <v>253582</v>
      </c>
      <c r="Q140">
        <v>253582</v>
      </c>
      <c r="R140">
        <v>128845</v>
      </c>
      <c r="S140">
        <v>63384</v>
      </c>
      <c r="T140">
        <v>61353</v>
      </c>
      <c r="U140">
        <v>343254</v>
      </c>
      <c r="V140" t="b">
        <v>1</v>
      </c>
    </row>
    <row r="141" spans="1:22" x14ac:dyDescent="0.35">
      <c r="A141">
        <v>115259</v>
      </c>
      <c r="B141" t="s">
        <v>508</v>
      </c>
      <c r="C141" t="s">
        <v>509</v>
      </c>
      <c r="E141" t="s">
        <v>424</v>
      </c>
      <c r="G141" t="s">
        <v>389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 t="b">
        <v>1</v>
      </c>
    </row>
    <row r="142" spans="1:22" x14ac:dyDescent="0.35">
      <c r="A142">
        <v>108994</v>
      </c>
      <c r="B142" t="s">
        <v>510</v>
      </c>
      <c r="C142" t="s">
        <v>511</v>
      </c>
      <c r="E142" t="s">
        <v>424</v>
      </c>
      <c r="G142" t="s">
        <v>389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 t="b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2BC63-FD14-49AA-ADB3-FC8FA435918D}">
  <sheetPr codeName="Sheet8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C70DE-9D69-4C01-9FB9-F27C494E8910}">
  <sheetPr codeName="Sheet9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Setup</vt:lpstr>
      <vt:lpstr>BMH_Slidesheet</vt:lpstr>
      <vt:lpstr>RSS_Slidesheet</vt:lpstr>
      <vt:lpstr>Setup!OC_CrewBot</vt:lpstr>
      <vt:lpstr>Setup!OC_CrewTop</vt:lpstr>
      <vt:lpstr>Setup!OC_ImpAcRow</vt:lpstr>
      <vt:lpstr>Setup!OC_ImpPlanRow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bruno.brottes@gmail.com</dc:creator>
  <cp:lastModifiedBy>bruno.brottes@gmail.com</cp:lastModifiedBy>
  <dcterms:created xsi:type="dcterms:W3CDTF">2026-05-12T03:43:32Z</dcterms:created>
  <dcterms:modified xsi:type="dcterms:W3CDTF">2026-05-26T08:47:24Z</dcterms:modified>
</cp:coreProperties>
</file>