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37F91D34-272F-4D07-B5E5-F90FB46B7E10}" xr6:coauthVersionLast="47" xr6:coauthVersionMax="47" xr10:uidLastSave="{00000000-0000-0000-0000-000000000000}"/>
  <bookViews>
    <workbookView xWindow="-108" yWindow="-108" windowWidth="30936" windowHeight="18696" tabRatio="775" firstSheet="2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05" i="8" l="1"/>
  <c r="X304" i="8"/>
  <c r="X303" i="8"/>
  <c r="X302" i="8"/>
  <c r="X301" i="8"/>
  <c r="X300" i="8"/>
  <c r="X299" i="8"/>
  <c r="X298" i="8"/>
  <c r="X297" i="8"/>
  <c r="X296" i="8"/>
  <c r="X295" i="8"/>
  <c r="X294" i="8"/>
  <c r="X293" i="8"/>
  <c r="X292" i="8"/>
  <c r="X291" i="8"/>
  <c r="X290" i="8"/>
  <c r="X289" i="8"/>
  <c r="X288" i="8"/>
  <c r="X287" i="8"/>
  <c r="X286" i="8"/>
  <c r="X285" i="8"/>
  <c r="X284" i="8"/>
  <c r="X283" i="8"/>
  <c r="X282" i="8"/>
  <c r="X281" i="8"/>
  <c r="X280" i="8"/>
  <c r="X279" i="8"/>
  <c r="X278" i="8"/>
  <c r="X277" i="8"/>
  <c r="X276" i="8"/>
  <c r="X275" i="8"/>
  <c r="X274" i="8"/>
  <c r="X273" i="8"/>
  <c r="X272" i="8"/>
  <c r="X271" i="8"/>
  <c r="X270" i="8"/>
  <c r="X269" i="8"/>
  <c r="X268" i="8"/>
  <c r="X267" i="8"/>
  <c r="X266" i="8"/>
  <c r="X265" i="8"/>
  <c r="X264" i="8"/>
  <c r="X263" i="8"/>
  <c r="X262" i="8"/>
  <c r="X261" i="8"/>
  <c r="X260" i="8"/>
  <c r="X259" i="8"/>
  <c r="X258" i="8"/>
  <c r="X257" i="8"/>
  <c r="X256" i="8"/>
  <c r="X255" i="8"/>
  <c r="X254" i="8"/>
  <c r="X253" i="8"/>
  <c r="X252" i="8"/>
  <c r="X251" i="8"/>
  <c r="X250" i="8"/>
  <c r="X249" i="8"/>
  <c r="X248" i="8"/>
  <c r="X247" i="8"/>
  <c r="X246" i="8"/>
  <c r="X245" i="8"/>
  <c r="AO245" i="8"/>
  <c r="AT245" i="8" s="1"/>
  <c r="AO246" i="8"/>
  <c r="AS246" i="8" s="1"/>
  <c r="AO247" i="8"/>
  <c r="AS247" i="8" s="1"/>
  <c r="AO248" i="8"/>
  <c r="AS248" i="8" s="1"/>
  <c r="AO249" i="8"/>
  <c r="AS249" i="8" s="1"/>
  <c r="AO250" i="8"/>
  <c r="AS250" i="8" s="1"/>
  <c r="AO251" i="8"/>
  <c r="AR251" i="8" s="1"/>
  <c r="AO252" i="8"/>
  <c r="AS252" i="8" s="1"/>
  <c r="AO253" i="8"/>
  <c r="AR253" i="8" s="1"/>
  <c r="AO254" i="8"/>
  <c r="AR254" i="8" s="1"/>
  <c r="AO255" i="8"/>
  <c r="AR255" i="8" s="1"/>
  <c r="AO256" i="8"/>
  <c r="AR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S272" i="8" s="1"/>
  <c r="AO273" i="8"/>
  <c r="AS273" i="8" s="1"/>
  <c r="AO274" i="8"/>
  <c r="AS274" i="8" s="1"/>
  <c r="AO275" i="8"/>
  <c r="AS275" i="8" s="1"/>
  <c r="AO276" i="8"/>
  <c r="AS276" i="8" s="1"/>
  <c r="AO277" i="8"/>
  <c r="AR277" i="8" s="1"/>
  <c r="AO278" i="8"/>
  <c r="AR278" i="8" s="1"/>
  <c r="AO279" i="8"/>
  <c r="AR279" i="8" s="1"/>
  <c r="AO280" i="8"/>
  <c r="AR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R290" i="8" s="1"/>
  <c r="AO291" i="8"/>
  <c r="AR291" i="8" s="1"/>
  <c r="AO292" i="8"/>
  <c r="AS292" i="8" s="1"/>
  <c r="AO293" i="8"/>
  <c r="AT293" i="8" s="1"/>
  <c r="AO294" i="8"/>
  <c r="AS294" i="8" s="1"/>
  <c r="AO295" i="8"/>
  <c r="AS295" i="8" s="1"/>
  <c r="AO296" i="8"/>
  <c r="AS296" i="8" s="1"/>
  <c r="AO297" i="8"/>
  <c r="AS297" i="8" s="1"/>
  <c r="AO298" i="8"/>
  <c r="AS298" i="8" s="1"/>
  <c r="AO299" i="8"/>
  <c r="AS299" i="8" s="1"/>
  <c r="AO300" i="8"/>
  <c r="AS300" i="8" s="1"/>
  <c r="AO301" i="8"/>
  <c r="AR301" i="8" s="1"/>
  <c r="AO302" i="8"/>
  <c r="AR302" i="8" s="1"/>
  <c r="AO303" i="8"/>
  <c r="AR303" i="8" s="1"/>
  <c r="AO304" i="8"/>
  <c r="AR304" i="8" s="1"/>
  <c r="AO305" i="8"/>
  <c r="AT305" i="8" s="1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244" i="8"/>
  <c r="X243" i="8"/>
  <c r="X242" i="8"/>
  <c r="X241" i="8"/>
  <c r="X240" i="8"/>
  <c r="X239" i="8"/>
  <c r="X238" i="8"/>
  <c r="X237" i="8"/>
  <c r="X236" i="8"/>
  <c r="X235" i="8"/>
  <c r="X234" i="8"/>
  <c r="X233" i="8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S286" i="8" l="1"/>
  <c r="AS285" i="8"/>
  <c r="AR287" i="8"/>
  <c r="AS287" i="8"/>
  <c r="AS284" i="8"/>
  <c r="AS283" i="8"/>
  <c r="AS282" i="8"/>
  <c r="AS281" i="8"/>
  <c r="AR289" i="8"/>
  <c r="AR288" i="8"/>
  <c r="AS266" i="8"/>
  <c r="AS265" i="8"/>
  <c r="AT292" i="8"/>
  <c r="AT291" i="8"/>
  <c r="AT290" i="8"/>
  <c r="AT289" i="8"/>
  <c r="AT288" i="8"/>
  <c r="AS267" i="8"/>
  <c r="AR273" i="8"/>
  <c r="AS264" i="8"/>
  <c r="AT268" i="8"/>
  <c r="AT269" i="8"/>
  <c r="AR272" i="8"/>
  <c r="AS263" i="8"/>
  <c r="AR263" i="8"/>
  <c r="AS262" i="8"/>
  <c r="AR252" i="8"/>
  <c r="AS261" i="8"/>
  <c r="AR274" i="8"/>
  <c r="AR250" i="8"/>
  <c r="AS260" i="8"/>
  <c r="AS305" i="8"/>
  <c r="AS259" i="8"/>
  <c r="AT270" i="8"/>
  <c r="AS293" i="8"/>
  <c r="AS258" i="8"/>
  <c r="AS257" i="8"/>
  <c r="AS291" i="8"/>
  <c r="AS245" i="8"/>
  <c r="AS29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R276" i="8"/>
  <c r="AT297" i="8"/>
  <c r="AT273" i="8"/>
  <c r="AT249" i="8"/>
  <c r="AT298" i="8"/>
  <c r="AT250" i="8"/>
  <c r="AR275" i="8"/>
  <c r="AT296" i="8"/>
  <c r="AT272" i="8"/>
  <c r="AT248" i="8"/>
  <c r="AS256" i="8"/>
  <c r="AS303" i="8"/>
  <c r="AS279" i="8"/>
  <c r="AS255" i="8"/>
  <c r="AR300" i="8"/>
  <c r="AS302" i="8"/>
  <c r="AS278" i="8"/>
  <c r="AS254" i="8"/>
  <c r="AR299" i="8"/>
  <c r="AS301" i="8"/>
  <c r="AS277" i="8"/>
  <c r="AS253" i="8"/>
  <c r="AR298" i="8"/>
  <c r="AR249" i="8"/>
  <c r="AS304" i="8"/>
  <c r="AR297" i="8"/>
  <c r="AS251" i="8"/>
  <c r="AT304" i="8"/>
  <c r="AT280" i="8"/>
  <c r="AT256" i="8"/>
  <c r="AR248" i="8"/>
  <c r="AR296" i="8"/>
  <c r="AT303" i="8"/>
  <c r="AT279" i="8"/>
  <c r="AT255" i="8"/>
  <c r="AT302" i="8"/>
  <c r="AT278" i="8"/>
  <c r="AT254" i="8"/>
  <c r="AS280" i="8"/>
  <c r="AT301" i="8"/>
  <c r="AT277" i="8"/>
  <c r="AT253" i="8"/>
  <c r="AR305" i="8"/>
  <c r="AR281" i="8"/>
  <c r="AR257" i="8"/>
  <c r="AR247" i="8"/>
  <c r="AR295" i="8"/>
  <c r="AR294" i="8"/>
  <c r="AR270" i="8"/>
  <c r="AR246" i="8"/>
  <c r="AR282" i="8"/>
  <c r="AR293" i="8"/>
  <c r="AR269" i="8"/>
  <c r="AR245" i="8"/>
  <c r="AR258" i="8"/>
  <c r="AR271" i="8"/>
  <c r="AR292" i="8"/>
  <c r="AR268" i="8"/>
  <c r="AR267" i="8"/>
  <c r="AR266" i="8"/>
  <c r="AR286" i="8"/>
  <c r="AR262" i="8"/>
  <c r="AR265" i="8"/>
  <c r="AR285" i="8"/>
  <c r="AR261" i="8"/>
  <c r="AR264" i="8"/>
  <c r="AR284" i="8"/>
  <c r="AR260" i="8"/>
  <c r="AR283" i="8"/>
  <c r="AR259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W148" i="8"/>
  <c r="W147" i="8"/>
  <c r="W164" i="8"/>
  <c r="W170" i="8"/>
  <c r="W234" i="8"/>
  <c r="W166" i="8"/>
  <c r="W162" i="8"/>
  <c r="W204" i="8"/>
  <c r="W130" i="8"/>
  <c r="W223" i="8"/>
  <c r="W173" i="8"/>
  <c r="W128" i="8"/>
  <c r="W231" i="8"/>
  <c r="W222" i="8"/>
  <c r="W157" i="8"/>
  <c r="W241" i="8"/>
  <c r="W146" i="8"/>
  <c r="W169" i="8"/>
  <c r="W238" i="8"/>
  <c r="W236" i="8"/>
  <c r="W180" i="8"/>
  <c r="W143" i="8"/>
  <c r="W196" i="8"/>
  <c r="W192" i="8"/>
  <c r="W144" i="8"/>
  <c r="W186" i="8"/>
  <c r="W187" i="8"/>
  <c r="W137" i="8"/>
  <c r="W132" i="8"/>
  <c r="W141" i="8"/>
  <c r="W209" i="8"/>
  <c r="W221" i="8"/>
  <c r="W185" i="8"/>
  <c r="W240" i="8"/>
  <c r="W210" i="8"/>
  <c r="W200" i="8"/>
  <c r="W151" i="8"/>
  <c r="W225" i="8"/>
  <c r="W226" i="8"/>
  <c r="W212" i="8"/>
  <c r="W167" i="8"/>
  <c r="W219" i="8"/>
  <c r="W189" i="8"/>
  <c r="W165" i="8"/>
  <c r="W211" i="8"/>
  <c r="W218" i="8"/>
  <c r="W126" i="8"/>
  <c r="W235" i="8"/>
  <c r="W139" i="8"/>
  <c r="W229" i="8"/>
  <c r="W215" i="8"/>
  <c r="W161" i="8"/>
  <c r="W220" i="8"/>
  <c r="W140" i="8"/>
  <c r="W190" i="8"/>
  <c r="W242" i="8"/>
  <c r="W160" i="8"/>
  <c r="W194" i="8"/>
  <c r="W135" i="8"/>
  <c r="W142" i="8"/>
  <c r="W213" i="8"/>
  <c r="W183" i="8"/>
  <c r="W127" i="8"/>
  <c r="W233" i="8"/>
  <c r="W205" i="8"/>
  <c r="W152" i="8"/>
  <c r="W227" i="8"/>
  <c r="W232" i="8"/>
  <c r="W136" i="8"/>
  <c r="W202" i="8"/>
  <c r="W153" i="8"/>
  <c r="W224" i="8"/>
  <c r="W188" i="8"/>
  <c r="W159" i="8"/>
  <c r="W239" i="8"/>
  <c r="W178" i="8"/>
  <c r="W138" i="8"/>
  <c r="W134" i="8"/>
  <c r="W155" i="8"/>
  <c r="W217" i="8"/>
  <c r="W208" i="8"/>
  <c r="W197" i="8"/>
  <c r="W174" i="8"/>
  <c r="W131" i="8"/>
  <c r="W237" i="8"/>
  <c r="W243" i="8"/>
  <c r="W207" i="8"/>
  <c r="W201" i="8"/>
  <c r="W230" i="8"/>
  <c r="W154" i="8"/>
  <c r="W216" i="8"/>
  <c r="W176" i="8"/>
  <c r="W145" i="8"/>
  <c r="W203" i="8"/>
  <c r="W172" i="8"/>
  <c r="W191" i="8"/>
  <c r="W168" i="8"/>
  <c r="W177" i="8"/>
  <c r="W181" i="8"/>
  <c r="W214" i="8"/>
  <c r="W171" i="8"/>
  <c r="W198" i="8"/>
  <c r="W228" i="8"/>
  <c r="W150" i="8"/>
  <c r="W129" i="8"/>
  <c r="W206" i="8"/>
  <c r="W163" i="8"/>
  <c r="W158" i="8"/>
  <c r="W175" i="8"/>
  <c r="W133" i="8"/>
  <c r="W193" i="8"/>
  <c r="W156" i="8"/>
  <c r="W149" i="8"/>
  <c r="W182" i="8"/>
  <c r="W244" i="8"/>
  <c r="W184" i="8"/>
  <c r="W199" i="8"/>
  <c r="W179" i="8"/>
  <c r="W195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S232" i="8"/>
  <c r="AT231" i="8"/>
  <c r="AR230" i="8"/>
  <c r="AT189" i="8"/>
  <c r="AR243" i="8"/>
  <c r="AS199" i="8"/>
  <c r="AR240" i="8"/>
  <c r="AT145" i="8"/>
  <c r="AT163" i="8"/>
  <c r="AR130" i="8"/>
  <c r="AS161" i="8"/>
  <c r="AS168" i="8"/>
  <c r="AS131" i="8"/>
  <c r="AS176" i="8"/>
  <c r="AT207" i="8"/>
  <c r="AR210" i="8"/>
  <c r="AT194" i="8"/>
  <c r="AR132" i="8"/>
  <c r="AR175" i="8"/>
  <c r="AT132" i="8"/>
  <c r="AS142" i="8"/>
  <c r="AR182" i="8"/>
  <c r="AR179" i="8"/>
  <c r="AT243" i="8"/>
  <c r="AT222" i="8"/>
  <c r="AS240" i="8"/>
  <c r="AT138" i="8"/>
  <c r="AT201" i="8"/>
  <c r="AR225" i="8"/>
  <c r="AR209" i="8"/>
  <c r="AR211" i="8"/>
  <c r="AR202" i="8"/>
  <c r="AS177" i="8"/>
  <c r="AR198" i="8"/>
  <c r="AT190" i="8"/>
  <c r="AR212" i="8"/>
  <c r="AS130" i="8"/>
  <c r="AS155" i="8"/>
  <c r="AS174" i="8"/>
  <c r="AS187" i="8"/>
  <c r="AS211" i="8"/>
  <c r="AS208" i="8"/>
  <c r="AR143" i="8"/>
  <c r="AT192" i="8"/>
  <c r="AS198" i="8"/>
  <c r="AR166" i="8"/>
  <c r="AS127" i="8"/>
  <c r="AT144" i="8"/>
  <c r="AT176" i="8"/>
  <c r="AS201" i="8"/>
  <c r="AT230" i="8"/>
  <c r="AR214" i="8"/>
  <c r="AS182" i="8"/>
  <c r="AR229" i="8"/>
  <c r="AR213" i="8"/>
  <c r="AS148" i="8"/>
  <c r="AT169" i="8"/>
  <c r="AS204" i="8"/>
  <c r="AS217" i="8"/>
  <c r="AT200" i="8"/>
  <c r="AT184" i="8"/>
  <c r="AR153" i="8"/>
  <c r="AS134" i="8"/>
  <c r="AS146" i="8"/>
  <c r="AR235" i="8"/>
  <c r="AS189" i="8"/>
  <c r="AR155" i="8"/>
  <c r="AS231" i="8"/>
  <c r="AS227" i="8"/>
  <c r="AS203" i="8"/>
  <c r="AR193" i="8"/>
  <c r="AS186" i="8"/>
  <c r="AT136" i="8"/>
  <c r="AR135" i="8"/>
  <c r="AT225" i="8"/>
  <c r="AS215" i="8"/>
  <c r="AS235" i="8"/>
  <c r="AS202" i="8"/>
  <c r="AT198" i="8"/>
  <c r="AT137" i="8"/>
  <c r="AT154" i="8"/>
  <c r="AR158" i="8"/>
  <c r="AS216" i="8"/>
  <c r="AT234" i="8"/>
  <c r="AT212" i="8"/>
  <c r="AS162" i="8"/>
  <c r="AS160" i="8"/>
  <c r="AT205" i="8"/>
  <c r="AR195" i="8"/>
  <c r="AR140" i="8"/>
  <c r="AT141" i="8"/>
  <c r="AS206" i="8"/>
  <c r="AR196" i="8"/>
  <c r="AR127" i="8"/>
  <c r="AT204" i="8"/>
  <c r="AR189" i="8"/>
  <c r="AT191" i="8"/>
  <c r="AR215" i="8"/>
  <c r="AT199" i="8"/>
  <c r="AT165" i="8"/>
  <c r="AR234" i="8"/>
  <c r="AT128" i="8"/>
  <c r="AT236" i="8"/>
  <c r="AS153" i="8"/>
  <c r="AR186" i="8"/>
  <c r="AT161" i="8"/>
  <c r="AT155" i="8"/>
  <c r="AS239" i="8"/>
  <c r="AS242" i="8"/>
  <c r="AR190" i="8"/>
  <c r="AT175" i="8"/>
  <c r="AT130" i="8"/>
  <c r="AS221" i="8"/>
  <c r="AR239" i="8"/>
  <c r="AS181" i="8"/>
  <c r="AR241" i="8"/>
  <c r="AR170" i="8"/>
  <c r="AR192" i="8"/>
  <c r="AS210" i="8"/>
  <c r="AT242" i="8"/>
  <c r="AT228" i="8"/>
  <c r="AS241" i="8"/>
  <c r="AS236" i="8"/>
  <c r="AS173" i="8"/>
  <c r="AS170" i="8"/>
  <c r="AT208" i="8"/>
  <c r="AS132" i="8"/>
  <c r="AR173" i="8"/>
  <c r="AT178" i="8"/>
  <c r="AR141" i="8"/>
  <c r="AT186" i="8"/>
  <c r="AS169" i="8"/>
  <c r="AT179" i="8"/>
  <c r="AS151" i="8"/>
  <c r="AR187" i="8"/>
  <c r="AS191" i="8"/>
  <c r="AT182" i="8"/>
  <c r="AS166" i="8"/>
  <c r="AS224" i="8"/>
  <c r="AR204" i="8"/>
  <c r="AT219" i="8"/>
  <c r="AR224" i="8"/>
  <c r="AR222" i="8"/>
  <c r="AT183" i="8"/>
  <c r="AS229" i="8"/>
  <c r="AS159" i="8"/>
  <c r="AS128" i="8"/>
  <c r="AT215" i="8"/>
  <c r="AS149" i="8"/>
  <c r="AT209" i="8"/>
  <c r="AR157" i="8"/>
  <c r="AS190" i="8"/>
  <c r="AT129" i="8"/>
  <c r="AR161" i="8"/>
  <c r="AS200" i="8"/>
  <c r="AR128" i="8"/>
  <c r="AR147" i="8"/>
  <c r="AS129" i="8"/>
  <c r="AT167" i="8"/>
  <c r="AT146" i="8"/>
  <c r="AT160" i="8"/>
  <c r="AT239" i="8"/>
  <c r="AS219" i="8"/>
  <c r="AR226" i="8"/>
  <c r="AS147" i="8"/>
  <c r="AT237" i="8"/>
  <c r="AS234" i="8"/>
  <c r="AR199" i="8"/>
  <c r="AT170" i="8"/>
  <c r="AR133" i="8"/>
  <c r="AT214" i="8"/>
  <c r="AR146" i="8"/>
  <c r="AT133" i="8"/>
  <c r="AR156" i="8"/>
  <c r="AT158" i="8"/>
  <c r="AR178" i="8"/>
  <c r="AR227" i="8"/>
  <c r="AT159" i="8"/>
  <c r="AR137" i="8"/>
  <c r="AR151" i="8"/>
  <c r="AT173" i="8"/>
  <c r="AR205" i="8"/>
  <c r="AR221" i="8"/>
  <c r="AR231" i="8"/>
  <c r="AR168" i="8"/>
  <c r="AS183" i="8"/>
  <c r="AR218" i="8"/>
  <c r="AR181" i="8"/>
  <c r="AS207" i="8"/>
  <c r="AT210" i="8"/>
  <c r="AT213" i="8"/>
  <c r="AR152" i="8"/>
  <c r="AS152" i="8"/>
  <c r="AS156" i="8"/>
  <c r="AR242" i="8"/>
  <c r="AR238" i="8"/>
  <c r="AR183" i="8"/>
  <c r="AR216" i="8"/>
  <c r="AT216" i="8"/>
  <c r="AR164" i="8"/>
  <c r="AR131" i="8"/>
  <c r="AR184" i="8"/>
  <c r="AS145" i="8"/>
  <c r="AR223" i="8"/>
  <c r="AT206" i="8"/>
  <c r="AT152" i="8"/>
  <c r="AR149" i="8"/>
  <c r="AT223" i="8"/>
  <c r="AR191" i="8"/>
  <c r="AR176" i="8"/>
  <c r="AT162" i="8"/>
  <c r="AS126" i="8"/>
  <c r="AR174" i="8"/>
  <c r="AT164" i="8"/>
  <c r="AS150" i="8"/>
  <c r="AS157" i="8"/>
  <c r="AR144" i="8"/>
  <c r="AT168" i="8"/>
  <c r="AS141" i="8"/>
  <c r="AR208" i="8"/>
  <c r="AS233" i="8"/>
  <c r="AT229" i="8"/>
  <c r="AS175" i="8"/>
  <c r="AR136" i="8"/>
  <c r="AR177" i="8"/>
  <c r="AR236" i="8"/>
  <c r="AS238" i="8"/>
  <c r="AR165" i="8"/>
  <c r="AR219" i="8"/>
  <c r="AS225" i="8"/>
  <c r="AS171" i="8"/>
  <c r="AT172" i="8"/>
  <c r="AT226" i="8"/>
  <c r="AS222" i="8"/>
  <c r="AS163" i="8"/>
  <c r="AT149" i="8"/>
  <c r="AS197" i="8"/>
  <c r="AR217" i="8"/>
  <c r="AT148" i="8"/>
  <c r="AL13" i="8"/>
  <c r="AS220" i="8"/>
  <c r="AS244" i="8"/>
  <c r="AS205" i="8"/>
  <c r="AS188" i="8"/>
  <c r="AT233" i="8"/>
  <c r="AS192" i="8"/>
  <c r="AS223" i="8"/>
  <c r="AT142" i="8"/>
  <c r="AT221" i="8"/>
  <c r="AT181" i="8"/>
  <c r="AS212" i="8"/>
  <c r="AR197" i="8"/>
  <c r="AS138" i="8"/>
  <c r="AR142" i="8"/>
  <c r="AS185" i="8"/>
  <c r="AS237" i="8"/>
  <c r="AR162" i="8"/>
  <c r="AS167" i="8"/>
  <c r="AT218" i="8"/>
  <c r="AS195" i="8"/>
  <c r="AR139" i="8"/>
  <c r="AT135" i="8"/>
  <c r="AS196" i="8"/>
  <c r="AR185" i="8"/>
  <c r="AR145" i="8"/>
  <c r="AS143" i="8"/>
  <c r="AT203" i="8"/>
  <c r="AR206" i="8"/>
  <c r="AT227" i="8"/>
  <c r="AT151" i="8"/>
  <c r="AT235" i="8"/>
  <c r="AR138" i="8"/>
  <c r="AT153" i="8"/>
  <c r="AR154" i="8"/>
  <c r="AR169" i="8"/>
  <c r="AT139" i="8"/>
  <c r="AS165" i="8"/>
  <c r="AR150" i="8"/>
  <c r="AT127" i="8"/>
  <c r="AR200" i="8"/>
  <c r="AT238" i="8"/>
  <c r="AT134" i="8"/>
  <c r="AT224" i="8"/>
  <c r="AT217" i="8"/>
  <c r="AR172" i="8"/>
  <c r="AT195" i="8"/>
  <c r="AR220" i="8"/>
  <c r="AS164" i="8"/>
  <c r="AS140" i="8"/>
  <c r="AS214" i="8"/>
  <c r="AT131" i="8"/>
  <c r="AR180" i="8"/>
  <c r="AS243" i="8"/>
  <c r="AS213" i="8"/>
  <c r="AR228" i="8"/>
  <c r="AT150" i="8"/>
  <c r="AR244" i="8"/>
  <c r="AS178" i="8"/>
  <c r="AT180" i="8"/>
  <c r="AS136" i="8"/>
  <c r="AS135" i="8"/>
  <c r="AR201" i="8"/>
  <c r="AT147" i="8"/>
  <c r="AT220" i="8"/>
  <c r="AR188" i="8"/>
  <c r="AR167" i="8"/>
  <c r="AT156" i="8"/>
  <c r="AT211" i="8"/>
  <c r="AT188" i="8"/>
  <c r="AT202" i="8"/>
  <c r="AR163" i="8"/>
  <c r="AS158" i="8"/>
  <c r="AS226" i="8"/>
  <c r="AT171" i="8"/>
  <c r="AR126" i="8"/>
  <c r="AR160" i="8"/>
  <c r="AT232" i="8"/>
  <c r="AR148" i="8"/>
  <c r="AS172" i="8"/>
  <c r="AT157" i="8"/>
  <c r="AS209" i="8"/>
  <c r="AT240" i="8"/>
  <c r="AT244" i="8"/>
  <c r="AS133" i="8"/>
  <c r="AR134" i="8"/>
  <c r="AS154" i="8"/>
  <c r="AR232" i="8"/>
  <c r="AT196" i="8"/>
  <c r="AS230" i="8"/>
  <c r="AS139" i="8"/>
  <c r="AT126" i="8"/>
  <c r="AR159" i="8"/>
  <c r="AR237" i="8"/>
  <c r="AS193" i="8"/>
  <c r="AS218" i="8"/>
  <c r="AT174" i="8"/>
  <c r="AT241" i="8"/>
  <c r="AS184" i="8"/>
  <c r="AR171" i="8"/>
  <c r="AS179" i="8"/>
  <c r="AR129" i="8"/>
  <c r="AR233" i="8"/>
  <c r="AT193" i="8"/>
  <c r="AS228" i="8"/>
  <c r="AT185" i="8"/>
  <c r="AR207" i="8"/>
  <c r="AT197" i="8"/>
  <c r="AS144" i="8"/>
  <c r="AS194" i="8"/>
  <c r="AR194" i="8"/>
  <c r="AT166" i="8"/>
  <c r="AT177" i="8"/>
  <c r="AS180" i="8"/>
  <c r="AS137" i="8"/>
  <c r="AT187" i="8"/>
  <c r="AR203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X13" i="8" s="1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W13" i="8"/>
  <c r="AL15" i="8"/>
  <c r="W35" i="8"/>
  <c r="AJ36" i="8"/>
  <c r="W36" i="8" s="1"/>
  <c r="W33" i="8"/>
  <c r="W34" i="8"/>
  <c r="AJ17" i="8"/>
  <c r="AJ15" i="8"/>
  <c r="W14" i="8"/>
  <c r="W17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W15" i="8"/>
  <c r="V15" i="8" s="1"/>
  <c r="V36" i="8"/>
  <c r="AM16" i="8"/>
  <c r="AT34" i="8" l="1"/>
  <c r="AR34" i="8"/>
  <c r="AS34" i="8"/>
  <c r="AR13" i="8"/>
  <c r="AS13" i="8"/>
  <c r="AT13" i="8"/>
  <c r="AS14" i="8"/>
  <c r="AR14" i="8"/>
  <c r="AT14" i="8"/>
  <c r="AS35" i="8"/>
  <c r="AT35" i="8"/>
  <c r="AR35" i="8"/>
  <c r="AS33" i="8"/>
  <c r="AT33" i="8"/>
  <c r="AR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W16" i="8"/>
  <c r="AL17" i="8"/>
  <c r="AM17" i="8"/>
  <c r="W18" i="8"/>
  <c r="W37" i="8"/>
  <c r="AO36" i="8"/>
  <c r="AJ38" i="8"/>
  <c r="AJ19" i="8"/>
  <c r="V17" i="8"/>
  <c r="AO17" i="8" s="1"/>
  <c r="AO15" i="8"/>
  <c r="AN37" i="8" l="1"/>
  <c r="AN16" i="8"/>
  <c r="AN18" i="8"/>
  <c r="AR15" i="8"/>
  <c r="AT15" i="8"/>
  <c r="AS15" i="8"/>
  <c r="AR36" i="8"/>
  <c r="AT36" i="8"/>
  <c r="AS36" i="8"/>
  <c r="AR17" i="8"/>
  <c r="AS17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W38" i="8"/>
  <c r="AJ20" i="8"/>
  <c r="V16" i="8"/>
  <c r="AO18" i="8"/>
  <c r="AO16" i="8"/>
  <c r="AJ39" i="8"/>
  <c r="AL18" i="8"/>
  <c r="W19" i="8"/>
  <c r="W20" i="8"/>
  <c r="AN38" i="8" l="1"/>
  <c r="AN19" i="8"/>
  <c r="AS16" i="8"/>
  <c r="AR16" i="8"/>
  <c r="AT16" i="8"/>
  <c r="AS37" i="8"/>
  <c r="AR37" i="8"/>
  <c r="AT37" i="8"/>
  <c r="AT18" i="8"/>
  <c r="AR18" i="8"/>
  <c r="AS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W39" i="8"/>
  <c r="AM19" i="8"/>
  <c r="AJ40" i="8"/>
  <c r="AJ21" i="8"/>
  <c r="V20" i="8"/>
  <c r="V19" i="8"/>
  <c r="AO19" i="8" s="1"/>
  <c r="V38" i="8"/>
  <c r="AO38" i="8" s="1"/>
  <c r="AL19" i="8"/>
  <c r="AN39" i="8" l="1"/>
  <c r="AT38" i="8"/>
  <c r="AS38" i="8"/>
  <c r="AR38" i="8"/>
  <c r="AS19" i="8"/>
  <c r="AT19" i="8"/>
  <c r="AR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W21" i="8"/>
  <c r="W40" i="8"/>
  <c r="AM20" i="8"/>
  <c r="V39" i="8"/>
  <c r="AO39" i="8" s="1"/>
  <c r="AO20" i="8"/>
  <c r="AN40" i="8" l="1"/>
  <c r="AN21" i="8"/>
  <c r="AT39" i="8"/>
  <c r="AS39" i="8"/>
  <c r="AR39" i="8"/>
  <c r="AT20" i="8"/>
  <c r="AR20" i="8"/>
  <c r="AS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W41" i="8"/>
  <c r="AM21" i="8"/>
  <c r="W22" i="8"/>
  <c r="AO21" i="8"/>
  <c r="AJ23" i="8"/>
  <c r="AN22" i="8" l="1"/>
  <c r="AN41" i="8"/>
  <c r="AT40" i="8"/>
  <c r="AS40" i="8"/>
  <c r="AR40" i="8"/>
  <c r="AT21" i="8"/>
  <c r="AS21" i="8"/>
  <c r="AR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W42" i="8"/>
  <c r="AO41" i="8"/>
  <c r="V22" i="8"/>
  <c r="AO22" i="8" s="1"/>
  <c r="AM22" i="8"/>
  <c r="W23" i="8"/>
  <c r="AJ24" i="8"/>
  <c r="AL22" i="8"/>
  <c r="AJ43" i="8"/>
  <c r="V42" i="8"/>
  <c r="AN23" i="8" l="1"/>
  <c r="AN42" i="8"/>
  <c r="AT41" i="8"/>
  <c r="AS41" i="8"/>
  <c r="AR41" i="8"/>
  <c r="AS22" i="8"/>
  <c r="AT22" i="8"/>
  <c r="AR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W24" i="8"/>
  <c r="AO42" i="8"/>
  <c r="AL23" i="8"/>
  <c r="W44" i="8"/>
  <c r="W43" i="8"/>
  <c r="V43" i="8" s="1"/>
  <c r="V23" i="8"/>
  <c r="AO23" i="8" s="1"/>
  <c r="AN43" i="8" l="1"/>
  <c r="AN24" i="8"/>
  <c r="AT23" i="8"/>
  <c r="AS23" i="8"/>
  <c r="AR23" i="8"/>
  <c r="AS42" i="8"/>
  <c r="AR42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W25" i="8"/>
  <c r="AO43" i="8"/>
  <c r="AL24" i="8"/>
  <c r="V24" i="8"/>
  <c r="AJ45" i="8"/>
  <c r="AJ26" i="8"/>
  <c r="V44" i="8"/>
  <c r="AO24" i="8"/>
  <c r="AN44" i="8" l="1"/>
  <c r="AT43" i="8"/>
  <c r="AS43" i="8"/>
  <c r="AR43" i="8"/>
  <c r="AS24" i="8"/>
  <c r="AR24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W26" i="8"/>
  <c r="W45" i="8"/>
  <c r="AO25" i="8"/>
  <c r="AN26" i="8" l="1"/>
  <c r="AT25" i="8"/>
  <c r="AR25" i="8"/>
  <c r="AS25" i="8"/>
  <c r="AR44" i="8"/>
  <c r="AS44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W46" i="8"/>
  <c r="W27" i="8"/>
  <c r="V26" i="8"/>
  <c r="AO26" i="8" s="1"/>
  <c r="AL26" i="8"/>
  <c r="AJ47" i="8"/>
  <c r="AO45" i="8"/>
  <c r="AJ28" i="8"/>
  <c r="AM26" i="8"/>
  <c r="AN27" i="8" l="1"/>
  <c r="AN46" i="8"/>
  <c r="AS26" i="8"/>
  <c r="AT26" i="8"/>
  <c r="AR26" i="8"/>
  <c r="AS45" i="8"/>
  <c r="AR45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W47" i="8"/>
  <c r="W28" i="8"/>
  <c r="V46" i="8"/>
  <c r="AO46" i="8" s="1"/>
  <c r="AL27" i="8"/>
  <c r="V27" i="8"/>
  <c r="AO27" i="8" s="1"/>
  <c r="AM27" i="8"/>
  <c r="AN28" i="8" l="1"/>
  <c r="AT27" i="8"/>
  <c r="AR27" i="8"/>
  <c r="AS27" i="8"/>
  <c r="AT46" i="8"/>
  <c r="AS46" i="8"/>
  <c r="AR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W48" i="8"/>
  <c r="AL28" i="8"/>
  <c r="AJ49" i="8"/>
  <c r="AJ30" i="8"/>
  <c r="W49" i="8"/>
  <c r="V47" i="8"/>
  <c r="AO47" i="8" s="1"/>
  <c r="AN48" i="8" l="1"/>
  <c r="AS28" i="8"/>
  <c r="AT28" i="8"/>
  <c r="AR28" i="8"/>
  <c r="AS47" i="8"/>
  <c r="AR47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W29" i="8"/>
  <c r="V48" i="8"/>
  <c r="AJ50" i="8"/>
  <c r="AJ31" i="8"/>
  <c r="AO48" i="8"/>
  <c r="V49" i="8"/>
  <c r="AM29" i="8"/>
  <c r="W30" i="8"/>
  <c r="V30" i="8" s="1"/>
  <c r="AN30" i="8" l="1"/>
  <c r="AT48" i="8"/>
  <c r="AS48" i="8"/>
  <c r="AR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W31" i="8"/>
  <c r="AL30" i="8"/>
  <c r="AO30" i="8"/>
  <c r="AO49" i="8"/>
  <c r="W50" i="8"/>
  <c r="AJ32" i="8"/>
  <c r="AM30" i="8"/>
  <c r="AJ51" i="8"/>
  <c r="W32" i="8"/>
  <c r="AN50" i="8" l="1"/>
  <c r="AN31" i="8"/>
  <c r="AN29" i="8"/>
  <c r="AT30" i="8"/>
  <c r="AS30" i="8"/>
  <c r="AR30" i="8"/>
  <c r="AR49" i="8"/>
  <c r="AT49" i="8"/>
  <c r="AS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W51" i="8"/>
  <c r="AL31" i="8"/>
  <c r="V29" i="8"/>
  <c r="AO29" i="8" s="1"/>
  <c r="AM31" i="8"/>
  <c r="V31" i="8"/>
  <c r="AO31" i="8" s="1"/>
  <c r="V50" i="8"/>
  <c r="AO50" i="8" s="1"/>
  <c r="AJ52" i="8"/>
  <c r="AS29" i="8" l="1"/>
  <c r="AT29" i="8"/>
  <c r="AR29" i="8"/>
  <c r="AN32" i="8"/>
  <c r="AN51" i="8"/>
  <c r="AS31" i="8"/>
  <c r="AR31" i="8"/>
  <c r="AT31" i="8"/>
  <c r="AS50" i="8"/>
  <c r="AR50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W52" i="8"/>
  <c r="V52" i="8"/>
  <c r="V32" i="8"/>
  <c r="AO32" i="8" s="1"/>
  <c r="AM32" i="8"/>
  <c r="AL32" i="8"/>
  <c r="AJ53" i="8"/>
  <c r="V51" i="8"/>
  <c r="AO51" i="8"/>
  <c r="AS32" i="8" l="1"/>
  <c r="AT32" i="8"/>
  <c r="AR32" i="8"/>
  <c r="AT51" i="8"/>
  <c r="AS51" i="8"/>
  <c r="AR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W53" i="8"/>
  <c r="AN53" i="8" l="1"/>
  <c r="AS52" i="8"/>
  <c r="AR52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W54" i="8"/>
  <c r="AL34" i="8"/>
  <c r="V53" i="8"/>
  <c r="AM34" i="8"/>
  <c r="AJ55" i="8"/>
  <c r="AO53" i="8"/>
  <c r="AN54" i="8" l="1"/>
  <c r="AR53" i="8"/>
  <c r="AT53" i="8"/>
  <c r="AS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W55" i="8"/>
  <c r="AO54" i="8"/>
  <c r="AN55" i="8" l="1"/>
  <c r="AS54" i="8"/>
  <c r="AT54" i="8"/>
  <c r="AR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W56" i="8"/>
  <c r="V55" i="8"/>
  <c r="AO55" i="8" s="1"/>
  <c r="AJ57" i="8"/>
  <c r="AM37" i="8"/>
  <c r="AN56" i="8" l="1"/>
  <c r="AS55" i="8"/>
  <c r="AR55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W57" i="8"/>
  <c r="AL37" i="8"/>
  <c r="AL38" i="8" s="1"/>
  <c r="AL39" i="8" s="1"/>
  <c r="AJ58" i="8"/>
  <c r="V56" i="8"/>
  <c r="AO56" i="8"/>
  <c r="AS56" i="8" l="1"/>
  <c r="AR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W58" i="8"/>
  <c r="AM39" i="8"/>
  <c r="AM40" i="8" s="1"/>
  <c r="AO57" i="8"/>
  <c r="AJ59" i="8"/>
  <c r="AL40" i="8"/>
  <c r="AN58" i="8" l="1"/>
  <c r="AS57" i="8"/>
  <c r="AT57" i="8"/>
  <c r="AR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W59" i="8"/>
  <c r="AJ60" i="8"/>
  <c r="W60" i="8" s="1"/>
  <c r="V58" i="8"/>
  <c r="AO58" i="8" s="1"/>
  <c r="AN59" i="8" l="1"/>
  <c r="AR58" i="8"/>
  <c r="AS58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W61" i="8"/>
  <c r="AN60" i="8" l="1"/>
  <c r="AT59" i="8"/>
  <c r="AR59" i="8"/>
  <c r="AS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S60" i="8" l="1"/>
  <c r="AT60" i="8"/>
  <c r="AR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W62" i="8"/>
  <c r="AJ63" i="8"/>
  <c r="AN62" i="8" l="1"/>
  <c r="AT61" i="8"/>
  <c r="AS61" i="8"/>
  <c r="AR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W64" i="8" s="1"/>
  <c r="V62" i="8"/>
  <c r="AO62" i="8" s="1"/>
  <c r="W63" i="8"/>
  <c r="AM46" i="8"/>
  <c r="AN63" i="8" l="1"/>
  <c r="AS62" i="8"/>
  <c r="AR62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N64" i="8" l="1"/>
  <c r="AT63" i="8"/>
  <c r="AS63" i="8"/>
  <c r="AR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W65" i="8"/>
  <c r="AN65" i="8" l="1"/>
  <c r="AS64" i="8"/>
  <c r="AT64" i="8"/>
  <c r="AR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W66" i="8"/>
  <c r="AM49" i="8"/>
  <c r="AN66" i="8" l="1"/>
  <c r="AT65" i="8"/>
  <c r="AS65" i="8"/>
  <c r="AR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W67" i="8"/>
  <c r="AM50" i="8"/>
  <c r="AJ68" i="8"/>
  <c r="AO66" i="8"/>
  <c r="AL49" i="8"/>
  <c r="V66" i="8"/>
  <c r="AN67" i="8" l="1"/>
  <c r="AR66" i="8"/>
  <c r="AT66" i="8"/>
  <c r="AS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W68" i="8"/>
  <c r="AO67" i="8"/>
  <c r="AJ69" i="8"/>
  <c r="AN68" i="8" l="1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W69" i="8"/>
  <c r="V69" i="8"/>
  <c r="AL51" i="8"/>
  <c r="AO68" i="8"/>
  <c r="AS67" i="8"/>
  <c r="V68" i="8"/>
  <c r="AJ198" i="8"/>
  <c r="AR67" i="8"/>
  <c r="AJ70" i="8"/>
  <c r="AT67" i="8"/>
  <c r="AM52" i="8"/>
  <c r="AP70" i="8" l="1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W70" i="8"/>
  <c r="AR68" i="8"/>
  <c r="AL52" i="8"/>
  <c r="AO69" i="8"/>
  <c r="AJ71" i="8"/>
  <c r="AJ199" i="8"/>
  <c r="AM53" i="8"/>
  <c r="AT68" i="8"/>
  <c r="V70" i="8"/>
  <c r="W71" i="8"/>
  <c r="AS68" i="8"/>
  <c r="AN198" i="8" l="1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R69" i="8"/>
  <c r="AL53" i="8"/>
  <c r="AS69" i="8"/>
  <c r="W72" i="8"/>
  <c r="AM54" i="8"/>
  <c r="AO70" i="8"/>
  <c r="AT69" i="8"/>
  <c r="AN71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R70" i="8"/>
  <c r="AJ201" i="8"/>
  <c r="AL54" i="8"/>
  <c r="V72" i="8"/>
  <c r="AO71" i="8"/>
  <c r="AS70" i="8"/>
  <c r="AM55" i="8"/>
  <c r="AJ73" i="8"/>
  <c r="W73" i="8"/>
  <c r="AN72" i="8" l="1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S71" i="8"/>
  <c r="V73" i="8"/>
  <c r="AR71" i="8"/>
  <c r="AJ74" i="8"/>
  <c r="W74" i="8"/>
  <c r="AL55" i="8"/>
  <c r="AM56" i="8"/>
  <c r="AO72" i="8"/>
  <c r="AT71" i="8"/>
  <c r="AJ202" i="8"/>
  <c r="AN202" i="8" l="1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R72" i="8"/>
  <c r="AM57" i="8"/>
  <c r="AL56" i="8"/>
  <c r="AJ203" i="8"/>
  <c r="AO73" i="8"/>
  <c r="AT72" i="8"/>
  <c r="AS72" i="8"/>
  <c r="V74" i="8"/>
  <c r="AJ75" i="8"/>
  <c r="W75" i="8" s="1"/>
  <c r="AP75" i="8" l="1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W76" i="8"/>
  <c r="AL57" i="8"/>
  <c r="AS73" i="8"/>
  <c r="AO74" i="8"/>
  <c r="AR73" i="8"/>
  <c r="AN75" i="8" l="1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S74" i="8"/>
  <c r="AO75" i="8"/>
  <c r="AR74" i="8"/>
  <c r="V76" i="8"/>
  <c r="AL58" i="8"/>
  <c r="AJ77" i="8"/>
  <c r="W77" i="8" s="1"/>
  <c r="AM59" i="8"/>
  <c r="AN204" i="8" l="1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R75" i="8"/>
  <c r="AJ206" i="8"/>
  <c r="AS75" i="8"/>
  <c r="AL59" i="8"/>
  <c r="AN77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S76" i="8"/>
  <c r="AO77" i="8"/>
  <c r="AJ207" i="8"/>
  <c r="AL60" i="8"/>
  <c r="AJ79" i="8"/>
  <c r="AT76" i="8"/>
  <c r="AM61" i="8"/>
  <c r="W78" i="8"/>
  <c r="AR76" i="8"/>
  <c r="AN78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S77" i="8"/>
  <c r="AL61" i="8"/>
  <c r="AM62" i="8"/>
  <c r="W79" i="8"/>
  <c r="AR77" i="8"/>
  <c r="AJ208" i="8"/>
  <c r="AJ80" i="8"/>
  <c r="AO78" i="8"/>
  <c r="AT77" i="8"/>
  <c r="V78" i="8"/>
  <c r="AN79" i="8" l="1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R78" i="8"/>
  <c r="AS78" i="8"/>
  <c r="AT78" i="8"/>
  <c r="AL62" i="8"/>
  <c r="W80" i="8"/>
  <c r="AJ209" i="8"/>
  <c r="AO79" i="8"/>
  <c r="AJ81" i="8"/>
  <c r="AM63" i="8"/>
  <c r="AN80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W81" i="8"/>
  <c r="AM64" i="8"/>
  <c r="AJ210" i="8"/>
  <c r="AO80" i="8"/>
  <c r="V80" i="8"/>
  <c r="AL63" i="8"/>
  <c r="AT79" i="8"/>
  <c r="AJ82" i="8"/>
  <c r="AS79" i="8"/>
  <c r="AR79" i="8"/>
  <c r="AN81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S80" i="8"/>
  <c r="W82" i="8"/>
  <c r="AR80" i="8"/>
  <c r="AN82" i="8" l="1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W83" i="8"/>
  <c r="AJ212" i="8"/>
  <c r="AT81" i="8"/>
  <c r="AJ84" i="8"/>
  <c r="AM66" i="8"/>
  <c r="W84" i="8"/>
  <c r="V82" i="8"/>
  <c r="AO82" i="8"/>
  <c r="AR81" i="8"/>
  <c r="AL65" i="8"/>
  <c r="AS81" i="8"/>
  <c r="AN83" i="8" l="1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2" i="8"/>
  <c r="AS82" i="8"/>
  <c r="AN84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AR83" i="8"/>
  <c r="V84" i="8"/>
  <c r="AJ86" i="8"/>
  <c r="W85" i="8"/>
  <c r="V85" i="8"/>
  <c r="AL67" i="8"/>
  <c r="AS83" i="8"/>
  <c r="AO84" i="8"/>
  <c r="AT83" i="8"/>
  <c r="AN85" i="8" l="1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S84" i="8"/>
  <c r="AR84" i="8"/>
  <c r="AT84" i="8"/>
  <c r="AJ87" i="8"/>
  <c r="W87" i="8"/>
  <c r="W86" i="8"/>
  <c r="AO85" i="8"/>
  <c r="AM69" i="8"/>
  <c r="AJ215" i="8"/>
  <c r="AL68" i="8"/>
  <c r="AN214" i="8" l="1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R85" i="8"/>
  <c r="AJ216" i="8"/>
  <c r="AS85" i="8"/>
  <c r="AL69" i="8"/>
  <c r="AM70" i="8"/>
  <c r="AJ88" i="8"/>
  <c r="AN87" i="8" l="1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R86" i="8"/>
  <c r="AJ217" i="8"/>
  <c r="AS86" i="8"/>
  <c r="W88" i="8"/>
  <c r="AM71" i="8"/>
  <c r="AO87" i="8"/>
  <c r="AJ89" i="8"/>
  <c r="AL70" i="8"/>
  <c r="AT86" i="8"/>
  <c r="AN88" i="8" l="1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R87" i="8"/>
  <c r="V88" i="8"/>
  <c r="AM72" i="8"/>
  <c r="AJ90" i="8"/>
  <c r="W89" i="8"/>
  <c r="AS87" i="8"/>
  <c r="AL71" i="8"/>
  <c r="AO88" i="8"/>
  <c r="AJ218" i="8"/>
  <c r="AT87" i="8"/>
  <c r="AN89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W90" i="8"/>
  <c r="AM73" i="8"/>
  <c r="AO89" i="8"/>
  <c r="AR88" i="8"/>
  <c r="AS88" i="8"/>
  <c r="AN90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S89" i="8"/>
  <c r="W91" i="8"/>
  <c r="AM74" i="8"/>
  <c r="AJ220" i="8"/>
  <c r="AJ92" i="8"/>
  <c r="AR89" i="8"/>
  <c r="AL73" i="8"/>
  <c r="AT89" i="8"/>
  <c r="AN91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S90" i="8"/>
  <c r="AR90" i="8"/>
  <c r="W92" i="8"/>
  <c r="AO91" i="8"/>
  <c r="V91" i="8"/>
  <c r="AL74" i="8"/>
  <c r="AM75" i="8"/>
  <c r="AJ93" i="8"/>
  <c r="AT90" i="8"/>
  <c r="AJ221" i="8"/>
  <c r="V92" i="8"/>
  <c r="AN92" i="8" l="1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S91" i="8"/>
  <c r="AO92" i="8"/>
  <c r="AJ222" i="8"/>
  <c r="AM76" i="8"/>
  <c r="W93" i="8"/>
  <c r="AL75" i="8"/>
  <c r="AR91" i="8"/>
  <c r="AN93" i="8" l="1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W94" i="8"/>
  <c r="V93" i="8"/>
  <c r="AJ95" i="8"/>
  <c r="AM77" i="8"/>
  <c r="AS92" i="8"/>
  <c r="AJ223" i="8"/>
  <c r="AL76" i="8"/>
  <c r="AO93" i="8"/>
  <c r="AR92" i="8"/>
  <c r="AT92" i="8"/>
  <c r="AN94" i="8" l="1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3" i="8"/>
  <c r="W95" i="8"/>
  <c r="AT93" i="8"/>
  <c r="AM78" i="8"/>
  <c r="AL77" i="8"/>
  <c r="V94" i="8"/>
  <c r="AO94" i="8"/>
  <c r="AJ96" i="8"/>
  <c r="AJ224" i="8"/>
  <c r="L95" i="8" l="1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S94" i="8"/>
  <c r="AL78" i="8"/>
  <c r="AT94" i="8"/>
  <c r="AJ97" i="8"/>
  <c r="AR94" i="8"/>
  <c r="AO95" i="8"/>
  <c r="W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R95" i="8"/>
  <c r="AL79" i="8"/>
  <c r="V96" i="8"/>
  <c r="AT95" i="8"/>
  <c r="AJ98" i="8"/>
  <c r="W97" i="8"/>
  <c r="AJ226" i="8"/>
  <c r="AM80" i="8"/>
  <c r="AO96" i="8"/>
  <c r="AS95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W98" i="8"/>
  <c r="AT96" i="8"/>
  <c r="AJ99" i="8"/>
  <c r="V97" i="8"/>
  <c r="AL80" i="8"/>
  <c r="AR96" i="8"/>
  <c r="AS96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R97" i="8"/>
  <c r="AM82" i="8"/>
  <c r="AL81" i="8"/>
  <c r="V98" i="8"/>
  <c r="AO98" i="8"/>
  <c r="W99" i="8"/>
  <c r="AT97" i="8"/>
  <c r="AS97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W100" i="8"/>
  <c r="AM83" i="8"/>
  <c r="AJ101" i="8"/>
  <c r="V99" i="8"/>
  <c r="AT98" i="8"/>
  <c r="AR98" i="8"/>
  <c r="AS98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AR99" i="8"/>
  <c r="V100" i="8"/>
  <c r="AT99" i="8"/>
  <c r="AS99" i="8"/>
  <c r="W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AS100" i="8"/>
  <c r="V101" i="8"/>
  <c r="W102" i="8"/>
  <c r="AM85" i="8"/>
  <c r="AR100" i="8"/>
  <c r="AL84" i="8"/>
  <c r="AT100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S101" i="8"/>
  <c r="W103" i="8"/>
  <c r="AO102" i="8"/>
  <c r="AR101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W104" i="8"/>
  <c r="V104" i="8"/>
  <c r="AL86" i="8"/>
  <c r="AM87" i="8"/>
  <c r="AO103" i="8"/>
  <c r="AT102" i="8"/>
  <c r="AJ233" i="8"/>
  <c r="AS102" i="8"/>
  <c r="V103" i="8"/>
  <c r="AJ105" i="8"/>
  <c r="AR102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S103" i="8"/>
  <c r="AJ106" i="8"/>
  <c r="AR103" i="8"/>
  <c r="AO104" i="8"/>
  <c r="W105" i="8"/>
  <c r="AJ234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W106" i="8"/>
  <c r="AO105" i="8"/>
  <c r="AJ235" i="8"/>
  <c r="AR104" i="8"/>
  <c r="AT104" i="8"/>
  <c r="AJ107" i="8"/>
  <c r="AS104" i="8"/>
  <c r="AM89" i="8"/>
  <c r="V105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S105" i="8"/>
  <c r="AO106" i="8"/>
  <c r="W107" i="8"/>
  <c r="AL89" i="8"/>
  <c r="W108" i="8"/>
  <c r="AR105" i="8"/>
  <c r="AJ236" i="8"/>
  <c r="AT105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R106" i="8"/>
  <c r="AL90" i="8"/>
  <c r="AS106" i="8"/>
  <c r="AO107" i="8"/>
  <c r="V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S107" i="8"/>
  <c r="AJ238" i="8"/>
  <c r="AO108" i="8"/>
  <c r="AR107" i="8"/>
  <c r="W109" i="8"/>
  <c r="AT10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W110" i="8"/>
  <c r="AL92" i="8"/>
  <c r="AJ239" i="8"/>
  <c r="AS108" i="8"/>
  <c r="AR108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W111" i="8"/>
  <c r="AL93" i="8"/>
  <c r="AQ240" i="8"/>
  <c r="AM240" i="8"/>
  <c r="AO109" i="8"/>
  <c r="AP240" i="8"/>
  <c r="AJ240" i="8"/>
  <c r="AL240" i="8"/>
  <c r="AJ112" i="8"/>
  <c r="V110" i="8"/>
  <c r="AM94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9" i="8"/>
  <c r="AM241" i="8"/>
  <c r="AT109" i="8"/>
  <c r="AS109" i="8"/>
  <c r="V111" i="8"/>
  <c r="AL94" i="8"/>
  <c r="AQ241" i="8"/>
  <c r="AL241" i="8"/>
  <c r="AP241" i="8"/>
  <c r="W112" i="8"/>
  <c r="V112" i="8"/>
  <c r="AJ241" i="8"/>
  <c r="AO111" i="8"/>
  <c r="AM95" i="8"/>
  <c r="AJ113" i="8"/>
  <c r="AO110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10" i="8"/>
  <c r="AT110" i="8"/>
  <c r="AS110" i="8"/>
  <c r="AR111" i="8"/>
  <c r="W113" i="8"/>
  <c r="AJ242" i="8"/>
  <c r="AO112" i="8"/>
  <c r="AP242" i="8"/>
  <c r="AJ114" i="8"/>
  <c r="AM96" i="8"/>
  <c r="AM242" i="8"/>
  <c r="AT111" i="8"/>
  <c r="AL95" i="8"/>
  <c r="AL242" i="8"/>
  <c r="AS111" i="8"/>
  <c r="AQ242" i="8"/>
  <c r="W114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AR112" i="8"/>
  <c r="V113" i="8"/>
  <c r="AL243" i="8"/>
  <c r="AS112" i="8"/>
  <c r="AJ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S113" i="8"/>
  <c r="AP96" i="8"/>
  <c r="AO114" i="8"/>
  <c r="AL97" i="8"/>
  <c r="AP244" i="8"/>
  <c r="AR113" i="8"/>
  <c r="AM98" i="8"/>
  <c r="W115" i="8"/>
  <c r="AL244" i="8"/>
  <c r="AT113" i="8"/>
  <c r="AJ244" i="8"/>
  <c r="AN244" i="8" l="1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S114" i="8"/>
  <c r="AO115" i="8"/>
  <c r="AQ98" i="8"/>
  <c r="AL98" i="8"/>
  <c r="AJ116" i="8"/>
  <c r="W116" i="8" s="1"/>
  <c r="AP97" i="8"/>
  <c r="V115" i="8"/>
  <c r="AR114" i="8"/>
  <c r="AM99" i="8"/>
  <c r="AQ246" i="8" l="1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S115" i="8"/>
  <c r="AT115" i="8"/>
  <c r="V116" i="8"/>
  <c r="AM100" i="8"/>
  <c r="AP98" i="8"/>
  <c r="AJ117" i="8"/>
  <c r="AJ118" i="8"/>
  <c r="AQ99" i="8"/>
  <c r="AL99" i="8"/>
  <c r="AR115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W118" i="8"/>
  <c r="AP99" i="8"/>
  <c r="AL100" i="8"/>
  <c r="AJ119" i="8"/>
  <c r="W117" i="8"/>
  <c r="AQ100" i="8"/>
  <c r="AO116" i="8"/>
  <c r="AN117" i="8" l="1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S116" i="8"/>
  <c r="AO118" i="8"/>
  <c r="AR116" i="8"/>
  <c r="AL101" i="8"/>
  <c r="AP100" i="8"/>
  <c r="V118" i="8"/>
  <c r="W119" i="8"/>
  <c r="V117" i="8"/>
  <c r="AM102" i="8"/>
  <c r="AO117" i="8"/>
  <c r="AT116" i="8"/>
  <c r="AO119" i="8"/>
  <c r="AS119" i="8" l="1"/>
  <c r="AT119" i="8"/>
  <c r="AR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R117" i="8"/>
  <c r="AM103" i="8"/>
  <c r="V119" i="8"/>
  <c r="AR118" i="8"/>
  <c r="AP101" i="8"/>
  <c r="AS117" i="8"/>
  <c r="AS118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W120" i="8"/>
  <c r="AO120" i="8" s="1"/>
  <c r="AS120" i="8" l="1"/>
  <c r="AT120" i="8"/>
  <c r="AR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W121" i="8"/>
  <c r="AL104" i="8"/>
  <c r="AO121" i="8"/>
  <c r="AJ122" i="8"/>
  <c r="V120" i="8"/>
  <c r="AQ104" i="8"/>
  <c r="AP103" i="8"/>
  <c r="W122" i="8"/>
  <c r="AO122" i="8" s="1"/>
  <c r="AM105" i="8"/>
  <c r="AS121" i="8" l="1"/>
  <c r="AT121" i="8"/>
  <c r="AR121" i="8"/>
  <c r="AT122" i="8"/>
  <c r="AS122" i="8"/>
  <c r="AR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W123" i="8"/>
  <c r="W124" i="8"/>
  <c r="AO124" i="8" s="1"/>
  <c r="AQ106" i="8"/>
  <c r="AP105" i="8"/>
  <c r="V123" i="8"/>
  <c r="AO123" i="8"/>
  <c r="AT123" i="8" l="1"/>
  <c r="AS123" i="8"/>
  <c r="AR123" i="8"/>
  <c r="AT124" i="8"/>
  <c r="AR124" i="8"/>
  <c r="AS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W125" i="8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T125" i="8" l="1"/>
  <c r="AS125" i="8"/>
  <c r="AR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<sst xmlns="http://schemas.openxmlformats.org/spreadsheetml/2006/main" count="3549" uniqueCount="1853">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</sst>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4">
        <f>IF(E13="","",ProjIncAtBit(F13,J13,C13,M13,AJ13,IF(AK13="",0,AK13)))</f>
        <v>1.1499999999999999</v>
      </c>
      <c r="X13" s="455">
        <f>IF(E13="","",ProjAzmAtBit(F13,G13,J13,C13,M13,AJ13,IF(AK13="",0,AK13),N13,O13))</f>
        <v>172.21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>
        <f>IF(X13="","",X13)</f>
        <v>172.21</v>
      </c>
      <c r="AO13" s="330">
        <f>IF(E13="","",ProjActiveTargetMdEx(D13,W13,V13,ProjTargets_MD,ProjTargets_INC,ProjTargets_AZM,ProjTargets_TVD,F13,H13))</f>
        <v>1600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 t="shared" ref="AR13:AR76" si="9">_xlfn.SINGLE(IF(OR(E13="",E13&lt;_xlfn.SINGLE(ProjBuildStartMd),AO13=""),"",ProjBurr(D13,W13,X13,Q13,C13,ProjTargets_MD,ProjTargets_INC,ProjTargets_AZM,ProjTargets_TVD,V13)))</f>
        <v/>
      </c>
      <c r="AS13" s="207" t="str">
        <f t="shared" ref="AS13:AS76" si="10">_xlfn.SINGLE(IF(OR(E13="",E13&lt;_xlfn.SINGLE(ProjBuildStartMd),AO13=""),"",ProjMetersToSlide(D13,W13,X13,Q13,C13,ProjTargets_MD,ProjTargets_INC,ProjTargets_AZM,ProjTargets_TVD,V13)))</f>
        <v/>
      </c>
      <c r="AT13" s="207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4">
        <f>IF(E14="","",ProjIncAtBit(F14,J14,C14,M14,AJ14,IF(AK14="",0,AK14)))</f>
        <v>1.21</v>
      </c>
      <c r="X14" s="455">
        <f>IF(E14="","",ProjAzmAtBit(F14,G14,J14,C14,M14,AJ14,IF(AK14="",0,AK14),N14,O14))</f>
        <v>176.29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>
        <f t="shared" ref="AN14:AN77" si="18">IF(X14="","",X14)</f>
        <v>176.29</v>
      </c>
      <c r="AO14" s="330">
        <f>IF(E14="","",ProjActiveTargetMdEx(D14,W14,V14,ProjTargets_MD,ProjTargets_INC,ProjTargets_AZM,ProjTargets_TVD,F14,H14))</f>
        <v>1600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 t="shared" si="9"/>
        <v/>
      </c>
      <c r="AS14" s="207" t="str">
        <f t="shared" si="10"/>
        <v/>
      </c>
      <c r="AT14" s="207" t="str">
        <f t="shared" si="11"/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4">
        <f>IF(E15="","",ProjIncAtBit(F15,J15,C15,M15,AJ15,IF(AK15="",0,AK15)))</f>
        <v>1.25</v>
      </c>
      <c r="X15" s="455">
        <f>IF(E15="","",ProjAzmAtBit(F15,G15,J15,C15,M15,AJ15,IF(AK15="",0,AK15),N15,O15))</f>
        <v>178.32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>
        <f t="shared" si="18"/>
        <v>178.32</v>
      </c>
      <c r="AO15" s="330">
        <f>IF(E15="","",ProjActiveTargetMdEx(D15,W15,V15,ProjTargets_MD,ProjTargets_INC,ProjTargets_AZM,ProjTargets_TVD,F15,H15))</f>
        <v>1600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 t="shared" si="9"/>
        <v/>
      </c>
      <c r="AS15" s="207" t="str">
        <f t="shared" si="10"/>
        <v/>
      </c>
      <c r="AT15" s="207" t="str">
        <f t="shared" si="11"/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4">
        <f>IF(E16="","",ProjIncAtBit(F16,J16,C16,M16,AJ16,IF(AK16="",0,AK16)))</f>
        <v>1.34</v>
      </c>
      <c r="X16" s="455">
        <f>IF(E16="","",ProjAzmAtBit(F16,G16,J16,C16,M16,AJ16,IF(AK16="",0,AK16),N16,O16))</f>
        <v>180.21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>
        <f t="shared" si="18"/>
        <v>180.21</v>
      </c>
      <c r="AO16" s="330">
        <f>IF(E16="","",ProjActiveTargetMdEx(D16,W16,V16,ProjTargets_MD,ProjTargets_INC,ProjTargets_AZM,ProjTargets_TVD,F16,H16))</f>
        <v>1600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 t="shared" si="9"/>
        <v/>
      </c>
      <c r="AS16" s="207" t="str">
        <f t="shared" si="10"/>
        <v/>
      </c>
      <c r="AT16" s="207" t="str">
        <f t="shared" si="11"/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4">
        <f>IF(E17="","",ProjIncAtBit(F17,J17,C17,M17,AJ17,IF(AK17="",0,AK17)))</f>
        <v>0.39</v>
      </c>
      <c r="X17" s="455">
        <f>IF(E17="","",ProjAzmAtBit(F17,G17,J17,C17,M17,AJ17,IF(AK17="",0,AK17),N17,O17))</f>
        <v>194.71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>
        <f t="shared" si="18"/>
        <v>194.71</v>
      </c>
      <c r="AO17" s="330">
        <f>IF(E17="","",ProjActiveTargetMdEx(D17,W17,V17,ProjTargets_MD,ProjTargets_INC,ProjTargets_AZM,ProjTargets_TVD,F17,H17))</f>
        <v>1600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 t="shared" si="9"/>
        <v/>
      </c>
      <c r="AS17" s="207" t="str">
        <f t="shared" si="10"/>
        <v/>
      </c>
      <c r="AT17" s="207" t="str">
        <f t="shared" si="11"/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4">
        <f>IF(E18="","",ProjIncAtBit(F18,J18,C18,M18,AJ18,IF(AK18="",0,AK18)))</f>
        <v>1.22</v>
      </c>
      <c r="X18" s="455">
        <f>IF(E18="","",ProjAzmAtBit(F18,G18,J18,C18,M18,AJ18,IF(AK18="",0,AK18),N18,O18))</f>
        <v>12.4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>
        <f t="shared" si="18"/>
        <v>12.4</v>
      </c>
      <c r="AO18" s="330">
        <f>IF(E18="","",ProjActiveTargetMdEx(D18,W18,V18,ProjTargets_MD,ProjTargets_INC,ProjTargets_AZM,ProjTargets_TVD,F18,H18))</f>
        <v>1600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 t="shared" si="9"/>
        <v/>
      </c>
      <c r="AS18" s="207" t="str">
        <f t="shared" si="10"/>
        <v/>
      </c>
      <c r="AT18" s="207" t="str">
        <f t="shared" si="11"/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4">
        <f>IF(E19="","",ProjIncAtBit(F19,J19,C19,M19,AJ19,IF(AK19="",0,AK19)))</f>
        <v>1.61</v>
      </c>
      <c r="X19" s="455">
        <f>IF(E19="","",ProjAzmAtBit(F19,G19,J19,C19,M19,AJ19,IF(AK19="",0,AK19),N19,O19))</f>
        <v>11.61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>
        <f t="shared" si="18"/>
        <v>11.61</v>
      </c>
      <c r="AO19" s="330">
        <f>IF(E19="","",ProjActiveTargetMdEx(D19,W19,V19,ProjTargets_MD,ProjTargets_INC,ProjTargets_AZM,ProjTargets_TVD,F19,H19))</f>
        <v>1600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 t="shared" si="9"/>
        <v/>
      </c>
      <c r="AS19" s="207" t="str">
        <f t="shared" si="10"/>
        <v/>
      </c>
      <c r="AT19" s="207" t="str">
        <f t="shared" si="11"/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4">
        <f>IF(E20="","",ProjIncAtBit(F20,J20,C20,M20,AJ20,IF(AK20="",0,AK20)))</f>
        <v>1.76</v>
      </c>
      <c r="X20" s="455">
        <f>IF(E20="","",ProjAzmAtBit(F20,G20,J20,C20,M20,AJ20,IF(AK20="",0,AK20),N20,O20))</f>
        <v>10.86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>
        <f t="shared" si="18"/>
        <v>10.86</v>
      </c>
      <c r="AO20" s="330">
        <f>IF(E20="","",ProjActiveTargetMdEx(D20,W20,V20,ProjTargets_MD,ProjTargets_INC,ProjTargets_AZM,ProjTargets_TVD,F20,H20))</f>
        <v>1600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 t="shared" si="9"/>
        <v/>
      </c>
      <c r="AS20" s="207" t="str">
        <f t="shared" si="10"/>
        <v/>
      </c>
      <c r="AT20" s="207" t="str">
        <f t="shared" si="11"/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4">
        <f>IF(E21="","",ProjIncAtBit(F21,J21,C21,M21,AJ21,IF(AK21="",0,AK21)))</f>
        <v>0.83</v>
      </c>
      <c r="X21" s="455">
        <f>IF(E21="","",ProjAzmAtBit(F21,G21,J21,C21,M21,AJ21,IF(AK21="",0,AK21),N21,O21))</f>
        <v>10.51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>
        <f t="shared" si="18"/>
        <v>10.51</v>
      </c>
      <c r="AO21" s="330">
        <f>IF(E21="","",ProjActiveTargetMdEx(D21,W21,V21,ProjTargets_MD,ProjTargets_INC,ProjTargets_AZM,ProjTargets_TVD,F21,H21))</f>
        <v>1600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 t="shared" si="9"/>
        <v/>
      </c>
      <c r="AS21" s="207" t="str">
        <f t="shared" si="10"/>
        <v/>
      </c>
      <c r="AT21" s="207" t="str">
        <f t="shared" si="11"/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4">
        <f>IF(E22="","",ProjIncAtBit(F22,J22,C22,M22,AJ22,IF(AK22="",0,AK22)))</f>
        <v>0.44</v>
      </c>
      <c r="X22" s="455">
        <f>IF(E22="","",ProjAzmAtBit(F22,G22,J22,C22,M22,AJ22,IF(AK22="",0,AK22),N22,O22))</f>
        <v>352.93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>
        <f t="shared" si="18"/>
        <v>352.93</v>
      </c>
      <c r="AO22" s="330">
        <f>IF(E22="","",ProjActiveTargetMdEx(D22,W22,V22,ProjTargets_MD,ProjTargets_INC,ProjTargets_AZM,ProjTargets_TVD,F22,H22))</f>
        <v>1600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 t="shared" si="9"/>
        <v/>
      </c>
      <c r="AS22" s="207" t="str">
        <f t="shared" si="10"/>
        <v/>
      </c>
      <c r="AT22" s="207" t="str">
        <f t="shared" si="11"/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4">
        <f>IF(E23="","",ProjIncAtBit(F23,J23,C23,M23,AJ23,IF(AK23="",0,AK23)))</f>
        <v>0.63</v>
      </c>
      <c r="X23" s="455">
        <f>IF(E23="","",ProjAzmAtBit(F23,G23,J23,C23,M23,AJ23,IF(AK23="",0,AK23),N23,O23))</f>
        <v>359.22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>
        <f t="shared" si="18"/>
        <v>359.22</v>
      </c>
      <c r="AO23" s="330">
        <f>IF(E23="","",ProjActiveTargetMdEx(D23,W23,V23,ProjTargets_MD,ProjTargets_INC,ProjTargets_AZM,ProjTargets_TVD,F23,H23))</f>
        <v>1600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 t="shared" si="9"/>
        <v/>
      </c>
      <c r="AS23" s="207" t="str">
        <f t="shared" si="10"/>
        <v/>
      </c>
      <c r="AT23" s="207" t="str">
        <f t="shared" si="11"/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4">
        <f>IF(E24="","",ProjIncAtBit(F24,J24,C24,M24,AJ24,IF(AK24="",0,AK24)))</f>
        <v>0.71</v>
      </c>
      <c r="X24" s="455">
        <f>IF(E24="","",ProjAzmAtBit(F24,G24,J24,C24,M24,AJ24,IF(AK24="",0,AK24),N24,O24))</f>
        <v>0.4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>
        <f t="shared" si="18"/>
        <v>0.4</v>
      </c>
      <c r="AO24" s="330">
        <f>IF(E24="","",ProjActiveTargetMdEx(D24,W24,V24,ProjTargets_MD,ProjTargets_INC,ProjTargets_AZM,ProjTargets_TVD,F24,H24))</f>
        <v>1600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 t="shared" si="9"/>
        <v/>
      </c>
      <c r="AS24" s="207" t="str">
        <f t="shared" si="10"/>
        <v/>
      </c>
      <c r="AT24" s="207" t="str">
        <f t="shared" si="11"/>
        <v/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4">
        <f>IF(E25="","",ProjIncAtBit(F25,J25,C25,M25,AJ25,IF(AK25="",0,AK25)))</f>
        <v>0.67</v>
      </c>
      <c r="X25" s="455">
        <f>IF(E25="","",ProjAzmAtBit(F25,G25,J25,C25,M25,AJ25,IF(AK25="",0,AK25),N25,O25))</f>
        <v>4.53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>
        <f t="shared" si="18"/>
        <v>4.53</v>
      </c>
      <c r="AO25" s="330">
        <f>IF(E25="","",ProjActiveTargetMdEx(D25,W25,V25,ProjTargets_MD,ProjTargets_INC,ProjTargets_AZM,ProjTargets_TVD,F25,H25))</f>
        <v>1600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 t="shared" si="9"/>
        <v/>
      </c>
      <c r="AS25" s="207" t="str">
        <f t="shared" si="10"/>
        <v/>
      </c>
      <c r="AT25" s="207" t="str">
        <f t="shared" si="11"/>
        <v/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4">
        <f>IF(E26="","",ProjIncAtBit(F26,J26,C26,M26,AJ26,IF(AK26="",0,AK26)))</f>
        <v>0.7</v>
      </c>
      <c r="X26" s="455">
        <f>IF(E26="","",ProjAzmAtBit(F26,G26,J26,C26,M26,AJ26,IF(AK26="",0,AK26),N26,O26))</f>
        <v>3.74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>
        <f t="shared" si="18"/>
        <v>3.74</v>
      </c>
      <c r="AO26" s="330">
        <f>IF(E26="","",ProjActiveTargetMdEx(D26,W26,V26,ProjTargets_MD,ProjTargets_INC,ProjTargets_AZM,ProjTargets_TVD,F26,H26))</f>
        <v>1600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 t="shared" si="9"/>
        <v/>
      </c>
      <c r="AS26" s="207" t="str">
        <f t="shared" si="10"/>
        <v/>
      </c>
      <c r="AT26" s="207" t="str">
        <f t="shared" si="11"/>
        <v/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4">
        <f>IF(E27="","",ProjIncAtBit(F27,J27,C27,M27,AJ27,IF(AK27="",0,AK27)))</f>
        <v>0.73</v>
      </c>
      <c r="X27" s="455">
        <f>IF(E27="","",ProjAzmAtBit(F27,G27,J27,C27,M27,AJ27,IF(AK27="",0,AK27),N27,O27))</f>
        <v>352.71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>
        <f t="shared" si="18"/>
        <v>352.71</v>
      </c>
      <c r="AO27" s="330">
        <f>IF(E27="","",ProjActiveTargetMdEx(D27,W27,V27,ProjTargets_MD,ProjTargets_INC,ProjTargets_AZM,ProjTargets_TVD,F27,H27))</f>
        <v>1600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 t="shared" si="9"/>
        <v/>
      </c>
      <c r="AS27" s="207" t="str">
        <f t="shared" si="10"/>
        <v/>
      </c>
      <c r="AT27" s="207" t="str">
        <f t="shared" si="11"/>
        <v/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4">
        <f>IF(E28="","",ProjIncAtBit(F28,J28,C28,M28,AJ28,IF(AK28="",0,AK28)))</f>
        <v>0.83</v>
      </c>
      <c r="X28" s="455">
        <f>IF(E28="","",ProjAzmAtBit(F28,G28,J28,C28,M28,AJ28,IF(AK28="",0,AK28),N28,O28))</f>
        <v>346.6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>
        <f t="shared" si="18"/>
        <v>346.6</v>
      </c>
      <c r="AO28" s="330">
        <f>IF(E28="","",ProjActiveTargetMdEx(D28,W28,V28,ProjTargets_MD,ProjTargets_INC,ProjTargets_AZM,ProjTargets_TVD,F28,H28))</f>
        <v>1600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 t="shared" si="9"/>
        <v/>
      </c>
      <c r="AS28" s="207" t="str">
        <f t="shared" si="10"/>
        <v/>
      </c>
      <c r="AT28" s="207" t="str">
        <f t="shared" si="11"/>
        <v/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4">
        <f>IF(E29="","",ProjIncAtBit(F29,J29,C29,M29,AJ29,IF(AK29="",0,AK29)))</f>
        <v>0.67</v>
      </c>
      <c r="X29" s="455">
        <f>IF(E29="","",ProjAzmAtBit(F29,G29,J29,C29,M29,AJ29,IF(AK29="",0,AK29),N29,O29))</f>
        <v>328.93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>
        <f t="shared" si="18"/>
        <v>328.93</v>
      </c>
      <c r="AO29" s="330">
        <f>IF(E29="","",ProjActiveTargetMdEx(D29,W29,V29,ProjTargets_MD,ProjTargets_INC,ProjTargets_AZM,ProjTargets_TVD,F29,H29))</f>
        <v>1600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 t="shared" si="9"/>
        <v/>
      </c>
      <c r="AS29" s="207" t="str">
        <f t="shared" si="10"/>
        <v/>
      </c>
      <c r="AT29" s="207" t="str">
        <f t="shared" si="11"/>
        <v/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4">
        <f>IF(E30="","",ProjIncAtBit(F30,J30,C30,M30,AJ30,IF(AK30="",0,AK30)))</f>
        <v>0.71</v>
      </c>
      <c r="X30" s="455">
        <f>IF(E30="","",ProjAzmAtBit(F30,G30,J30,C30,M30,AJ30,IF(AK30="",0,AK30),N30,O30))</f>
        <v>310.26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>
        <f t="shared" si="18"/>
        <v>310.26</v>
      </c>
      <c r="AO30" s="330">
        <f>IF(E30="","",ProjActiveTargetMdEx(D30,W30,V30,ProjTargets_MD,ProjTargets_INC,ProjTargets_AZM,ProjTargets_TVD,F30,H30))</f>
        <v>1600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 t="shared" si="9"/>
        <v/>
      </c>
      <c r="AS30" s="207" t="str">
        <f t="shared" si="10"/>
        <v/>
      </c>
      <c r="AT30" s="207" t="str">
        <f t="shared" si="11"/>
        <v/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4">
        <f>IF(E31="","",ProjIncAtBit(F31,J31,C31,M31,AJ31,IF(AK31="",0,AK31)))</f>
        <v>0.97</v>
      </c>
      <c r="X31" s="455">
        <f>IF(E31="","",ProjAzmAtBit(F31,G31,J31,C31,M31,AJ31,IF(AK31="",0,AK31),N31,O31))</f>
        <v>252.94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>
        <f t="shared" si="18"/>
        <v>252.94</v>
      </c>
      <c r="AO31" s="330">
        <f>IF(E31="","",ProjActiveTargetMdEx(D31,W31,V31,ProjTargets_MD,ProjTargets_INC,ProjTargets_AZM,ProjTargets_TVD,F31,H31))</f>
        <v>1600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 t="shared" si="9"/>
        <v/>
      </c>
      <c r="AS31" s="207" t="str">
        <f t="shared" si="10"/>
        <v/>
      </c>
      <c r="AT31" s="207" t="str">
        <f t="shared" si="11"/>
        <v/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4">
        <f>IF(E32="","",ProjIncAtBit(F32,J32,C32,M32,AJ32,IF(AK32="",0,AK32)))</f>
        <v>1.18</v>
      </c>
      <c r="X32" s="455">
        <f>IF(E32="","",ProjAzmAtBit(F32,G32,J32,C32,M32,AJ32,IF(AK32="",0,AK32),N32,O32))</f>
        <v>246.04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>
        <f t="shared" si="18"/>
        <v>246.04</v>
      </c>
      <c r="AO32" s="330">
        <f>IF(E32="","",ProjActiveTargetMdEx(D32,W32,V32,ProjTargets_MD,ProjTargets_INC,ProjTargets_AZM,ProjTargets_TVD,F32,H32))</f>
        <v>1600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 t="shared" si="9"/>
        <v/>
      </c>
      <c r="AS32" s="207" t="str">
        <f t="shared" si="10"/>
        <v/>
      </c>
      <c r="AT32" s="207" t="str">
        <f t="shared" si="11"/>
        <v/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4">
        <f>IF(E33="","",ProjIncAtBit(F33,J33,C33,M33,AJ33,IF(AK33="",0,AK33)))</f>
        <v>1.26</v>
      </c>
      <c r="X33" s="455">
        <f>IF(E33="","",ProjAzmAtBit(F33,G33,J33,C33,M33,AJ33,IF(AK33="",0,AK33),N33,O33))</f>
        <v>236.46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>
        <f t="shared" si="18"/>
        <v>236.46</v>
      </c>
      <c r="AO33" s="330">
        <f>IF(E33="","",ProjActiveTargetMdEx(D33,W33,V33,ProjTargets_MD,ProjTargets_INC,ProjTargets_AZM,ProjTargets_TVD,F33,H33))</f>
        <v>1600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 t="shared" si="9"/>
        <v/>
      </c>
      <c r="AS33" s="207" t="str">
        <f t="shared" si="10"/>
        <v/>
      </c>
      <c r="AT33" s="207" t="str">
        <f t="shared" si="11"/>
        <v/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4">
        <f>IF(E34="","",ProjIncAtBit(F34,J34,C34,M34,AJ34,IF(AK34="",0,AK34)))</f>
        <v>1.1299999999999999</v>
      </c>
      <c r="X34" s="455">
        <f>IF(E34="","",ProjAzmAtBit(F34,G34,J34,C34,M34,AJ34,IF(AK34="",0,AK34),N34,O34))</f>
        <v>228.6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>
        <f t="shared" si="18"/>
        <v>228.6</v>
      </c>
      <c r="AO34" s="330">
        <f>IF(E34="","",ProjActiveTargetMdEx(D34,W34,V34,ProjTargets_MD,ProjTargets_INC,ProjTargets_AZM,ProjTargets_TVD,F34,H34))</f>
        <v>1600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 t="shared" si="9"/>
        <v/>
      </c>
      <c r="AS34" s="207" t="str">
        <f t="shared" si="10"/>
        <v/>
      </c>
      <c r="AT34" s="207" t="str">
        <f t="shared" si="11"/>
        <v/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4">
        <f>IF(E35="","",ProjIncAtBit(F35,J35,C35,M35,AJ35,IF(AK35="",0,AK35)))</f>
        <v>1.1399999999999999</v>
      </c>
      <c r="X35" s="455">
        <f>IF(E35="","",ProjAzmAtBit(F35,G35,J35,C35,M35,AJ35,IF(AK35="",0,AK35),N35,O35))</f>
        <v>212.86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>
        <f t="shared" si="18"/>
        <v>212.86</v>
      </c>
      <c r="AO35" s="330">
        <f>IF(E35="","",ProjActiveTargetMdEx(D35,W35,V35,ProjTargets_MD,ProjTargets_INC,ProjTargets_AZM,ProjTargets_TVD,F35,H35))</f>
        <v>1600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 t="shared" si="9"/>
        <v/>
      </c>
      <c r="AS35" s="207" t="str">
        <f t="shared" si="10"/>
        <v/>
      </c>
      <c r="AT35" s="207" t="str">
        <f t="shared" si="11"/>
        <v/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4">
        <f>IF(E36="","",ProjIncAtBit(F36,J36,C36,M36,AJ36,IF(AK36="",0,AK36)))</f>
        <v>0.93</v>
      </c>
      <c r="X36" s="455">
        <f>IF(E36="","",ProjAzmAtBit(F36,G36,J36,C36,M36,AJ36,IF(AK36="",0,AK36),N36,O36))</f>
        <v>217.78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>
        <f t="shared" si="18"/>
        <v>217.78</v>
      </c>
      <c r="AO36" s="330">
        <f>IF(E36="","",ProjActiveTargetMdEx(D36,W36,V36,ProjTargets_MD,ProjTargets_INC,ProjTargets_AZM,ProjTargets_TVD,F36,H36))</f>
        <v>1600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 t="shared" si="9"/>
        <v/>
      </c>
      <c r="AS36" s="207" t="str">
        <f t="shared" si="10"/>
        <v/>
      </c>
      <c r="AT36" s="207" t="str">
        <f t="shared" si="11"/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4">
        <f>IF(E37="","",ProjIncAtBit(F37,J37,C37,M37,AJ37,IF(AK37="",0,AK37)))</f>
        <v>1.91</v>
      </c>
      <c r="X37" s="455">
        <f>IF(E37="","",ProjAzmAtBit(F37,G37,J37,C37,M37,AJ37,IF(AK37="",0,AK37),N37,O37))</f>
        <v>154.85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>
        <f t="shared" si="18"/>
        <v>154.85</v>
      </c>
      <c r="AO37" s="330">
        <f>IF(E37="","",ProjActiveTargetMdEx(D37,W37,V37,ProjTargets_MD,ProjTargets_INC,ProjTargets_AZM,ProjTargets_TVD,F37,H37))</f>
        <v>1600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 t="shared" si="9"/>
        <v/>
      </c>
      <c r="AS37" s="207" t="str">
        <f t="shared" si="10"/>
        <v/>
      </c>
      <c r="AT37" s="207" t="str">
        <f t="shared" si="11"/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4">
        <f>IF(E38="","",ProjIncAtBit(F38,J38,C38,M38,AJ38,IF(AK38="",0,AK38)))</f>
        <v>1.79</v>
      </c>
      <c r="X38" s="455">
        <f>IF(E38="","",ProjAzmAtBit(F38,G38,J38,C38,M38,AJ38,IF(AK38="",0,AK38),N38,O38))</f>
        <v>148.94999999999999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>
        <f t="shared" si="18"/>
        <v>148.94999999999999</v>
      </c>
      <c r="AO38" s="330">
        <f>IF(E38="","",ProjActiveTargetMdEx(D38,W38,V38,ProjTargets_MD,ProjTargets_INC,ProjTargets_AZM,ProjTargets_TVD,F38,H38))</f>
        <v>1600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 t="shared" si="9"/>
        <v/>
      </c>
      <c r="AS38" s="207" t="str">
        <f t="shared" si="10"/>
        <v/>
      </c>
      <c r="AT38" s="207" t="str">
        <f t="shared" si="11"/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4">
        <f>IF(E39="","",ProjIncAtBit(F39,J39,C39,M39,AJ39,IF(AK39="",0,AK39)))</f>
        <v>1.04</v>
      </c>
      <c r="X39" s="455">
        <f>IF(E39="","",ProjAzmAtBit(F39,G39,J39,C39,M39,AJ39,IF(AK39="",0,AK39),N39,O39))</f>
        <v>156.63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>
        <f t="shared" si="18"/>
        <v>156.63</v>
      </c>
      <c r="AO39" s="330">
        <f>IF(E39="","",ProjActiveTargetMdEx(D39,W39,V39,ProjTargets_MD,ProjTargets_INC,ProjTargets_AZM,ProjTargets_TVD,F39,H39))</f>
        <v>1600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 t="shared" si="9"/>
        <v/>
      </c>
      <c r="AS39" s="207" t="str">
        <f t="shared" si="10"/>
        <v/>
      </c>
      <c r="AT39" s="207" t="str">
        <f t="shared" si="11"/>
        <v/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4">
        <f>IF(E40="","",ProjIncAtBit(F40,J40,C40,M40,AJ40,IF(AK40="",0,AK40)))</f>
        <v>0.75</v>
      </c>
      <c r="X40" s="455">
        <f>IF(E40="","",ProjAzmAtBit(F40,G40,J40,C40,M40,AJ40,IF(AK40="",0,AK40),N40,O40))</f>
        <v>155.06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>
        <f t="shared" si="18"/>
        <v>155.06</v>
      </c>
      <c r="AO40" s="330">
        <f>IF(E40="","",ProjActiveTargetMdEx(D40,W40,V40,ProjTargets_MD,ProjTargets_INC,ProjTargets_AZM,ProjTargets_TVD,F40,H40))</f>
        <v>1600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 t="shared" si="9"/>
        <v/>
      </c>
      <c r="AS40" s="207" t="str">
        <f t="shared" si="10"/>
        <v/>
      </c>
      <c r="AT40" s="207" t="str">
        <f t="shared" si="11"/>
        <v/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4">
        <f>IF(E41="","",ProjIncAtBit(F41,J41,C41,M41,AJ41,IF(AK41="",0,AK41)))</f>
        <v>0.51</v>
      </c>
      <c r="X41" s="455">
        <f>IF(E41="","",ProjAzmAtBit(F41,G41,J41,C41,M41,AJ41,IF(AK41="",0,AK41),N41,O41))</f>
        <v>146.35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>
        <f t="shared" si="18"/>
        <v>146.35</v>
      </c>
      <c r="AO41" s="330">
        <f>IF(E41="","",ProjActiveTargetMdEx(D41,W41,V41,ProjTargets_MD,ProjTargets_INC,ProjTargets_AZM,ProjTargets_TVD,F41,H41))</f>
        <v>1600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 t="shared" si="9"/>
        <v/>
      </c>
      <c r="AS41" s="207" t="str">
        <f t="shared" si="10"/>
        <v/>
      </c>
      <c r="AT41" s="207" t="str">
        <f t="shared" si="11"/>
        <v/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4">
        <f>IF(E42="","",ProjIncAtBit(F42,J42,C42,M42,AJ42,IF(AK42="",0,AK42)))</f>
        <v>0.47</v>
      </c>
      <c r="X42" s="455">
        <f>IF(E42="","",ProjAzmAtBit(F42,G42,J42,C42,M42,AJ42,IF(AK42="",0,AK42),N42,O42))</f>
        <v>122.09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>
        <f t="shared" si="18"/>
        <v>122.09</v>
      </c>
      <c r="AO42" s="330">
        <f>IF(E42="","",ProjActiveTargetMdEx(D42,W42,V42,ProjTargets_MD,ProjTargets_INC,ProjTargets_AZM,ProjTargets_TVD,F42,H42))</f>
        <v>1600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 t="shared" si="9"/>
        <v/>
      </c>
      <c r="AS42" s="207" t="str">
        <f t="shared" si="10"/>
        <v/>
      </c>
      <c r="AT42" s="207" t="str">
        <f t="shared" si="11"/>
        <v/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4">
        <f>IF(E43="","",ProjIncAtBit(F43,J43,C43,M43,AJ43,IF(AK43="",0,AK43)))</f>
        <v>0.42</v>
      </c>
      <c r="X43" s="455">
        <f>IF(E43="","",ProjAzmAtBit(F43,G43,J43,C43,M43,AJ43,IF(AK43="",0,AK43),N43,O43))</f>
        <v>111.12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>
        <f t="shared" si="18"/>
        <v>111.12</v>
      </c>
      <c r="AO43" s="330">
        <f>IF(E43="","",ProjActiveTargetMdEx(D43,W43,V43,ProjTargets_MD,ProjTargets_INC,ProjTargets_AZM,ProjTargets_TVD,F43,H43))</f>
        <v>1600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 t="shared" si="9"/>
        <v/>
      </c>
      <c r="AS43" s="207" t="str">
        <f t="shared" si="10"/>
        <v/>
      </c>
      <c r="AT43" s="207" t="str">
        <f t="shared" si="11"/>
        <v/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4">
        <f>IF(E44="","",ProjIncAtBit(F44,J44,C44,M44,AJ44,IF(AK44="",0,AK44)))</f>
        <v>0.59</v>
      </c>
      <c r="X44" s="455">
        <f>IF(E44="","",ProjAzmAtBit(F44,G44,J44,C44,M44,AJ44,IF(AK44="",0,AK44),N44,O44))</f>
        <v>53.01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>
        <f t="shared" si="18"/>
        <v>53.01</v>
      </c>
      <c r="AO44" s="330">
        <f>IF(E44="","",ProjActiveTargetMdEx(D44,W44,V44,ProjTargets_MD,ProjTargets_INC,ProjTargets_AZM,ProjTargets_TVD,F44,H44))</f>
        <v>1600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 t="shared" si="9"/>
        <v/>
      </c>
      <c r="AS44" s="207" t="str">
        <f t="shared" si="10"/>
        <v/>
      </c>
      <c r="AT44" s="207" t="str">
        <f t="shared" si="11"/>
        <v/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>
        <f>IF(E45="","",ProjTvdAtBit(E45,F45,G45,H45,D45,W45,X45))</f>
        <v>1002.413675891179</v>
      </c>
      <c r="W45" s="344">
        <f>IF(E45="","",ProjIncAtBit(F45,J45,C45,M45,AJ45,IF(AK45="",0,AK45)))</f>
        <v>0.71</v>
      </c>
      <c r="X45" s="455">
        <f>IF(E45="","",ProjAzmAtBit(F45,G45,J45,C45,M45,AJ45,IF(AK45="",0,AK45),N45,O45))</f>
        <v>19.55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>
        <f t="shared" si="18"/>
        <v>19.55</v>
      </c>
      <c r="AO45" s="330">
        <f>IF(E45="","",ProjActiveTargetMdEx(D45,W45,V45,ProjTargets_MD,ProjTargets_INC,ProjTargets_AZM,ProjTargets_TVD,F45,H45))</f>
        <v>1600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 t="shared" si="9"/>
        <v/>
      </c>
      <c r="AS45" s="207" t="str">
        <f t="shared" si="10"/>
        <v/>
      </c>
      <c r="AT45" s="207" t="str">
        <f t="shared" si="11"/>
        <v/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4">
        <f>IF(E46="","",ProjIncAtBit(F46,J46,C46,M46,AJ46,IF(AK46="",0,AK46)))</f>
        <v>0.98</v>
      </c>
      <c r="X46" s="455">
        <f>IF(E46="","",ProjAzmAtBit(F46,G46,J46,C46,M46,AJ46,IF(AK46="",0,AK46),N46,O46))</f>
        <v>0.31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>
        <f t="shared" si="18"/>
        <v>0.31</v>
      </c>
      <c r="AO46" s="330">
        <f>IF(E46="","",ProjActiveTargetMdEx(D46,W46,V46,ProjTargets_MD,ProjTargets_INC,ProjTargets_AZM,ProjTargets_TVD,F46,H46))</f>
        <v>1600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 t="shared" si="9"/>
        <v/>
      </c>
      <c r="AS46" s="207" t="str">
        <f t="shared" si="10"/>
        <v/>
      </c>
      <c r="AT46" s="207" t="str">
        <f t="shared" si="11"/>
        <v/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4">
        <f>IF(E47="","",ProjIncAtBit(F47,J47,C47,M47,AJ47,IF(AK47="",0,AK47)))</f>
        <v>0.95</v>
      </c>
      <c r="X47" s="455">
        <f>IF(E47="","",ProjAzmAtBit(F47,G47,J47,C47,M47,AJ47,IF(AK47="",0,AK47),N47,O47))</f>
        <v>359.83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>
        <f t="shared" si="18"/>
        <v>359.83</v>
      </c>
      <c r="AO47" s="330">
        <f>IF(E47="","",ProjActiveTargetMdEx(D47,W47,V47,ProjTargets_MD,ProjTargets_INC,ProjTargets_AZM,ProjTargets_TVD,F47,H47))</f>
        <v>1600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 t="shared" si="9"/>
        <v/>
      </c>
      <c r="AS47" s="207" t="str">
        <f t="shared" si="10"/>
        <v/>
      </c>
      <c r="AT47" s="207" t="str">
        <f t="shared" si="11"/>
        <v/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4">
        <f>IF(E48="","",ProjIncAtBit(F48,J48,C48,M48,AJ48,IF(AK48="",0,AK48)))</f>
        <v>0.96</v>
      </c>
      <c r="X48" s="455">
        <f>IF(E48="","",ProjAzmAtBit(F48,G48,J48,C48,M48,AJ48,IF(AK48="",0,AK48),N48,O48))</f>
        <v>344.4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>
        <f t="shared" si="18"/>
        <v>344.4</v>
      </c>
      <c r="AO48" s="330">
        <f>IF(E48="","",ProjActiveTargetMdEx(D48,W48,V48,ProjTargets_MD,ProjTargets_INC,ProjTargets_AZM,ProjTargets_TVD,F48,H48))</f>
        <v>1600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 t="shared" si="9"/>
        <v/>
      </c>
      <c r="AS48" s="207" t="str">
        <f t="shared" si="10"/>
        <v/>
      </c>
      <c r="AT48" s="207" t="str">
        <f t="shared" si="11"/>
        <v/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4">
        <f>IF(E49="","",ProjIncAtBit(F49,J49,C49,M49,AJ49,IF(AK49="",0,AK49)))</f>
        <v>1.1499999999999999</v>
      </c>
      <c r="X49" s="455">
        <f>IF(E49="","",ProjAzmAtBit(F49,G49,J49,C49,M49,AJ49,IF(AK49="",0,AK49),N49,O49))</f>
        <v>337.36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>
        <f t="shared" si="18"/>
        <v>337.36</v>
      </c>
      <c r="AO49" s="330">
        <f>IF(E49="","",ProjActiveTargetMdEx(D49,W49,V49,ProjTargets_MD,ProjTargets_INC,ProjTargets_AZM,ProjTargets_TVD,F49,H49))</f>
        <v>1600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 t="shared" si="9"/>
        <v/>
      </c>
      <c r="AS49" s="207" t="str">
        <f t="shared" si="10"/>
        <v/>
      </c>
      <c r="AT49" s="207" t="str">
        <f t="shared" si="11"/>
        <v/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4">
        <f>IF(E50="","",ProjIncAtBit(F50,J50,C50,M50,AJ50,IF(AK50="",0,AK50)))</f>
        <v>1.02</v>
      </c>
      <c r="X50" s="455">
        <f>IF(E50="","",ProjAzmAtBit(F50,G50,J50,C50,M50,AJ50,IF(AK50="",0,AK50),N50,O50))</f>
        <v>338.58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>
        <f t="shared" si="18"/>
        <v>338.58</v>
      </c>
      <c r="AO50" s="330">
        <f>IF(E50="","",ProjActiveTargetMdEx(D50,W50,V50,ProjTargets_MD,ProjTargets_INC,ProjTargets_AZM,ProjTargets_TVD,F50,H50))</f>
        <v>1600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 t="shared" si="9"/>
        <v/>
      </c>
      <c r="AS50" s="207" t="str">
        <f t="shared" si="10"/>
        <v/>
      </c>
      <c r="AT50" s="207" t="str">
        <f t="shared" si="11"/>
        <v/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4">
        <f>IF(E51="","",ProjIncAtBit(F51,J51,C51,M51,AJ51,IF(AK51="",0,AK51)))</f>
        <v>0.88</v>
      </c>
      <c r="X51" s="455">
        <f>IF(E51="","",ProjAzmAtBit(F51,G51,J51,C51,M51,AJ51,IF(AK51="",0,AK51),N51,O51))</f>
        <v>339.69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>
        <f t="shared" si="18"/>
        <v>339.69</v>
      </c>
      <c r="AO51" s="330">
        <f>IF(E51="","",ProjActiveTargetMdEx(D51,W51,V51,ProjTargets_MD,ProjTargets_INC,ProjTargets_AZM,ProjTargets_TVD,F51,H51))</f>
        <v>1600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 t="shared" si="9"/>
        <v/>
      </c>
      <c r="AS51" s="207" t="str">
        <f t="shared" si="10"/>
        <v/>
      </c>
      <c r="AT51" s="207" t="str">
        <f t="shared" si="11"/>
        <v/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4">
        <f>IF(E52="","",ProjIncAtBit(F52,J52,C52,M52,AJ52,IF(AK52="",0,AK52)))</f>
        <v>0.9</v>
      </c>
      <c r="X52" s="455">
        <f>IF(E52="","",ProjAzmAtBit(F52,G52,J52,C52,M52,AJ52,IF(AK52="",0,AK52),N52,O52))</f>
        <v>333.09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>
        <f t="shared" si="18"/>
        <v>333.09</v>
      </c>
      <c r="AO52" s="330">
        <f>IF(E52="","",ProjActiveTargetMdEx(D52,W52,V52,ProjTargets_MD,ProjTargets_INC,ProjTargets_AZM,ProjTargets_TVD,F52,H52))</f>
        <v>1600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 t="shared" si="9"/>
        <v/>
      </c>
      <c r="AS52" s="207" t="str">
        <f t="shared" si="10"/>
        <v/>
      </c>
      <c r="AT52" s="207" t="str">
        <f t="shared" si="11"/>
        <v/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4">
        <f>IF(E53="","",ProjIncAtBit(F53,J53,C53,M53,AJ53,IF(AK53="",0,AK53)))</f>
        <v>0.98</v>
      </c>
      <c r="X53" s="455">
        <f>IF(E53="","",ProjAzmAtBit(F53,G53,J53,C53,M53,AJ53,IF(AK53="",0,AK53),N53,O53))</f>
        <v>336.18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>
        <f t="shared" si="18"/>
        <v>336.18</v>
      </c>
      <c r="AO53" s="330">
        <f>IF(E53="","",ProjActiveTargetMdEx(D53,W53,V53,ProjTargets_MD,ProjTargets_INC,ProjTargets_AZM,ProjTargets_TVD,F53,H53))</f>
        <v>1600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 t="shared" si="9"/>
        <v/>
      </c>
      <c r="AS53" s="207" t="str">
        <f t="shared" si="10"/>
        <v/>
      </c>
      <c r="AT53" s="207" t="str">
        <f t="shared" si="11"/>
        <v/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4">
        <f>IF(E54="","",ProjIncAtBit(F54,J54,C54,M54,AJ54,IF(AK54="",0,AK54)))</f>
        <v>0.95</v>
      </c>
      <c r="X54" s="455">
        <f>IF(E54="","",ProjAzmAtBit(F54,G54,J54,C54,M54,AJ54,IF(AK54="",0,AK54),N54,O54))</f>
        <v>340.51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>
        <f t="shared" si="18"/>
        <v>340.51</v>
      </c>
      <c r="AO54" s="330">
        <f>IF(E54="","",ProjActiveTargetMdEx(D54,W54,V54,ProjTargets_MD,ProjTargets_INC,ProjTargets_AZM,ProjTargets_TVD,F54,H54))</f>
        <v>1600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 t="shared" si="9"/>
        <v/>
      </c>
      <c r="AS54" s="207" t="str">
        <f t="shared" si="10"/>
        <v/>
      </c>
      <c r="AT54" s="207" t="str">
        <f t="shared" si="11"/>
        <v/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4">
        <f>IF(E55="","",ProjIncAtBit(F55,J55,C55,M55,AJ55,IF(AK55="",0,AK55)))</f>
        <v>0.24</v>
      </c>
      <c r="X55" s="455">
        <f>IF(E55="","",ProjAzmAtBit(F55,G55,J55,C55,M55,AJ55,IF(AK55="",0,AK55),N55,O55))</f>
        <v>220.05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>
        <f t="shared" si="18"/>
        <v>220.05</v>
      </c>
      <c r="AO55" s="330">
        <f>IF(E55="","",ProjActiveTargetMdEx(D55,W55,V55,ProjTargets_MD,ProjTargets_INC,ProjTargets_AZM,ProjTargets_TVD,F55,H55))</f>
        <v>1600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 t="shared" si="9"/>
        <v/>
      </c>
      <c r="AS55" s="207" t="str">
        <f t="shared" si="10"/>
        <v/>
      </c>
      <c r="AT55" s="207" t="str">
        <f t="shared" si="11"/>
        <v/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4">
        <f>IF(E56="","",ProjIncAtBit(F56,J56,C56,M56,AJ56,IF(AK56="",0,AK56)))</f>
        <v>0.2</v>
      </c>
      <c r="X56" s="455">
        <f>IF(E56="","",ProjAzmAtBit(F56,G56,J56,C56,M56,AJ56,IF(AK56="",0,AK56),N56,O56))</f>
        <v>258.38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>
        <f t="shared" si="18"/>
        <v>258.38</v>
      </c>
      <c r="AO56" s="330">
        <f>IF(E56="","",ProjActiveTargetMdEx(D56,W56,V56,ProjTargets_MD,ProjTargets_INC,ProjTargets_AZM,ProjTargets_TVD,F56,H56))</f>
        <v>1600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 t="shared" si="9"/>
        <v/>
      </c>
      <c r="AS56" s="207" t="str">
        <f t="shared" si="10"/>
        <v/>
      </c>
      <c r="AT56" s="207" t="str">
        <f t="shared" si="11"/>
        <v/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4">
        <f>IF(E57="","",ProjIncAtBit(F57,J57,C57,M57,AJ57,IF(AK57="",0,AK57)))</f>
        <v>0.22</v>
      </c>
      <c r="X57" s="455">
        <f>IF(E57="","",ProjAzmAtBit(F57,G57,J57,C57,M57,AJ57,IF(AK57="",0,AK57),N57,O57))</f>
        <v>281.24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>
        <f t="shared" si="18"/>
        <v>281.24</v>
      </c>
      <c r="AO57" s="330">
        <f>IF(E57="","",ProjActiveTargetMdEx(D57,W57,V57,ProjTargets_MD,ProjTargets_INC,ProjTargets_AZM,ProjTargets_TVD,F57,H57))</f>
        <v>1600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 t="shared" si="9"/>
        <v/>
      </c>
      <c r="AS57" s="207" t="str">
        <f t="shared" si="10"/>
        <v/>
      </c>
      <c r="AT57" s="207" t="str">
        <f t="shared" si="11"/>
        <v/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4">
        <f>IF(E58="","",ProjIncAtBit(F58,J58,C58,M58,AJ58,IF(AK58="",0,AK58)))</f>
        <v>0.18</v>
      </c>
      <c r="X58" s="455">
        <f>IF(E58="","",ProjAzmAtBit(F58,G58,J58,C58,M58,AJ58,IF(AK58="",0,AK58),N58,O58))</f>
        <v>266.62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>
        <f t="shared" si="18"/>
        <v>266.62</v>
      </c>
      <c r="AO58" s="330">
        <f>IF(E58="","",ProjActiveTargetMdEx(D58,W58,V58,ProjTargets_MD,ProjTargets_INC,ProjTargets_AZM,ProjTargets_TVD,F58,H58))</f>
        <v>1600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 t="shared" si="9"/>
        <v/>
      </c>
      <c r="AS58" s="207" t="str">
        <f t="shared" si="10"/>
        <v/>
      </c>
      <c r="AT58" s="207" t="str">
        <f t="shared" si="11"/>
        <v/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4">
        <f>IF(E59="","",ProjIncAtBit(F59,J59,C59,M59,AJ59,IF(AK59="",0,AK59)))</f>
        <v>0.22</v>
      </c>
      <c r="X59" s="455">
        <f>IF(E59="","",ProjAzmAtBit(F59,G59,J59,C59,M59,AJ59,IF(AK59="",0,AK59),N59,O59))</f>
        <v>327.36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>
        <f t="shared" si="18"/>
        <v>327.36</v>
      </c>
      <c r="AO59" s="330">
        <f>IF(E59="","",ProjActiveTargetMdEx(D59,W59,V59,ProjTargets_MD,ProjTargets_INC,ProjTargets_AZM,ProjTargets_TVD,F59,H59))</f>
        <v>1600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 t="shared" si="9"/>
        <v/>
      </c>
      <c r="AS59" s="207" t="str">
        <f t="shared" si="10"/>
        <v/>
      </c>
      <c r="AT59" s="207" t="str">
        <f t="shared" si="11"/>
        <v/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4">
        <f>IF(E60="","",ProjIncAtBit(F60,J60,C60,M60,AJ60,IF(AK60="",0,AK60)))</f>
        <v>0.7</v>
      </c>
      <c r="X60" s="455">
        <f>IF(E60="","",ProjAzmAtBit(F60,G60,J60,C60,M60,AJ60,IF(AK60="",0,AK60),N60,O60))</f>
        <v>40.22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>
        <f t="shared" si="18"/>
        <v>40.22</v>
      </c>
      <c r="AO60" s="330">
        <f>IF(E60="","",ProjActiveTargetMdEx(D60,W60,V60,ProjTargets_MD,ProjTargets_INC,ProjTargets_AZM,ProjTargets_TVD,F60,H60))</f>
        <v>1600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 t="shared" si="9"/>
        <v/>
      </c>
      <c r="AS60" s="207" t="str">
        <f t="shared" si="10"/>
        <v/>
      </c>
      <c r="AT60" s="207" t="str">
        <f t="shared" si="11"/>
        <v/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4">
        <f>IF(E61="","",ProjIncAtBit(F61,J61,C61,M61,AJ61,IF(AK61="",0,AK61)))</f>
        <v>0.87</v>
      </c>
      <c r="X61" s="455">
        <f>IF(E61="","",ProjAzmAtBit(F61,G61,J61,C61,M61,AJ61,IF(AK61="",0,AK61),N61,O61))</f>
        <v>31.07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>
        <f t="shared" si="18"/>
        <v>31.07</v>
      </c>
      <c r="AO61" s="330">
        <f>IF(E61="","",ProjActiveTargetMdEx(D61,W61,V61,ProjTargets_MD,ProjTargets_INC,ProjTargets_AZM,ProjTargets_TVD,F61,H61))</f>
        <v>1600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 t="shared" si="9"/>
        <v/>
      </c>
      <c r="AS61" s="207" t="str">
        <f t="shared" si="10"/>
        <v/>
      </c>
      <c r="AT61" s="207" t="str">
        <f t="shared" si="11"/>
        <v/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4">
        <f>IF(E62="","",ProjIncAtBit(F62,J62,C62,M62,AJ62,IF(AK62="",0,AK62)))</f>
        <v>1.0900000000000001</v>
      </c>
      <c r="X62" s="455">
        <f>IF(E62="","",ProjAzmAtBit(F62,G62,J62,C62,M62,AJ62,IF(AK62="",0,AK62),N62,O62))</f>
        <v>93.45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>
        <f t="shared" si="18"/>
        <v>93.45</v>
      </c>
      <c r="AO62" s="330">
        <f>IF(E62="","",ProjActiveTargetMdEx(D62,W62,V62,ProjTargets_MD,ProjTargets_INC,ProjTargets_AZM,ProjTargets_TVD,F62,H62))</f>
        <v>1600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 t="shared" si="9"/>
        <v/>
      </c>
      <c r="AS62" s="207" t="str">
        <f t="shared" si="10"/>
        <v/>
      </c>
      <c r="AT62" s="207" t="str">
        <f t="shared" si="11"/>
        <v/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4">
        <f>IF(E63="","",ProjIncAtBit(F63,J63,C63,M63,AJ63,IF(AK63="",0,AK63)))</f>
        <v>0.98</v>
      </c>
      <c r="X63" s="455">
        <f>IF(E63="","",ProjAzmAtBit(F63,G63,J63,C63,M63,AJ63,IF(AK63="",0,AK63),N63,O63))</f>
        <v>84.23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>
        <f t="shared" si="18"/>
        <v>84.23</v>
      </c>
      <c r="AO63" s="330">
        <f>IF(E63="","",ProjActiveTargetMdEx(D63,W63,V63,ProjTargets_MD,ProjTargets_INC,ProjTargets_AZM,ProjTargets_TVD,F63,H63))</f>
        <v>1600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 t="shared" si="9"/>
        <v/>
      </c>
      <c r="AS63" s="207" t="str">
        <f t="shared" si="10"/>
        <v/>
      </c>
      <c r="AT63" s="207" t="str">
        <f t="shared" si="11"/>
        <v/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4">
        <f>IF(E64="","",ProjIncAtBit(F64,J64,C64,M64,AJ64,IF(AK64="",0,AK64)))</f>
        <v>1.02</v>
      </c>
      <c r="X64" s="455">
        <f>IF(E64="","",ProjAzmAtBit(F64,G64,J64,C64,M64,AJ64,IF(AK64="",0,AK64),N64,O64))</f>
        <v>71.010000000000005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>
        <f t="shared" si="18"/>
        <v>71.010000000000005</v>
      </c>
      <c r="AO64" s="330">
        <f>IF(E64="","",ProjActiveTargetMdEx(D64,W64,V64,ProjTargets_MD,ProjTargets_INC,ProjTargets_AZM,ProjTargets_TVD,F64,H64))</f>
        <v>1600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 t="shared" si="9"/>
        <v/>
      </c>
      <c r="AS64" s="207" t="str">
        <f t="shared" si="10"/>
        <v/>
      </c>
      <c r="AT64" s="207" t="str">
        <f t="shared" si="11"/>
        <v/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4">
        <f>IF(E65="","",ProjIncAtBit(F65,J65,C65,M65,AJ65,IF(AK65="",0,AK65)))</f>
        <v>0.79</v>
      </c>
      <c r="X65" s="455">
        <f>IF(E65="","",ProjAzmAtBit(F65,G65,J65,C65,M65,AJ65,IF(AK65="",0,AK65),N65,O65))</f>
        <v>59.19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>
        <f t="shared" si="18"/>
        <v>59.19</v>
      </c>
      <c r="AO65" s="330">
        <f>IF(E65="","",ProjActiveTargetMdEx(D65,W65,V65,ProjTargets_MD,ProjTargets_INC,ProjTargets_AZM,ProjTargets_TVD,F65,H65))</f>
        <v>1600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 t="shared" si="9"/>
        <v/>
      </c>
      <c r="AS65" s="207" t="str">
        <f t="shared" si="10"/>
        <v/>
      </c>
      <c r="AT65" s="207" t="str">
        <f t="shared" si="11"/>
        <v/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4">
        <f>IF(E66="","",ProjIncAtBit(F66,J66,C66,M66,AJ66,IF(AK66="",0,AK66)))</f>
        <v>0.7</v>
      </c>
      <c r="X66" s="455">
        <f>IF(E66="","",ProjAzmAtBit(F66,G66,J66,C66,M66,AJ66,IF(AK66="",0,AK66),N66,O66))</f>
        <v>152.22999999999999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>
        <f t="shared" si="18"/>
        <v>152.22999999999999</v>
      </c>
      <c r="AO66" s="330">
        <f>IF(E66="","",ProjActiveTargetMdEx(D66,W66,V66,ProjTargets_MD,ProjTargets_INC,ProjTargets_AZM,ProjTargets_TVD,F66,H66))</f>
        <v>1807.13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 t="shared" si="9"/>
        <v/>
      </c>
      <c r="AS66" s="207" t="str">
        <f t="shared" si="10"/>
        <v/>
      </c>
      <c r="AT66" s="207" t="str">
        <f t="shared" si="11"/>
        <v/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4">
        <f>IF(E67="","",ProjIncAtBit(F67,J67,C67,M67,AJ67,IF(AK67="",0,AK67)))</f>
        <v>0.51</v>
      </c>
      <c r="X67" s="455">
        <f>IF(E67="","",ProjAzmAtBit(F67,G67,J67,C67,M67,AJ67,IF(AK67="",0,AK67),N67,O67))</f>
        <v>141.80000000000001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>
        <f t="shared" si="18"/>
        <v>141.80000000000001</v>
      </c>
      <c r="AO67" s="330">
        <f>IF(E67="","",ProjActiveTargetMdEx(D67,W67,V67,ProjTargets_MD,ProjTargets_INC,ProjTargets_AZM,ProjTargets_TVD,F67,H67))</f>
        <v>1807.13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>
        <f t="shared" si="9"/>
        <v>4.7873519868448353</v>
      </c>
      <c r="AS67" s="207" t="str">
        <f t="shared" si="10"/>
        <v/>
      </c>
      <c r="AT67" s="207" t="str">
        <f t="shared" si="11"/>
        <v>283M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4">
        <f>IF(E68="","",ProjIncAtBit(F68,J68,C68,M68,AJ68,IF(AK68="",0,AK68)))</f>
        <v>0.4</v>
      </c>
      <c r="X68" s="455">
        <f>IF(E68="","",ProjAzmAtBit(F68,G68,J68,C68,M68,AJ68,IF(AK68="",0,AK68),N68,O68))</f>
        <v>130.38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>
        <f t="shared" si="18"/>
        <v>130.38</v>
      </c>
      <c r="AO68" s="330">
        <f>IF(E68="","",ProjActiveTargetMdEx(D68,W68,V68,ProjTargets_MD,ProjTargets_INC,ProjTargets_AZM,ProjTargets_TVD,F68,H68))</f>
        <v>1807.13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>
        <f t="shared" si="9"/>
        <v>5.8385781566766051</v>
      </c>
      <c r="AS68" s="207" t="str">
        <f t="shared" si="10"/>
        <v/>
      </c>
      <c r="AT68" s="207" t="str">
        <f t="shared" si="11"/>
        <v>284M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4">
        <f>IF(E69="","",ProjIncAtBit(F69,J69,C69,M69,AJ69,IF(AK69="",0,AK69)))</f>
        <v>0.38</v>
      </c>
      <c r="X69" s="455">
        <f>IF(E69="","",ProjAzmAtBit(F69,G69,J69,C69,M69,AJ69,IF(AK69="",0,AK69),N69,O69))</f>
        <v>104.86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>
        <f t="shared" si="18"/>
        <v>104.86</v>
      </c>
      <c r="AO69" s="330">
        <f>IF(E69="","",ProjActiveTargetMdEx(D69,W69,V69,ProjTargets_MD,ProjTargets_INC,ProjTargets_AZM,ProjTargets_TVD,F69,H69))</f>
        <v>1807.13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>
        <f t="shared" si="9"/>
        <v>7.436808147186845</v>
      </c>
      <c r="AS69" s="207" t="str">
        <f t="shared" si="10"/>
        <v/>
      </c>
      <c r="AT69" s="207" t="str">
        <f t="shared" si="11"/>
        <v>288M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4">
        <f>IF(E70="","",ProjIncAtBit(F70,J70,C70,M70,AJ70,IF(AK70="",0,AK70)))</f>
        <v>0.73</v>
      </c>
      <c r="X70" s="455">
        <f>IF(E70="","",ProjAzmAtBit(F70,G70,J70,C70,M70,AJ70,IF(AK70="",0,AK70),N70,O70))</f>
        <v>23.8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>
        <f t="shared" si="18"/>
        <v>23.8</v>
      </c>
      <c r="AO70" s="330">
        <f>IF(E70="","",ProjActiveTargetMdEx(D70,W70,V70,ProjTargets_MD,ProjTargets_INC,ProjTargets_AZM,ProjTargets_TVD,F70,H70))</f>
        <v>1807.13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>
        <f t="shared" si="9"/>
        <v>10.069534137458779</v>
      </c>
      <c r="AS70" s="207" t="str">
        <f t="shared" si="10"/>
        <v/>
      </c>
      <c r="AT70" s="207" t="str">
        <f t="shared" si="11"/>
        <v>352M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4">
        <f>IF(E71="","",ProjIncAtBit(F71,J71,C71,M71,AJ71,IF(AK71="",0,AK71)))</f>
        <v>0.91</v>
      </c>
      <c r="X71" s="455">
        <f>IF(E71="","",ProjAzmAtBit(F71,G71,J71,C71,M71,AJ71,IF(AK71="",0,AK71),N71,O71))</f>
        <v>358.47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>
        <f t="shared" si="18"/>
        <v>358.47</v>
      </c>
      <c r="AO71" s="330">
        <f>IF(E71="","",ProjActiveTargetMdEx(D71,W71,V71,ProjTargets_MD,ProjTargets_INC,ProjTargets_AZM,ProjTargets_TVD,F71,H71))</f>
        <v>1807.13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>
        <f t="shared" si="9"/>
        <v>15.960926023203283</v>
      </c>
      <c r="AS71" s="207" t="str">
        <f t="shared" si="10"/>
        <v/>
      </c>
      <c r="AT71" s="207" t="str">
        <f t="shared" si="11"/>
        <v>39M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4">
        <f>IF(E72="","",ProjIncAtBit(F72,J72,C72,M72,AJ72,IF(AK72="",0,AK72)))</f>
        <v>0.55000000000000004</v>
      </c>
      <c r="X72" s="455">
        <f>IF(E72="","",ProjAzmAtBit(F72,G72,J72,C72,M72,AJ72,IF(AK72="",0,AK72),N72,O72))</f>
        <v>328.23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>
        <f t="shared" si="18"/>
        <v>328.23</v>
      </c>
      <c r="AO72" s="330">
        <f>IF(E72="","",ProjActiveTargetMdEx(D72,W72,V72,ProjTargets_MD,ProjTargets_INC,ProjTargets_AZM,ProjTargets_TVD,F72,H72))</f>
        <v>1807.13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>
        <f t="shared" si="9"/>
        <v>40.334912618058048</v>
      </c>
      <c r="AS72" s="207">
        <f t="shared" si="10"/>
        <v>28.869999999999891</v>
      </c>
      <c r="AT72" s="207" t="str">
        <f t="shared" si="11"/>
        <v>62M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4">
        <f>IF(E73="","",ProjIncAtBit(F73,J73,C73,M73,AJ73,IF(AK73="",0,AK73)))</f>
        <v>0.23</v>
      </c>
      <c r="X73" s="455">
        <f>IF(E73="","",ProjAzmAtBit(F73,G73,J73,C73,M73,AJ73,IF(AK73="",0,AK73),N73,O73))</f>
        <v>243.62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>
        <f t="shared" si="18"/>
        <v>243.62</v>
      </c>
      <c r="AO73" s="330">
        <f>IF(E73="","",ProjActiveTargetMdEx(D73,W73,V73,ProjTargets_MD,ProjTargets_INC,ProjTargets_AZM,ProjTargets_TVD,F73,H73))</f>
        <v>1807.13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>
        <f t="shared" si="9"/>
        <v>28.49167822468824</v>
      </c>
      <c r="AS73" s="207">
        <f t="shared" si="10"/>
        <v>28.839999999999691</v>
      </c>
      <c r="AT73" s="207" t="str">
        <f t="shared" si="11"/>
        <v>79M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4">
        <f>IF(E74="","",ProjIncAtBit(F74,J74,C74,M74,AJ74,IF(AK74="",0,AK74)))</f>
        <v>0.33</v>
      </c>
      <c r="X74" s="455">
        <f>IF(E74="","",ProjAzmAtBit(F74,G74,J74,C74,M74,AJ74,IF(AK74="",0,AK74),N74,O74))</f>
        <v>279.2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>
        <f t="shared" si="18"/>
        <v>279.2</v>
      </c>
      <c r="AO74" s="330">
        <f>IF(E74="","",ProjActiveTargetMdEx(D74,W74,V74,ProjTargets_MD,ProjTargets_INC,ProjTargets_AZM,ProjTargets_TVD,F74,H74))</f>
        <v>1807.13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>
        <f t="shared" si="9"/>
        <v>28.466620305980765</v>
      </c>
      <c r="AS74" s="207" t="str">
        <f t="shared" si="10"/>
        <v/>
      </c>
      <c r="AT74" s="207" t="str">
        <f t="shared" si="11"/>
        <v>75M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4">
        <f>IF(E75="","",ProjIncAtBit(F75,J75,C75,M75,AJ75,IF(AK75="",0,AK75)))</f>
        <v>0.7</v>
      </c>
      <c r="X75" s="455">
        <f>IF(E75="","",ProjAzmAtBit(F75,G75,J75,C75,M75,AJ75,IF(AK75="",0,AK75),N75,O75))</f>
        <v>197.88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>
        <f t="shared" si="18"/>
        <v>197.88</v>
      </c>
      <c r="AO75" s="330">
        <f>IF(E75="","",ProjActiveTargetMdEx(D75,W75,V75,ProjTargets_MD,ProjTargets_INC,ProjTargets_AZM,ProjTargets_TVD,F75,H75))</f>
        <v>1807.13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>
        <f t="shared" si="9"/>
        <v>27.993067590987959</v>
      </c>
      <c r="AS75" s="207">
        <f t="shared" si="10"/>
        <v>28.849999999999909</v>
      </c>
      <c r="AT75" s="207" t="str">
        <f t="shared" si="11"/>
        <v>279M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4">
        <f>IF(E76="","",ProjIncAtBit(F76,J76,C76,M76,AJ76,IF(AK76="",0,AK76)))</f>
        <v>0.36</v>
      </c>
      <c r="X76" s="455">
        <f>IF(E76="","",ProjAzmAtBit(F76,G76,J76,C76,M76,AJ76,IF(AK76="",0,AK76),N76,O76))</f>
        <v>192.57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>
        <f t="shared" si="18"/>
        <v>192.57</v>
      </c>
      <c r="AO76" s="330">
        <f>IF(E76="","",ProjActiveTargetMdEx(D76,W76,V76,ProjTargets_MD,ProjTargets_INC,ProjTargets_AZM,ProjTargets_TVD,F76,H76))</f>
        <v>1807.13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>
        <f t="shared" si="9"/>
        <v>28.484848484848449</v>
      </c>
      <c r="AS76" s="207" t="str">
        <f t="shared" si="10"/>
        <v/>
      </c>
      <c r="AT76" s="207" t="str">
        <f t="shared" si="11"/>
        <v>279M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4">
        <f>IF(E77="","",ProjIncAtBit(F77,J77,C77,M77,AJ77,IF(AK77="",0,AK77)))</f>
        <v>0.18</v>
      </c>
      <c r="X77" s="455">
        <f>IF(E77="","",ProjAzmAtBit(F77,G77,J77,C77,M77,AJ77,IF(AK77="",0,AK77),N77,O77))</f>
        <v>188.78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>
        <f t="shared" si="18"/>
        <v>188.78</v>
      </c>
      <c r="AO77" s="330">
        <f>IF(E77="","",ProjActiveTargetMdEx(D77,W77,V77,ProjTargets_MD,ProjTargets_INC,ProjTargets_AZM,ProjTargets_TVD,F77,H77))</f>
        <v>1807.13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>
        <f t="shared" ref="AR77:AR140" si="37">_xlfn.SINGLE(IF(OR(E77="",E77&lt;_xlfn.SINGLE(ProjBuildStartMd),AO77=""),"",ProjBurr(D77,W77,X77,Q77,C77,ProjTargets_MD,ProjTargets_INC,ProjTargets_AZM,ProjTargets_TVD,V77)))</f>
        <v>28.672936259143576</v>
      </c>
      <c r="AS77" s="207" t="str">
        <f t="shared" ref="AS77:AS140" si="38">_xlfn.SINGLE(IF(OR(E77="",E77&lt;_xlfn.SINGLE(ProjBuildStartMd),AO77=""),"",ProjMetersToSlide(D77,W77,X77,Q77,C77,ProjTargets_MD,ProjTargets_INC,ProjTargets_AZM,ProjTargets_TVD,V77)))</f>
        <v/>
      </c>
      <c r="AT77" s="207" t="str">
        <f t="shared" ref="AT77:AT140" si="39">_xlfn.SINGLE(IF(OR(E77="",E77&lt;_xlfn.SINGLE(ProjBuildStartMd),AO77=""),"",ProjRequiredTf(D77,W77,X77,ProjTargets_MD,ProjTargets_INC,ProjTargets_AZM,ProjTargets_TVD,5,V77)))</f>
        <v>279M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4">
        <f>IF(E78="","",ProjIncAtBit(F78,J78,C78,M78,AJ78,IF(AK78="",0,AK78)))</f>
        <v>0.11</v>
      </c>
      <c r="X78" s="455">
        <f>IF(E78="","",ProjAzmAtBit(F78,G78,J78,C78,M78,AJ78,IF(AK78="",0,AK78),N78,O78))</f>
        <v>355.14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>
        <f t="shared" ref="AN78:AN141" si="41">IF(X78="","",X78)</f>
        <v>355.14</v>
      </c>
      <c r="AO78" s="330">
        <f>IF(E78="","",ProjActiveTargetMdEx(D78,W78,V78,ProjTargets_MD,ProjTargets_INC,ProjTargets_AZM,ProjTargets_TVD,F78,H78))</f>
        <v>1807.13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>
        <f t="shared" si="37"/>
        <v>28.656250000000274</v>
      </c>
      <c r="AS78" s="207" t="str">
        <f t="shared" si="38"/>
        <v/>
      </c>
      <c r="AT78" s="207" t="str">
        <f t="shared" si="39"/>
        <v>42M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4">
        <f>IF(E79="","",ProjIncAtBit(F79,J79,C79,M79,AJ79,IF(AK79="",0,AK79)))</f>
        <v>0.18</v>
      </c>
      <c r="X79" s="455">
        <f>IF(E79="","",ProjAzmAtBit(F79,G79,J79,C79,M79,AJ79,IF(AK79="",0,AK79),N79,O79))</f>
        <v>345.37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>
        <f t="shared" si="41"/>
        <v>345.37</v>
      </c>
      <c r="AO79" s="330">
        <f>IF(E79="","",ProjActiveTargetMdEx(D79,W79,V79,ProjTargets_MD,ProjTargets_INC,ProjTargets_AZM,ProjTargets_TVD,F79,H79))</f>
        <v>1807.13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>
        <f t="shared" si="37"/>
        <v>28.603196664350044</v>
      </c>
      <c r="AS79" s="207" t="str">
        <f t="shared" si="38"/>
        <v/>
      </c>
      <c r="AT79" s="207" t="str">
        <f t="shared" si="39"/>
        <v>52M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4">
        <f>IF(E80="","",ProjIncAtBit(F80,J80,C80,M80,AJ80,IF(AK80="",0,AK80)))</f>
        <v>7.0000000000000007E-2</v>
      </c>
      <c r="X80" s="455">
        <f>IF(E80="","",ProjAzmAtBit(F80,G80,J80,C80,M80,AJ80,IF(AK80="",0,AK80),N80,O80))</f>
        <v>349.59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>
        <f t="shared" si="41"/>
        <v>349.59</v>
      </c>
      <c r="AO80" s="330">
        <f>IF(E80="","",ProjActiveTargetMdEx(D80,W80,V80,ProjTargets_MD,ProjTargets_INC,ProjTargets_AZM,ProjTargets_TVD,F80,H80))</f>
        <v>1807.13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>
        <f t="shared" si="37"/>
        <v>28.717859624739656</v>
      </c>
      <c r="AS80" s="207" t="str">
        <f t="shared" si="38"/>
        <v/>
      </c>
      <c r="AT80" s="207" t="str">
        <f t="shared" si="39"/>
        <v>48M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4">
        <f>IF(E81="","",ProjIncAtBit(F81,J81,C81,M81,AJ81,IF(AK81="",0,AK81)))</f>
        <v>0.57999999999999996</v>
      </c>
      <c r="X81" s="455">
        <f>IF(E81="","",ProjAzmAtBit(F81,G81,J81,C81,M81,AJ81,IF(AK81="",0,AK81),N81,O81))</f>
        <v>324.72000000000003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>
        <f t="shared" si="41"/>
        <v>324.72000000000003</v>
      </c>
      <c r="AO81" s="330">
        <f>IF(E81="","",ProjActiveTargetMdEx(D81,W81,V81,ProjTargets_MD,ProjTargets_INC,ProjTargets_AZM,ProjTargets_TVD,F81,H81))</f>
        <v>1807.13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>
        <f t="shared" si="37"/>
        <v>28.147120055517288</v>
      </c>
      <c r="AS81" s="207" t="str">
        <f t="shared" si="38"/>
        <v/>
      </c>
      <c r="AT81" s="207" t="str">
        <f t="shared" si="39"/>
        <v>64M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4">
        <f>IF(E82="","",ProjIncAtBit(F82,J82,C82,M82,AJ82,IF(AK82="",0,AK82)))</f>
        <v>0.68</v>
      </c>
      <c r="X82" s="455">
        <f>IF(E82="","",ProjAzmAtBit(F82,G82,J82,C82,M82,AJ82,IF(AK82="",0,AK82),N82,O82))</f>
        <v>302.81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>
        <f t="shared" si="41"/>
        <v>302.81</v>
      </c>
      <c r="AO82" s="330">
        <f>IF(E82="","",ProjActiveTargetMdEx(D82,W82,V82,ProjTargets_MD,ProjTargets_INC,ProjTargets_AZM,ProjTargets_TVD,F82,H82))</f>
        <v>1807.13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>
        <f t="shared" si="37"/>
        <v>28.072247308093569</v>
      </c>
      <c r="AS82" s="207" t="str">
        <f t="shared" si="38"/>
        <v/>
      </c>
      <c r="AT82" s="207" t="str">
        <f t="shared" si="39"/>
        <v>71M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4">
        <f>IF(E83="","",ProjIncAtBit(F83,J83,C83,M83,AJ83,IF(AK83="",0,AK83)))</f>
        <v>0.84</v>
      </c>
      <c r="X83" s="455">
        <f>IF(E83="","",ProjAzmAtBit(F83,G83,J83,C83,M83,AJ83,IF(AK83="",0,AK83),N83,O83))</f>
        <v>295.11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>
        <f t="shared" si="41"/>
        <v>295.11</v>
      </c>
      <c r="AO83" s="330">
        <f>IF(E83="","",ProjActiveTargetMdEx(D83,W83,V83,ProjTargets_MD,ProjTargets_INC,ProjTargets_AZM,ProjTargets_TVD,F83,H83))</f>
        <v>1807.13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>
        <f t="shared" si="37"/>
        <v>27.973537604457022</v>
      </c>
      <c r="AS83" s="207">
        <f t="shared" si="38"/>
        <v>28.7199999999998</v>
      </c>
      <c r="AT83" s="207" t="str">
        <f t="shared" si="39"/>
        <v>73M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4">
        <f>IF(E84="","",ProjIncAtBit(F84,J84,C84,M84,AJ84,IF(AK84="",0,AK84)))</f>
        <v>0.45</v>
      </c>
      <c r="X84" s="455">
        <f>IF(E84="","",ProjAzmAtBit(F84,G84,J84,C84,M84,AJ84,IF(AK84="",0,AK84),N84,O84))</f>
        <v>256.04000000000002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>
        <f t="shared" si="41"/>
        <v>256.04000000000002</v>
      </c>
      <c r="AO84" s="330">
        <f>IF(E84="","",ProjActiveTargetMdEx(D84,W84,V84,ProjTargets_MD,ProjTargets_INC,ProjTargets_AZM,ProjTargets_TVD,F84,H84))</f>
        <v>1807.13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>
        <f t="shared" si="37"/>
        <v>28.430415068015275</v>
      </c>
      <c r="AS84" s="207">
        <f t="shared" si="38"/>
        <v>28.670000000000073</v>
      </c>
      <c r="AT84" s="207" t="str">
        <f t="shared" si="39"/>
        <v>78M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4">
        <f>IF(E85="","",ProjIncAtBit(F85,J85,C85,M85,AJ85,IF(AK85="",0,AK85)))</f>
        <v>0.72</v>
      </c>
      <c r="X85" s="455">
        <f>IF(E85="","",ProjAzmAtBit(F85,G85,J85,C85,M85,AJ85,IF(AK85="",0,AK85),N85,O85))</f>
        <v>200.39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>
        <f t="shared" si="41"/>
        <v>200.39</v>
      </c>
      <c r="AO85" s="330">
        <f>IF(E85="","",ProjActiveTargetMdEx(D85,W85,V85,ProjTargets_MD,ProjTargets_INC,ProjTargets_AZM,ProjTargets_TVD,F85,H85))</f>
        <v>1807.13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>
        <f t="shared" si="37"/>
        <v>28.069565217391748</v>
      </c>
      <c r="AS85" s="207">
        <f t="shared" si="38"/>
        <v>28.749999999999545</v>
      </c>
      <c r="AT85" s="207" t="str">
        <f t="shared" si="39"/>
        <v>81M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4">
        <f>IF(E86="","",ProjIncAtBit(F86,J86,C86,M86,AJ86,IF(AK86="",0,AK86)))</f>
        <v>0.44</v>
      </c>
      <c r="X86" s="455">
        <f>IF(E86="","",ProjAzmAtBit(F86,G86,J86,C86,M86,AJ86,IF(AK86="",0,AK86),N86,O86))</f>
        <v>249.04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>
        <f t="shared" si="41"/>
        <v>249.04</v>
      </c>
      <c r="AO86" s="330">
        <f>IF(E86="","",ProjActiveTargetMdEx(D86,W86,V86,ProjTargets_MD,ProjTargets_INC,ProjTargets_AZM,ProjTargets_TVD,F86,H86))</f>
        <v>1807.13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>
        <f t="shared" si="37"/>
        <v>28.391364902507163</v>
      </c>
      <c r="AS86" s="207" t="str">
        <f t="shared" si="38"/>
        <v/>
      </c>
      <c r="AT86" s="207" t="str">
        <f t="shared" si="39"/>
        <v>78M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4">
        <f>IF(E87="","",ProjIncAtBit(F87,J87,C87,M87,AJ87,IF(AK87="",0,AK87)))</f>
        <v>0.75</v>
      </c>
      <c r="X87" s="455">
        <f>IF(E87="","",ProjAzmAtBit(F87,G87,J87,C87,M87,AJ87,IF(AK87="",0,AK87),N87,O87))</f>
        <v>280.66000000000003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>
        <f t="shared" si="41"/>
        <v>280.66000000000003</v>
      </c>
      <c r="AO87" s="330">
        <f>IF(E87="","",ProjActiveTargetMdEx(D87,W87,V87,ProjTargets_MD,ProjTargets_INC,ProjTargets_AZM,ProjTargets_TVD,F87,H87))</f>
        <v>1807.13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>
        <f t="shared" si="37"/>
        <v>28.096897873823579</v>
      </c>
      <c r="AS87" s="207">
        <f t="shared" si="38"/>
        <v>28.690000000000055</v>
      </c>
      <c r="AT87" s="207" t="str">
        <f t="shared" si="39"/>
        <v>75M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4">
        <f>IF(E88="","",ProjIncAtBit(F88,J88,C88,M88,AJ88,IF(AK88="",0,AK88)))</f>
        <v>1.08</v>
      </c>
      <c r="X88" s="455">
        <f>IF(E88="","",ProjAzmAtBit(F88,G88,J88,C88,M88,AJ88,IF(AK88="",0,AK88),N88,O88))</f>
        <v>299.20999999999998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>
        <f t="shared" si="41"/>
        <v>299.20999999999998</v>
      </c>
      <c r="AO88" s="330">
        <f>IF(E88="","",ProjActiveTargetMdEx(D88,W88,V88,ProjTargets_MD,ProjTargets_INC,ProjTargets_AZM,ProjTargets_TVD,F88,H88))</f>
        <v>1807.13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>
        <f t="shared" si="37"/>
        <v>27.693913043478698</v>
      </c>
      <c r="AS88" s="207" t="str">
        <f t="shared" si="38"/>
        <v/>
      </c>
      <c r="AT88" s="207" t="str">
        <f t="shared" si="39"/>
        <v>72M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4">
        <f>IF(E89="","",ProjIncAtBit(F89,J89,C89,M89,AJ89,IF(AK89="",0,AK89)))</f>
        <v>1.27</v>
      </c>
      <c r="X89" s="455">
        <f>IF(E89="","",ProjAzmAtBit(F89,G89,J89,C89,M89,AJ89,IF(AK89="",0,AK89),N89,O89))</f>
        <v>292.94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>
        <f t="shared" si="41"/>
        <v>292.94</v>
      </c>
      <c r="AO89" s="330">
        <f>IF(E89="","",ProjActiveTargetMdEx(D89,W89,V89,ProjTargets_MD,ProjTargets_INC,ProjTargets_AZM,ProjTargets_TVD,F89,H89))</f>
        <v>1807.13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>
        <f t="shared" si="37"/>
        <v>27.486091794158781</v>
      </c>
      <c r="AS89" s="207" t="str">
        <f t="shared" si="38"/>
        <v/>
      </c>
      <c r="AT89" s="207" t="str">
        <f t="shared" si="39"/>
        <v>73M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4">
        <f>IF(E90="","",ProjIncAtBit(F90,J90,C90,M90,AJ90,IF(AK90="",0,AK90)))</f>
        <v>1.61</v>
      </c>
      <c r="X90" s="455">
        <f>IF(E90="","",ProjAzmAtBit(F90,G90,J90,C90,M90,AJ90,IF(AK90="",0,AK90),N90,O90))</f>
        <v>290.54000000000002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>
        <f t="shared" si="41"/>
        <v>290.54000000000002</v>
      </c>
      <c r="AO90" s="330">
        <f>IF(E90="","",ProjActiveTargetMdEx(D90,W90,V90,ProjTargets_MD,ProjTargets_INC,ProjTargets_AZM,ProjTargets_TVD,F90,H90))</f>
        <v>1807.13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>
        <f t="shared" si="37"/>
        <v>27.131432545201893</v>
      </c>
      <c r="AS90" s="207" t="str">
        <f t="shared" si="38"/>
        <v/>
      </c>
      <c r="AT90" s="207" t="str">
        <f t="shared" si="39"/>
        <v>74M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4">
        <f>IF(E91="","",ProjIncAtBit(F91,J91,C91,M91,AJ91,IF(AK91="",0,AK91)))</f>
        <v>1.43</v>
      </c>
      <c r="X91" s="455">
        <f>IF(E91="","",ProjAzmAtBit(F91,G91,J91,C91,M91,AJ91,IF(AK91="",0,AK91),N91,O91))</f>
        <v>293.67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>
        <f t="shared" si="41"/>
        <v>293.67</v>
      </c>
      <c r="AO91" s="330">
        <f>IF(E91="","",ProjActiveTargetMdEx(D91,W91,V91,ProjTargets_MD,ProjTargets_INC,ProjTargets_AZM,ProjTargets_TVD,F91,H91))</f>
        <v>1807.13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>
        <f t="shared" si="37"/>
        <v>27.404952912448493</v>
      </c>
      <c r="AS91" s="207" t="str">
        <f t="shared" si="38"/>
        <v/>
      </c>
      <c r="AT91" s="207" t="str">
        <f t="shared" si="39"/>
        <v>73M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4">
        <f>IF(E92="","",ProjIncAtBit(F92,J92,C92,M92,AJ92,IF(AK92="",0,AK92)))</f>
        <v>0.41</v>
      </c>
      <c r="X92" s="455">
        <f>IF(E92="","",ProjAzmAtBit(F92,G92,J92,C92,M92,AJ92,IF(AK92="",0,AK92),N92,O92))</f>
        <v>4.93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>
        <f t="shared" si="41"/>
        <v>4.93</v>
      </c>
      <c r="AO92" s="330">
        <f>IF(E92="","",ProjActiveTargetMdEx(D92,W92,V92,ProjTargets_MD,ProjTargets_INC,ProjTargets_AZM,ProjTargets_TVD,F92,H92))</f>
        <v>1807.13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>
        <f t="shared" si="37"/>
        <v>28.402922755740896</v>
      </c>
      <c r="AS92" s="207">
        <f t="shared" si="38"/>
        <v>28.740000000000236</v>
      </c>
      <c r="AT92" s="207" t="str">
        <f t="shared" si="39"/>
        <v>29M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4">
        <f>IF(E93="","",ProjIncAtBit(F93,J93,C93,M93,AJ93,IF(AK93="",0,AK93)))</f>
        <v>0.37</v>
      </c>
      <c r="X93" s="455">
        <f>IF(E93="","",ProjAzmAtBit(F93,G93,J93,C93,M93,AJ93,IF(AK93="",0,AK93),N93,O93))</f>
        <v>22.28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>
        <f t="shared" si="41"/>
        <v>22.28</v>
      </c>
      <c r="AO93" s="330">
        <f>IF(E93="","",ProjActiveTargetMdEx(D93,W93,V93,ProjTargets_MD,ProjTargets_INC,ProjTargets_AZM,ProjTargets_TVD,F93,H93))</f>
        <v>1807.13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>
        <f t="shared" si="37"/>
        <v>28.474399164054301</v>
      </c>
      <c r="AS93" s="207" t="str">
        <f t="shared" si="38"/>
        <v/>
      </c>
      <c r="AT93" s="207" t="str">
        <f t="shared" si="39"/>
        <v>356M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4">
        <f>IF(E94="","",ProjIncAtBit(F94,J94,C94,M94,AJ94,IF(AK94="",0,AK94)))</f>
        <v>0.47</v>
      </c>
      <c r="X94" s="455">
        <f>IF(E94="","",ProjAzmAtBit(F94,G94,J94,C94,M94,AJ94,IF(AK94="",0,AK94),N94,O94))</f>
        <v>37.01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>
        <f t="shared" si="41"/>
        <v>37.01</v>
      </c>
      <c r="AO94" s="330">
        <f>IF(E94="","",ProjActiveTargetMdEx(D94,W94,V94,ProjTargets_MD,ProjTargets_INC,ProjTargets_AZM,ProjTargets_TVD,F94,H94))</f>
        <v>1807.13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>
        <f t="shared" si="37"/>
        <v>28.261623872311183</v>
      </c>
      <c r="AS94" s="207" t="str">
        <f t="shared" si="38"/>
        <v/>
      </c>
      <c r="AT94" s="207" t="str">
        <f t="shared" si="39"/>
        <v>328M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4">
        <f>IF(E95="","",ProjIncAtBit(F95,J95,C95,M95,AJ95,IF(AK95="",0,AK95)))</f>
        <v>0.6</v>
      </c>
      <c r="X95" s="455">
        <f>IF(E95="","",ProjAzmAtBit(F95,G95,J95,C95,M95,AJ95,IF(AK95="",0,AK95),N95,O95))</f>
        <v>42.99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>
        <f t="shared" si="41"/>
        <v>42.99</v>
      </c>
      <c r="AO95" s="330">
        <f>IF(E95="","",ProjActiveTargetMdEx(D95,W95,V95,ProjTargets_MD,ProjTargets_INC,ProjTargets_AZM,ProjTargets_TVD,F95,H95))</f>
        <v>1807.13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>
        <f t="shared" si="37"/>
        <v>28.155609586661626</v>
      </c>
      <c r="AS95" s="207" t="str">
        <f t="shared" si="38"/>
        <v/>
      </c>
      <c r="AT95" s="207" t="str">
        <f t="shared" si="39"/>
        <v>320M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4">
        <f>IF(E96="","",ProjIncAtBit(F96,J96,C96,M96,AJ96,IF(AK96="",0,AK96)))</f>
        <v>1.5</v>
      </c>
      <c r="X96" s="455">
        <f>IF(E96="","",ProjAzmAtBit(F96,G96,J96,C96,M96,AJ96,IF(AK96="",0,AK96),N96,O96))</f>
        <v>95.34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41"/>
        <v>95.34</v>
      </c>
      <c r="AO96" s="330">
        <f>IF(E96="","",ProjActiveTargetMdEx(D96,W96,V96,ProjTargets_MD,ProjTargets_INC,ProjTargets_AZM,ProjTargets_TVD,F96,H96))</f>
        <v>1807.13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 t="shared" si="37"/>
        <v>27.379454926624842</v>
      </c>
      <c r="AS96" s="207">
        <f t="shared" si="38"/>
        <v>28.619999999999891</v>
      </c>
      <c r="AT96" s="207" t="str">
        <f t="shared" si="39"/>
        <v>289M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4">
        <f>IF(E97="","",ProjIncAtBit(F97,J97,C97,M97,AJ97,IF(AK97="",0,AK97)))</f>
        <v>1.58</v>
      </c>
      <c r="X97" s="455">
        <f>IF(E97="","",ProjAzmAtBit(F97,G97,J97,C97,M97,AJ97,IF(AK97="",0,AK97),N97,O97))</f>
        <v>87.23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41"/>
        <v>87.23</v>
      </c>
      <c r="AO97" s="330">
        <f>IF(E97="","",ProjActiveTargetMdEx(D97,W97,V97,ProjTargets_MD,ProjTargets_INC,ProjTargets_AZM,ProjTargets_TVD,F97,H97))</f>
        <v>1807.13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 t="shared" si="37"/>
        <v>27.191089453532875</v>
      </c>
      <c r="AS97" s="207" t="str">
        <f t="shared" si="38"/>
        <v/>
      </c>
      <c r="AT97" s="207" t="str">
        <f t="shared" si="39"/>
        <v>291M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4">
        <f>IF(E98="","",ProjIncAtBit(F98,J98,C98,M98,AJ98,IF(AK98="",0,AK98)))</f>
        <v>1.5</v>
      </c>
      <c r="X98" s="455">
        <f>IF(E98="","",ProjAzmAtBit(F98,G98,J98,C98,M98,AJ98,IF(AK98="",0,AK98),N98,O98))</f>
        <v>85.64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41"/>
        <v>85.64</v>
      </c>
      <c r="AO98" s="330">
        <f>IF(E98="","",ProjActiveTargetMdEx(D98,W98,V98,ProjTargets_MD,ProjTargets_INC,ProjTargets_AZM,ProjTargets_TVD,F98,H98))</f>
        <v>1807.13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 t="shared" si="37"/>
        <v>27.227241139680146</v>
      </c>
      <c r="AS98" s="207" t="str">
        <f t="shared" si="38"/>
        <v/>
      </c>
      <c r="AT98" s="207" t="str">
        <f t="shared" si="39"/>
        <v>292M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4">
        <f>IF(E99="","",ProjIncAtBit(F99,J99,C99,M99,AJ99,IF(AK99="",0,AK99)))</f>
        <v>1.21</v>
      </c>
      <c r="X99" s="455">
        <f>IF(E99="","",ProjAzmAtBit(F99,G99,J99,C99,M99,AJ99,IF(AK99="",0,AK99),N99,O99))</f>
        <v>83.42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41"/>
        <v>83.42</v>
      </c>
      <c r="AO99" s="330">
        <f>IF(E99="","",ProjActiveTargetMdEx(D99,W99,V99,ProjTargets_MD,ProjTargets_INC,ProjTargets_AZM,ProjTargets_TVD,F99,H99))</f>
        <v>1807.13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 t="shared" si="37"/>
        <v>27.481789802289352</v>
      </c>
      <c r="AS99" s="207" t="str">
        <f t="shared" si="38"/>
        <v/>
      </c>
      <c r="AT99" s="207" t="str">
        <f t="shared" si="39"/>
        <v>293M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4">
        <f>IF(E100="","",ProjIncAtBit(F100,J100,C100,M100,AJ100,IF(AK100="",0,AK100)))</f>
        <v>1.32</v>
      </c>
      <c r="X100" s="455">
        <f>IF(E100="","",ProjAzmAtBit(F100,G100,J100,C100,M100,AJ100,IF(AK100="",0,AK100),N100,O100))</f>
        <v>78.260000000000005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41"/>
        <v>78.260000000000005</v>
      </c>
      <c r="AO100" s="330">
        <f>IF(E100="","",ProjActiveTargetMdEx(D100,W100,V100,ProjTargets_MD,ProjTargets_INC,ProjTargets_AZM,ProjTargets_TVD,F100,H100))</f>
        <v>1807.13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 t="shared" si="37"/>
        <v>27.405349079541544</v>
      </c>
      <c r="AS100" s="207" t="str">
        <f t="shared" si="38"/>
        <v/>
      </c>
      <c r="AT100" s="207" t="str">
        <f t="shared" si="39"/>
        <v>294M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4">
        <f>IF(E101="","",ProjIncAtBit(F101,J101,C101,M101,AJ101,IF(AK101="",0,AK101)))</f>
        <v>1.5</v>
      </c>
      <c r="X101" s="455">
        <f>IF(E101="","",ProjAzmAtBit(F101,G101,J101,C101,M101,AJ101,IF(AK101="",0,AK101),N101,O101))</f>
        <v>70.87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41"/>
        <v>70.87</v>
      </c>
      <c r="AO101" s="330">
        <f>IF(E101="","",ProjActiveTargetMdEx(D101,W101,V101,ProjTargets_MD,ProjTargets_INC,ProjTargets_AZM,ProjTargets_TVD,F101,H101))</f>
        <v>1807.13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 t="shared" si="37"/>
        <v>27.180020811654597</v>
      </c>
      <c r="AS101" s="207" t="str">
        <f t="shared" si="38"/>
        <v/>
      </c>
      <c r="AT101" s="207" t="str">
        <f t="shared" si="39"/>
        <v>297M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4">
        <f>IF(E102="","",ProjIncAtBit(F102,J102,C102,M102,AJ102,IF(AK102="",0,AK102)))</f>
        <v>1.73</v>
      </c>
      <c r="X102" s="455">
        <f>IF(E102="","",ProjAzmAtBit(F102,G102,J102,C102,M102,AJ102,IF(AK102="",0,AK102),N102,O102))</f>
        <v>61.75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41"/>
        <v>61.75</v>
      </c>
      <c r="AO102" s="330">
        <f>IF(E102="","",ProjActiveTargetMdEx(D102,W102,V102,ProjTargets_MD,ProjTargets_INC,ProjTargets_AZM,ProjTargets_TVD,F102,H102))</f>
        <v>1807.13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 t="shared" si="37"/>
        <v>26.987491313411905</v>
      </c>
      <c r="AS102" s="207" t="str">
        <f t="shared" si="38"/>
        <v/>
      </c>
      <c r="AT102" s="207" t="str">
        <f t="shared" si="39"/>
        <v>302M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4">
        <f>IF(E103="","",ProjIncAtBit(F103,J103,C103,M103,AJ103,IF(AK103="",0,AK103)))</f>
        <v>1.37</v>
      </c>
      <c r="X103" s="455">
        <f>IF(E103="","",ProjAzmAtBit(F103,G103,J103,C103,M103,AJ103,IF(AK103="",0,AK103),N103,O103))</f>
        <v>64.52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41"/>
        <v>64.52</v>
      </c>
      <c r="AO103" s="330">
        <f>IF(E103="","",ProjActiveTargetMdEx(D103,W103,V103,ProjTargets_MD,ProjTargets_INC,ProjTargets_AZM,ProjTargets_TVD,F103,H103))</f>
        <v>1807.13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 t="shared" si="37"/>
        <v>27.30582524271874</v>
      </c>
      <c r="AS103" s="207" t="str">
        <f t="shared" si="38"/>
        <v/>
      </c>
      <c r="AT103" s="207" t="str">
        <f t="shared" si="39"/>
        <v>301M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4">
        <f>IF(E104="","",ProjIncAtBit(F104,J104,C104,M104,AJ104,IF(AK104="",0,AK104)))</f>
        <v>0.44</v>
      </c>
      <c r="X104" s="455">
        <f>IF(E104="","",ProjAzmAtBit(F104,G104,J104,C104,M104,AJ104,IF(AK104="",0,AK104),N104,O104))</f>
        <v>80.88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41"/>
        <v>80.88</v>
      </c>
      <c r="AO104" s="330">
        <f>IF(E104="","",ProjActiveTargetMdEx(D104,W104,V104,ProjTargets_MD,ProjTargets_INC,ProjTargets_AZM,ProjTargets_TVD,F104,H104))</f>
        <v>1807.13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 t="shared" si="37"/>
        <v>28.361739130434785</v>
      </c>
      <c r="AS104" s="207">
        <f t="shared" si="38"/>
        <v>28.75</v>
      </c>
      <c r="AT104" s="207" t="str">
        <f t="shared" si="39"/>
        <v>294M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4">
        <f>IF(E105="","",ProjIncAtBit(F105,J105,C105,M105,AJ105,IF(AK105="",0,AK105)))</f>
        <v>0.42</v>
      </c>
      <c r="X105" s="455">
        <f>IF(E105="","",ProjAzmAtBit(F105,G105,J105,C105,M105,AJ105,IF(AK105="",0,AK105),N105,O105))</f>
        <v>73.19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41"/>
        <v>73.19</v>
      </c>
      <c r="AO105" s="330">
        <f>IF(E105="","",ProjActiveTargetMdEx(D105,W105,V105,ProjTargets_MD,ProjTargets_INC,ProjTargets_AZM,ProjTargets_TVD,F105,H105))</f>
        <v>1807.13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 t="shared" si="37"/>
        <v>28.392484342380175</v>
      </c>
      <c r="AS105" s="207" t="str">
        <f t="shared" si="38"/>
        <v/>
      </c>
      <c r="AT105" s="207" t="str">
        <f t="shared" si="39"/>
        <v>297M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4">
        <f>IF(E106="","",ProjIncAtBit(F106,J106,C106,M106,AJ106,IF(AK106="",0,AK106)))</f>
        <v>0.51</v>
      </c>
      <c r="X106" s="455">
        <f>IF(E106="","",ProjAzmAtBit(F106,G106,J106,C106,M106,AJ106,IF(AK106="",0,AK106),N106,O106))</f>
        <v>60.26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41"/>
        <v>60.26</v>
      </c>
      <c r="AO106" s="330">
        <f>IF(E106="","",ProjActiveTargetMdEx(D106,W106,V106,ProjTargets_MD,ProjTargets_INC,ProjTargets_AZM,ProjTargets_TVD,F106,H106))</f>
        <v>1807.13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 t="shared" si="37"/>
        <v>42.581151832459923</v>
      </c>
      <c r="AS106" s="207" t="str">
        <f t="shared" si="38"/>
        <v/>
      </c>
      <c r="AT106" s="207" t="str">
        <f t="shared" si="39"/>
        <v>304M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2756.9852371798083</v>
      </c>
      <c r="W107" s="344">
        <f>IF(E107="","",ProjIncAtBit(F107,J107,C107,M107,AJ107,IF(AK107="",0,AK107)))</f>
        <v>0.59</v>
      </c>
      <c r="X107" s="455">
        <f>IF(E107="","",ProjAzmAtBit(F107,G107,J107,C107,M107,AJ107,IF(AK107="",0,AK107),N107,O107))</f>
        <v>63.24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41"/>
        <v>63.24</v>
      </c>
      <c r="AO107" s="330">
        <f>IF(E107="","",ProjActiveTargetMdEx(D107,W107,V107,ProjTargets_MD,ProjTargets_INC,ProjTargets_AZM,ProjTargets_TVD,F107,H107))</f>
        <v>1807.13</v>
      </c>
      <c r="AP107" s="207">
        <f>IF(OR(E107="",E107&lt;$U$2),"",ProjBitN(E107,F107,G107,AL107,D107,W107,X107))</f>
        <v>6.9952738918775159</v>
      </c>
      <c r="AQ107" s="207">
        <f>IF(OR(E107="",E107&lt;$U$2),"",ProjBitE(E107,F107,G107,AM107,D107,W107,X107))</f>
        <v>2.427361138098922</v>
      </c>
      <c r="AR107" s="207">
        <f t="shared" si="37"/>
        <v>85.178571428571601</v>
      </c>
      <c r="AS107" s="207" t="str">
        <f t="shared" si="38"/>
        <v/>
      </c>
      <c r="AT107" s="207" t="str">
        <f t="shared" si="39"/>
        <v>302M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2771.3987229259637</v>
      </c>
      <c r="W108" s="344">
        <f>IF(E108="","",ProjIncAtBit(F108,J108,C108,M108,AJ108,IF(AK108="",0,AK108)))</f>
        <v>7.7473288343509648</v>
      </c>
      <c r="X108" s="455">
        <f>IF(E108="","",ProjAzmAtBit(F108,G108,J108,C108,M108,AJ108,IF(AK108="",0,AK108),N108,O108))</f>
        <v>41.331526892422289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41"/>
        <v>41.331526892422289</v>
      </c>
      <c r="AO108" s="330">
        <f>IF(E108="","",ProjActiveTargetMdEx(D108,W108,V108,ProjTargets_MD,ProjTargets_INC,ProjTargets_AZM,ProjTargets_TVD,F108,H108))</f>
        <v>1807.13</v>
      </c>
      <c r="AP108" s="207">
        <f>IF(OR(E108="",E108&lt;$U$2),"",ProjBitN(E108,F108,G108,AL108,D108,W108,X108))</f>
        <v>8.4770455176659212</v>
      </c>
      <c r="AQ108" s="207">
        <f>IF(OR(E108="",E108&lt;$U$2),"",ProjBitE(E108,F108,G108,AM108,D108,W108,X108))</f>
        <v>3.6039503248514695</v>
      </c>
      <c r="AR108" s="207">
        <f t="shared" si="37"/>
        <v>41.115871377204904</v>
      </c>
      <c r="AS108" s="207">
        <f t="shared" si="38"/>
        <v>14.5</v>
      </c>
      <c r="AT108" s="207" t="str">
        <f t="shared" si="39"/>
        <v>L47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2784.8835124610132</v>
      </c>
      <c r="W109" s="344">
        <f>IF(E109="","",ProjIncAtBit(F109,J109,C109,M109,AJ109,IF(AK109="",0,AK109)))</f>
        <v>9.6775373255646198</v>
      </c>
      <c r="X109" s="455">
        <f>IF(E109="","",ProjAzmAtBit(F109,G109,J109,C109,M109,AJ109,IF(AK109="",0,AK109),N109,O109))</f>
        <v>41.941103980050762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41"/>
        <v>41.941103980050762</v>
      </c>
      <c r="AO109" s="330">
        <f>IF(E109="","",ProjActiveTargetMdEx(D109,W109,V109,ProjTargets_MD,ProjTargets_INC,ProjTargets_AZM,ProjTargets_TVD,F109,H109))</f>
        <v>1807.13</v>
      </c>
      <c r="AP109" s="207">
        <f>IF(OR(E109="",E109&lt;$U$2),"",ProjBitN(E109,F109,G109,AL109,D109,W109,X109))</f>
        <v>9.9114608821266348</v>
      </c>
      <c r="AQ109" s="207">
        <f>IF(OR(E109="",E109&lt;$U$2),"",ProjBitE(E109,F109,G109,AM109,D109,W109,X109))</f>
        <v>4.8452254352900734</v>
      </c>
      <c r="AR109" s="207">
        <f t="shared" si="37"/>
        <v>39.520842895232434</v>
      </c>
      <c r="AS109" s="207">
        <f t="shared" si="38"/>
        <v>13.619999999999891</v>
      </c>
      <c r="AT109" s="207" t="str">
        <f t="shared" si="39"/>
        <v>L50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2799.0988090716851</v>
      </c>
      <c r="W110" s="344">
        <f>IF(E110="","",ProjIncAtBit(F110,J110,C110,M110,AJ110,IF(AK110="",0,AK110)))</f>
        <v>11.680461351854271</v>
      </c>
      <c r="X110" s="455">
        <f>IF(E110="","",ProjAzmAtBit(F110,G110,J110,C110,M110,AJ110,IF(AK110="",0,AK110),N110,O110))</f>
        <v>42.490788275600671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41"/>
        <v>42.490788275600671</v>
      </c>
      <c r="AO110" s="330">
        <f>IF(E110="","",ProjActiveTargetMdEx(D110,W110,V110,ProjTargets_MD,ProjTargets_INC,ProjTargets_AZM,ProjTargets_TVD,F110,H110))</f>
        <v>1807.13</v>
      </c>
      <c r="AP110" s="207">
        <f>IF(OR(E110="",E110&lt;$U$2),"",ProjBitN(E110,F110,G110,AL110,D110,W110,X110))</f>
        <v>12.056335356041972</v>
      </c>
      <c r="AQ110" s="207">
        <f>IF(OR(E110="",E110&lt;$U$2),"",ProjBitE(E110,F110,G110,AM110,D110,W110,X110))</f>
        <v>6.7954689368310817</v>
      </c>
      <c r="AR110" s="207">
        <f t="shared" si="37"/>
        <v>32.978355823749787</v>
      </c>
      <c r="AS110" s="207">
        <f t="shared" si="38"/>
        <v>14.5</v>
      </c>
      <c r="AT110" s="207" t="str">
        <f t="shared" si="39"/>
        <v>L54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2812.9042914000038</v>
      </c>
      <c r="W111" s="344">
        <f>IF(E111="","",ProjIncAtBit(F111,J111,C111,M111,AJ111,IF(AK111="",0,AK111)))</f>
        <v>17.059577731287092</v>
      </c>
      <c r="X111" s="455">
        <f>IF(E111="","",ProjAzmAtBit(F111,G111,J111,C111,M111,AJ111,IF(AK111="",0,AK111),N111,O111))</f>
        <v>43.956091685418606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41"/>
        <v>43.956091685418606</v>
      </c>
      <c r="AO111" s="330">
        <f>IF(E111="","",ProjActiveTargetMdEx(D111,W111,V111,ProjTargets_MD,ProjTargets_INC,ProjTargets_AZM,ProjTargets_TVD,F111,H111))</f>
        <v>1807.13</v>
      </c>
      <c r="AP111" s="207">
        <f>IF(OR(E111="",E111&lt;$U$2),"",ProjBitN(E111,F111,G111,AL111,D111,W111,X111))</f>
        <v>14.83190131913414</v>
      </c>
      <c r="AQ111" s="207">
        <f>IF(OR(E111="",E111&lt;$U$2),"",ProjBitE(E111,F111,G111,AM111,D111,W111,X111))</f>
        <v>9.4302746458867617</v>
      </c>
      <c r="AR111" s="207">
        <f t="shared" si="37"/>
        <v>22.123789669091035</v>
      </c>
      <c r="AS111" s="207">
        <f t="shared" si="38"/>
        <v>14.320000000000164</v>
      </c>
      <c r="AT111" s="207" t="str">
        <f t="shared" si="39"/>
        <v>L66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2826.7825191234033</v>
      </c>
      <c r="W112" s="344">
        <f>IF(E112="","",ProjIncAtBit(F112,J112,C112,M112,AJ112,IF(AK112="",0,AK112)))</f>
        <v>18.434444332925775</v>
      </c>
      <c r="X112" s="455">
        <f>IF(E112="","",ProjAzmAtBit(F112,G112,J112,C112,M112,AJ112,IF(AK112="",0,AK112),N112,O112))</f>
        <v>40.812044700060639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41"/>
        <v>40.812044700060639</v>
      </c>
      <c r="AO112" s="330">
        <f>IF(E112="","",ProjActiveTargetMdEx(D112,W112,V112,ProjTargets_MD,ProjTargets_INC,ProjTargets_AZM,ProjTargets_TVD,F112,H112))</f>
        <v>1807.13</v>
      </c>
      <c r="AP112" s="207">
        <f>IF(OR(E112="",E112&lt;$U$2),"",ProjBitN(E112,F112,G112,AL112,D112,W112,X112))</f>
        <v>17.917936963782005</v>
      </c>
      <c r="AQ112" s="207">
        <f>IF(OR(E112="",E112&lt;$U$2),"",ProjBitE(E112,F112,G112,AM112,D112,W112,X112))</f>
        <v>12.265360854338178</v>
      </c>
      <c r="AR112" s="207">
        <f t="shared" si="37"/>
        <v>19.004597931877708</v>
      </c>
      <c r="AS112" s="207">
        <f t="shared" si="38"/>
        <v>14.5</v>
      </c>
      <c r="AT112" s="207" t="str">
        <f t="shared" si="39"/>
        <v>L66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2840.3271952133514</v>
      </c>
      <c r="W113" s="344">
        <f>IF(E113="","",ProjIncAtBit(F113,J113,C113,M113,AJ113,IF(AK113="",0,AK113)))</f>
        <v>18.383360200705251</v>
      </c>
      <c r="X113" s="455">
        <f>IF(E113="","",ProjAzmAtBit(F113,G113,J113,C113,M113,AJ113,IF(AK113="",0,AK113),N113,O113))</f>
        <v>45.43117979593805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41"/>
        <v>45.43117979593805</v>
      </c>
      <c r="AO113" s="330">
        <f>IF(E113="","",ProjActiveTargetMdEx(D113,W113,V113,ProjTargets_MD,ProjTargets_INC,ProjTargets_AZM,ProjTargets_TVD,F113,H113))</f>
        <v>1807.13</v>
      </c>
      <c r="AP113" s="207">
        <f>IF(OR(E113="",E113&lt;$U$2),"",ProjBitN(E113,F113,G113,AL113,D113,W113,X113))</f>
        <v>20.74687915276596</v>
      </c>
      <c r="AQ113" s="207">
        <f>IF(OR(E113="",E113&lt;$U$2),"",ProjBitE(E113,F113,G113,AM113,D113,W113,X113))</f>
        <v>15.518440485510322</v>
      </c>
      <c r="AR113" s="207">
        <f t="shared" si="37"/>
        <v>19.500295142775634</v>
      </c>
      <c r="AS113" s="207">
        <f t="shared" si="38"/>
        <v>14.210000000000036</v>
      </c>
      <c r="AT113" s="207" t="str">
        <f t="shared" si="39"/>
        <v>L70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2853.7324130078737</v>
      </c>
      <c r="W114" s="344">
        <f>IF(E114="","",ProjIncAtBit(F114,J114,C114,M114,AJ114,IF(AK114="",0,AK114)))</f>
        <v>23.882276184588477</v>
      </c>
      <c r="X114" s="455">
        <f>IF(E114="","",ProjAzmAtBit(F114,G114,J114,C114,M114,AJ114,IF(AK114="",0,AK114),N114,O114))</f>
        <v>42.356349856718055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41"/>
        <v>42.356349856718055</v>
      </c>
      <c r="AO114" s="330">
        <f>IF(E114="","",ProjActiveTargetMdEx(D114,W114,V114,ProjTargets_MD,ProjTargets_INC,ProjTargets_AZM,ProjTargets_TVD,F114,H114))</f>
        <v>1807.13</v>
      </c>
      <c r="AP114" s="207">
        <f>IF(OR(E114="",E114&lt;$U$2),"",ProjBitN(E114,F114,G114,AL114,D114,W114,X114))</f>
        <v>24.80402543227494</v>
      </c>
      <c r="AQ114" s="207">
        <f>IF(OR(E114="",E114&lt;$U$2),"",ProjBitE(E114,F114,G114,AM114,D114,W114,X114))</f>
        <v>19.30319465923408</v>
      </c>
      <c r="AR114" s="207">
        <f t="shared" si="37"/>
        <v>7.7332216870583252</v>
      </c>
      <c r="AS114" s="207">
        <f t="shared" si="38"/>
        <v>10.975705175617019</v>
      </c>
      <c r="AT114" s="207" t="str">
        <f t="shared" si="39"/>
        <v>L80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2866.913708616989</v>
      </c>
      <c r="W115" s="344">
        <f>IF(E115="","",ProjIncAtBit(F115,J115,C115,M115,AJ115,IF(AK115="",0,AK115)))</f>
        <v>23.596933508937941</v>
      </c>
      <c r="X115" s="455">
        <f>IF(E115="","",ProjAzmAtBit(F115,G115,J115,C115,M115,AJ115,IF(AK115="",0,AK115),N115,O115))</f>
        <v>43.162141652766692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41"/>
        <v>43.162141652766692</v>
      </c>
      <c r="AO115" s="330">
        <f>IF(E115="","",ProjActiveTargetMdEx(D115,W115,V115,ProjTargets_MD,ProjTargets_INC,ProjTargets_AZM,ProjTargets_TVD,F115,H115))</f>
        <v>1807.13</v>
      </c>
      <c r="AP115" s="207">
        <f>IF(OR(E115="",E115&lt;$U$2),"",ProjBitN(E115,F115,G115,AL115,D115,W115,X115))</f>
        <v>28.521218101357885</v>
      </c>
      <c r="AQ115" s="207">
        <f>IF(OR(E115="",E115&lt;$U$2),"",ProjBitE(E115,F115,G115,AM115,D115,W115,X115))</f>
        <v>22.971468332605408</v>
      </c>
      <c r="AR115" s="207">
        <f t="shared" si="37"/>
        <v>8.511424170089084</v>
      </c>
      <c r="AS115" s="207">
        <f t="shared" si="38"/>
        <v>14.179999999999836</v>
      </c>
      <c r="AT115" s="207" t="str">
        <f t="shared" si="39"/>
        <v>L80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2879.8873005266159</v>
      </c>
      <c r="W116" s="344">
        <f>IF(E116="","",ProjIncAtBit(F116,J116,C116,M116,AJ116,IF(AK116="",0,AK116)))</f>
        <v>27.494350821643522</v>
      </c>
      <c r="X116" s="455">
        <f>IF(E116="","",ProjAzmAtBit(F116,G116,J116,C116,M116,AJ116,IF(AK116="",0,AK116),N116,O116))</f>
        <v>41.777715224385048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41"/>
        <v>41.777715224385048</v>
      </c>
      <c r="AO116" s="330">
        <f>IF(E116="","",ProjActiveTargetMdEx(D116,W116,V116,ProjTargets_MD,ProjTargets_INC,ProjTargets_AZM,ProjTargets_TVD,F116,H116))</f>
        <v>2821.17</v>
      </c>
      <c r="AP116" s="207">
        <f>IF(OR(E116="",E116&lt;$U$2),"",ProjBitN(E116,F116,G116,AL116,D116,W116,X116))</f>
        <v>33.330364333031092</v>
      </c>
      <c r="AQ116" s="207">
        <f>IF(OR(E116="",E116&lt;$U$2),"",ProjBitE(E116,F116,G116,AM116,D116,W116,X116))</f>
        <v>27.331161310705589</v>
      </c>
      <c r="AR116" s="207">
        <f t="shared" si="37"/>
        <v>20.39099830004789</v>
      </c>
      <c r="AS116" s="207">
        <f t="shared" si="38"/>
        <v>14.5</v>
      </c>
      <c r="AT116" s="207" t="str">
        <f t="shared" si="39"/>
        <v>R85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2892.6066549078664</v>
      </c>
      <c r="W117" s="344">
        <f>IF(E117="","",ProjIncAtBit(F117,J117,C117,M117,AJ117,IF(AK117="",0,AK117)))</f>
        <v>28.395487935628552</v>
      </c>
      <c r="X117" s="455">
        <f>IF(E117="","",ProjAzmAtBit(F117,G117,J117,C117,M117,AJ117,IF(AK117="",0,AK117),N117,O117))</f>
        <v>37.469471751560697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41"/>
        <v>37.469471751560697</v>
      </c>
      <c r="AO117" s="330">
        <f>IF(E117="","",ProjActiveTargetMdEx(D117,W117,V117,ProjTargets_MD,ProjTargets_INC,ProjTargets_AZM,ProjTargets_TVD,F117,H117))</f>
        <v>2821.17</v>
      </c>
      <c r="AP117" s="207">
        <f>IF(OR(E117="",E117&lt;$U$2),"",ProjBitN(E117,F117,G117,AL117,D117,W117,X117))</f>
        <v>38.339668988666745</v>
      </c>
      <c r="AQ117" s="207">
        <f>IF(OR(E117="",E117&lt;$U$2),"",ProjBitE(E117,F117,G117,AM117,D117,W117,X117))</f>
        <v>31.204199931316616</v>
      </c>
      <c r="AR117" s="207">
        <f t="shared" si="37"/>
        <v>18.904670086639182</v>
      </c>
      <c r="AS117" s="207">
        <f t="shared" si="38"/>
        <v>14.210000000000036</v>
      </c>
      <c r="AT117" s="207" t="str">
        <f t="shared" si="39"/>
        <v>R85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2905.3114812653271</v>
      </c>
      <c r="W118" s="344">
        <f>IF(E118="","",ProjIncAtBit(F118,J118,C118,M118,AJ118,IF(AK118="",0,AK118)))</f>
        <v>30.104614895150526</v>
      </c>
      <c r="X118" s="455">
        <f>IF(E118="","",ProjAzmAtBit(F118,G118,J118,C118,M118,AJ118,IF(AK118="",0,AK118),N118,O118))</f>
        <v>38.355647149193096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41"/>
        <v>38.355647149193096</v>
      </c>
      <c r="AO118" s="330">
        <f>IF(E118="","",ProjActiveTargetMdEx(D118,W118,V118,ProjTargets_MD,ProjTargets_INC,ProjTargets_AZM,ProjTargets_TVD,F118,H118))</f>
        <v>2821.17</v>
      </c>
      <c r="AP118" s="207">
        <f>IF(OR(E118="",E118&lt;$U$2),"",ProjBitN(E118,F118,G118,AL118,D118,W118,X118))</f>
        <v>43.688466442470492</v>
      </c>
      <c r="AQ118" s="207">
        <f>IF(OR(E118="",E118&lt;$U$2),"",ProjBitE(E118,F118,G118,AM118,D118,W118,X118))</f>
        <v>35.695917258484769</v>
      </c>
      <c r="AR118" s="207">
        <f t="shared" si="37"/>
        <v>14.990451941068351</v>
      </c>
      <c r="AS118" s="207">
        <f t="shared" si="38"/>
        <v>14.499999999999545</v>
      </c>
      <c r="AT118" s="207" t="str">
        <f t="shared" si="39"/>
        <v>R86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2917.6315508902248</v>
      </c>
      <c r="W119" s="344">
        <f>IF(E119="","",ProjIncAtBit(F119,J119,C119,M119,AJ119,IF(AK119="",0,AK119)))</f>
        <v>31.60142951030285</v>
      </c>
      <c r="X119" s="455">
        <f>IF(E119="","",ProjAzmAtBit(F119,G119,J119,C119,M119,AJ119,IF(AK119="",0,AK119),N119,O119))</f>
        <v>40.405748403401724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41"/>
        <v>40.405748403401724</v>
      </c>
      <c r="AO119" s="330" t="str">
        <f>IF(E119="","",ProjActiveTargetMdEx(D119,W119,V119,ProjTargets_MD,ProjTargets_INC,ProjTargets_AZM,ProjTargets_TVD,F119,H119))</f>
        <v/>
      </c>
      <c r="AP119" s="207">
        <f>IF(OR(E119="",E119&lt;$U$2),"",ProjBitN(E119,F119,G119,AL119,D119,W119,X119))</f>
        <v>49.148226275211947</v>
      </c>
      <c r="AQ119" s="207">
        <f>IF(OR(E119="",E119&lt;$U$2),"",ProjBitE(E119,F119,G119,AM119,D119,W119,X119))</f>
        <v>40.481639008676524</v>
      </c>
      <c r="AR119" s="207" t="str">
        <f t="shared" si="37"/>
        <v/>
      </c>
      <c r="AS119" s="207" t="str">
        <f t="shared" si="38"/>
        <v/>
      </c>
      <c r="AT119" s="207" t="str">
        <f t="shared" si="39"/>
        <v/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2929.7858984942827</v>
      </c>
      <c r="W120" s="344">
        <f>IF(E120="","",ProjIncAtBit(F120,J120,C120,M120,AJ120,IF(AK120="",0,AK120)))</f>
        <v>34.025251189579535</v>
      </c>
      <c r="X120" s="455">
        <f>IF(E120="","",ProjAzmAtBit(F120,G120,J120,C120,M120,AJ120,IF(AK120="",0,AK120),N120,O120))</f>
        <v>43.538838070516981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41"/>
        <v>43.538838070516981</v>
      </c>
      <c r="AO120" s="330" t="str">
        <f>IF(E120="","",ProjActiveTargetMdEx(D120,W120,V120,ProjTargets_MD,ProjTargets_INC,ProjTargets_AZM,ProjTargets_TVD,F120,H120))</f>
        <v/>
      </c>
      <c r="AP120" s="207">
        <f>IF(OR(E120="",E120&lt;$U$2),"",ProjBitN(E120,F120,G120,AL120,D120,W120,X120))</f>
        <v>54.877009005852898</v>
      </c>
      <c r="AQ120" s="207">
        <f>IF(OR(E120="",E120&lt;$U$2),"",ProjBitE(E120,F120,G120,AM120,D120,W120,X120))</f>
        <v>45.939954588717484</v>
      </c>
      <c r="AR120" s="207" t="str">
        <f t="shared" si="37"/>
        <v/>
      </c>
      <c r="AS120" s="207" t="str">
        <f t="shared" si="38"/>
        <v/>
      </c>
      <c r="AT120" s="207" t="str">
        <f t="shared" si="39"/>
        <v/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2941.4452639654123</v>
      </c>
      <c r="W121" s="344">
        <f>IF(E121="","",ProjIncAtBit(F121,J121,C121,M121,AJ121,IF(AK121="",0,AK121)))</f>
        <v>36.344975824343862</v>
      </c>
      <c r="X121" s="455">
        <f>IF(E121="","",ProjAzmAtBit(F121,G121,J121,C121,M121,AJ121,IF(AK121="",0,AK121),N121,O121))</f>
        <v>44.669427124276169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41"/>
        <v>44.669427124276169</v>
      </c>
      <c r="AO121" s="330" t="str">
        <f>IF(E121="","",ProjActiveTargetMdEx(D121,W121,V121,ProjTargets_MD,ProjTargets_INC,ProjTargets_AZM,ProjTargets_TVD,F121,H121))</f>
        <v/>
      </c>
      <c r="AP121" s="207">
        <f>IF(OR(E121="",E121&lt;$U$2),"",ProjBitN(E121,F121,G121,AL121,D121,W121,X121))</f>
        <v>60.806354015783569</v>
      </c>
      <c r="AQ121" s="207">
        <f>IF(OR(E121="",E121&lt;$U$2),"",ProjBitE(E121,F121,G121,AM121,D121,W121,X121))</f>
        <v>51.641985201275446</v>
      </c>
      <c r="AR121" s="207" t="str">
        <f t="shared" si="37"/>
        <v/>
      </c>
      <c r="AS121" s="207" t="str">
        <f t="shared" si="38"/>
        <v/>
      </c>
      <c r="AT121" s="207" t="str">
        <f t="shared" si="39"/>
        <v/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2952.4574939552231</v>
      </c>
      <c r="W122" s="344">
        <f>IF(E122="","",ProjIncAtBit(F122,J122,C122,M122,AJ122,IF(AK122="",0,AK122)))</f>
        <v>41.59868629992885</v>
      </c>
      <c r="X122" s="455">
        <f>IF(E122="","",ProjAzmAtBit(F122,G122,J122,C122,M122,AJ122,IF(AK122="",0,AK122),N122,O122))</f>
        <v>45.08657217377749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41"/>
        <v>45.08657217377749</v>
      </c>
      <c r="AO122" s="330" t="str">
        <f>IF(E122="","",ProjActiveTargetMdEx(D122,W122,V122,ProjTargets_MD,ProjTargets_INC,ProjTargets_AZM,ProjTargets_TVD,F122,H122))</f>
        <v/>
      </c>
      <c r="AP122" s="207">
        <f>IF(OR(E122="",E122&lt;$U$2),"",ProjBitN(E122,F122,G122,AL122,D122,W122,X122))</f>
        <v>67.566501964769557</v>
      </c>
      <c r="AQ122" s="207">
        <f>IF(OR(E122="",E122&lt;$U$2),"",ProjBitE(E122,F122,G122,AM122,D122,W122,X122))</f>
        <v>58.255445077461907</v>
      </c>
      <c r="AR122" s="207" t="str">
        <f t="shared" si="37"/>
        <v/>
      </c>
      <c r="AS122" s="207" t="str">
        <f t="shared" si="38"/>
        <v/>
      </c>
      <c r="AT122" s="207" t="str">
        <f t="shared" si="39"/>
        <v/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2963.3064027398159</v>
      </c>
      <c r="W123" s="344">
        <f>IF(E123="","",ProjIncAtBit(F123,J123,C123,M123,AJ123,IF(AK123="",0,AK123)))</f>
        <v>42.419714046290892</v>
      </c>
      <c r="X123" s="455">
        <f>IF(E123="","",ProjAzmAtBit(F123,G123,J123,C123,M123,AJ123,IF(AK123="",0,AK123),N123,O123))</f>
        <v>43.952069186454587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41"/>
        <v>43.952069186454587</v>
      </c>
      <c r="AO123" s="330" t="str">
        <f>IF(E123="","",ProjActiveTargetMdEx(D123,W123,V123,ProjTargets_MD,ProjTargets_INC,ProjTargets_AZM,ProjTargets_TVD,F123,H123))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74.344361154531626</v>
      </c>
      <c r="AQ123" s="207">
        <f>IF(OR(E123="",E123&lt;$U$2),"",ProjBitE(E123,F123,G123,AM123,D123,W123,X123))</f>
        <v>64.640169139697932</v>
      </c>
      <c r="AR123" s="207" t="str">
        <f t="shared" si="37"/>
        <v/>
      </c>
      <c r="AS123" s="207" t="str">
        <f t="shared" si="38"/>
        <v/>
      </c>
      <c r="AT123" s="207" t="str">
        <f t="shared" si="39"/>
        <v/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2967.2157892551195</v>
      </c>
      <c r="W124" s="344">
        <f>IF(E124="","",ProjIncAtBit(F124,J124,C124,M124,AJ124,IF(AK124="",0,AK124)))</f>
        <v>43.391272571415087</v>
      </c>
      <c r="X124" s="455">
        <f>IF(E124="","",ProjAzmAtBit(F124,G124,J124,C124,M124,AJ124,IF(AK124="",0,AK124),N124,O124))</f>
        <v>42.583922931651188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41"/>
        <v>42.583922931651188</v>
      </c>
      <c r="AO124" s="330" t="str">
        <f>IF(E124="","",ProjActiveTargetMdEx(D124,W124,V124,ProjTargets_MD,ProjTargets_INC,ProjTargets_AZM,ProjTargets_TVD,F124,H124))</f>
        <v/>
      </c>
      <c r="AP124" s="207">
        <f>IF(OR(E124="",E124&lt;$U$2),"",ProjBitN(E124,F124,G124,AL124,D124,W124,X124))</f>
        <v>77.226984665810761</v>
      </c>
      <c r="AQ124" s="207">
        <f>IF(OR(E124="",E124&lt;$U$2),"",ProjBitE(E124,F124,G124,AM124,D124,W124,X124))</f>
        <v>67.127538448496722</v>
      </c>
      <c r="AR124" s="207" t="str">
        <f t="shared" si="37"/>
        <v/>
      </c>
      <c r="AS124" s="207" t="str">
        <f t="shared" si="38"/>
        <v/>
      </c>
      <c r="AT124" s="207" t="str">
        <f t="shared" si="39"/>
        <v/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4">
        <f>IF(E125="","",ProjIncAtBit(F125,J125,C125,M125,AJ125,IF(AK125="",0,AK125)))</f>
        <v>41.26</v>
      </c>
      <c r="X125" s="455">
        <f>IF(E125="","",ProjAzmAtBit(F125,G125,J125,C125,M125,AJ125,IF(AK125="",0,AK125),N125,O125))</f>
        <v>41.97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41"/>
        <v>41.97</v>
      </c>
      <c r="AO125" s="330" t="str">
        <f>IF(E125="","",ProjActiveTargetMdEx(D125,W125,V125,ProjTargets_MD,ProjTargets_INC,ProjTargets_AZM,ProjTargets_TVD,F125,H125))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 t="shared" si="37"/>
        <v/>
      </c>
      <c r="AS125" s="207" t="str">
        <f t="shared" si="38"/>
        <v/>
      </c>
      <c r="AT125" s="207" t="str">
        <f t="shared" si="39"/>
        <v/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4" t="str">
        <f>IF(E126="","",ProjIncAtBit(F126,J126,C126,M126,AJ126,IF(AK126="",0,AK126)))</f>
        <v/>
      </c>
      <c r="X126" s="455" t="str">
        <f>IF(E126="","",ProjAzmAtBit(F126,G126,J126,C126,M126,AJ126,IF(AK126="",0,AK126),N126,O126))</f>
        <v/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41"/>
        <v/>
      </c>
      <c r="AO126" s="330">
        <f>IF(E126="","",ProjActiveTargetMdEx(D126,W126,V126,ProjTargets_MD,ProjTargets_INC,ProjTargets_AZM,ProjTargets_TVD,F126,H126))</f>
        <v>1807.13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 t="shared" si="37"/>
        <v/>
      </c>
      <c r="AS126" s="207" t="str">
        <f t="shared" si="38"/>
        <v/>
      </c>
      <c r="AT126" s="207" t="str">
        <f t="shared" si="39"/>
        <v/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4" t="str">
        <f>IF(E127="","",ProjIncAtBit(F127,J127,C127,M127,AJ127,IF(AK127="",0,AK127)))</f>
        <v/>
      </c>
      <c r="X127" s="455" t="str">
        <f>IF(E127="","",ProjAzmAtBit(F127,G127,J127,C127,M127,AJ127,IF(AK127="",0,AK127),N127,O127))</f>
        <v/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41"/>
        <v/>
      </c>
      <c r="AO127" s="330">
        <f>IF(E127="","",ProjActiveTargetMdEx(D127,W127,V127,ProjTargets_MD,ProjTargets_INC,ProjTargets_AZM,ProjTargets_TVD,F127,H127))</f>
        <v>1807.13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 t="shared" si="37"/>
        <v/>
      </c>
      <c r="AS127" s="207" t="str">
        <f t="shared" si="38"/>
        <v/>
      </c>
      <c r="AT127" s="207" t="str">
        <f t="shared" si="39"/>
        <v/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4" t="str">
        <f>IF(E128="","",ProjIncAtBit(F128,J128,C128,M128,AJ128,IF(AK128="",0,AK128)))</f>
        <v/>
      </c>
      <c r="X128" s="455" t="str">
        <f>IF(E128="","",ProjAzmAtBit(F128,G128,J128,C128,M128,AJ128,IF(AK128="",0,AK128),N128,O128))</f>
        <v/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41"/>
        <v/>
      </c>
      <c r="AO128" s="330">
        <f>IF(E128="","",ProjActiveTargetMdEx(D128,W128,V128,ProjTargets_MD,ProjTargets_INC,ProjTargets_AZM,ProjTargets_TVD,F128,H128))</f>
        <v>1807.13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 t="shared" si="37"/>
        <v/>
      </c>
      <c r="AS128" s="207" t="str">
        <f t="shared" si="38"/>
        <v/>
      </c>
      <c r="AT128" s="207" t="str">
        <f t="shared" si="39"/>
        <v/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4" t="str">
        <f>IF(E129="","",ProjIncAtBit(F129,J129,C129,M129,AJ129,IF(AK129="",0,AK129)))</f>
        <v/>
      </c>
      <c r="X129" s="455" t="str">
        <f>IF(E129="","",ProjAzmAtBit(F129,G129,J129,C129,M129,AJ129,IF(AK129="",0,AK129),N129,O129))</f>
        <v/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41"/>
        <v/>
      </c>
      <c r="AO129" s="330">
        <f>IF(E129="","",ProjActiveTargetMdEx(D129,W129,V129,ProjTargets_MD,ProjTargets_INC,ProjTargets_AZM,ProjTargets_TVD,F129,H129))</f>
        <v>1807.13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 t="shared" si="37"/>
        <v/>
      </c>
      <c r="AS129" s="207" t="str">
        <f t="shared" si="38"/>
        <v/>
      </c>
      <c r="AT129" s="207" t="str">
        <f t="shared" si="39"/>
        <v/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4" t="str">
        <f>IF(E130="","",ProjIncAtBit(F130,J130,C130,M130,AJ130,IF(AK130="",0,AK130)))</f>
        <v/>
      </c>
      <c r="X130" s="455" t="str">
        <f>IF(E130="","",ProjAzmAtBit(F130,G130,J130,C130,M130,AJ130,IF(AK130="",0,AK130),N130,O130))</f>
        <v/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41"/>
        <v/>
      </c>
      <c r="AO130" s="330">
        <f>IF(E130="","",ProjActiveTargetMdEx(D130,W130,V130,ProjTargets_MD,ProjTargets_INC,ProjTargets_AZM,ProjTargets_TVD,F130,H130))</f>
        <v>1807.13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 t="shared" si="37"/>
        <v/>
      </c>
      <c r="AS130" s="207" t="str">
        <f t="shared" si="38"/>
        <v/>
      </c>
      <c r="AT130" s="207" t="str">
        <f t="shared" si="39"/>
        <v/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4" t="str">
        <f>IF(E131="","",ProjIncAtBit(F131,J131,C131,M131,AJ131,IF(AK131="",0,AK131)))</f>
        <v/>
      </c>
      <c r="X131" s="455" t="str">
        <f>IF(E131="","",ProjAzmAtBit(F131,G131,J131,C131,M131,AJ131,IF(AK131="",0,AK131),N131,O131))</f>
        <v/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41"/>
        <v/>
      </c>
      <c r="AO131" s="330">
        <f>IF(E131="","",ProjActiveTargetMdEx(D131,W131,V131,ProjTargets_MD,ProjTargets_INC,ProjTargets_AZM,ProjTargets_TVD,F131,H131))</f>
        <v>1807.13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 t="shared" si="37"/>
        <v/>
      </c>
      <c r="AS131" s="207" t="str">
        <f t="shared" si="38"/>
        <v/>
      </c>
      <c r="AT131" s="207" t="str">
        <f t="shared" si="39"/>
        <v/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4" t="str">
        <f>IF(E132="","",ProjIncAtBit(F132,J132,C132,M132,AJ132,IF(AK132="",0,AK132)))</f>
        <v/>
      </c>
      <c r="X132" s="455" t="str">
        <f>IF(E132="","",ProjAzmAtBit(F132,G132,J132,C132,M132,AJ132,IF(AK132="",0,AK132),N132,O132))</f>
        <v/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41"/>
        <v/>
      </c>
      <c r="AO132" s="330">
        <f>IF(E132="","",ProjActiveTargetMdEx(D132,W132,V132,ProjTargets_MD,ProjTargets_INC,ProjTargets_AZM,ProjTargets_TVD,F132,H132))</f>
        <v>1807.13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 t="shared" si="37"/>
        <v/>
      </c>
      <c r="AS132" s="207" t="str">
        <f t="shared" si="38"/>
        <v/>
      </c>
      <c r="AT132" s="207" t="str">
        <f t="shared" si="39"/>
        <v/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4" t="str">
        <f>IF(E133="","",ProjIncAtBit(F133,J133,C133,M133,AJ133,IF(AK133="",0,AK133)))</f>
        <v/>
      </c>
      <c r="X133" s="455" t="str">
        <f>IF(E133="","",ProjAzmAtBit(F133,G133,J133,C133,M133,AJ133,IF(AK133="",0,AK133),N133,O133))</f>
        <v/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41"/>
        <v/>
      </c>
      <c r="AO133" s="330">
        <f>IF(E133="","",ProjActiveTargetMdEx(D133,W133,V133,ProjTargets_MD,ProjTargets_INC,ProjTargets_AZM,ProjTargets_TVD,F133,H133))</f>
        <v>1807.13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 t="shared" si="37"/>
        <v/>
      </c>
      <c r="AS133" s="207" t="str">
        <f t="shared" si="38"/>
        <v/>
      </c>
      <c r="AT133" s="207" t="str">
        <f t="shared" si="39"/>
        <v/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4" t="str">
        <f>IF(E134="","",ProjIncAtBit(F134,J134,C134,M134,AJ134,IF(AK134="",0,AK134)))</f>
        <v/>
      </c>
      <c r="X134" s="455" t="str">
        <f>IF(E134="","",ProjAzmAtBit(F134,G134,J134,C134,M134,AJ134,IF(AK134="",0,AK134),N134,O134))</f>
        <v/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41"/>
        <v/>
      </c>
      <c r="AO134" s="330">
        <f>IF(E134="","",ProjActiveTargetMdEx(D134,W134,V134,ProjTargets_MD,ProjTargets_INC,ProjTargets_AZM,ProjTargets_TVD,F134,H134))</f>
        <v>1807.13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 t="shared" si="37"/>
        <v/>
      </c>
      <c r="AS134" s="207" t="str">
        <f t="shared" si="38"/>
        <v/>
      </c>
      <c r="AT134" s="207" t="str">
        <f t="shared" si="39"/>
        <v/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4" t="str">
        <f>IF(E135="","",ProjIncAtBit(F135,J135,C135,M135,AJ135,IF(AK135="",0,AK135)))</f>
        <v/>
      </c>
      <c r="X135" s="455" t="str">
        <f>IF(E135="","",ProjAzmAtBit(F135,G135,J135,C135,M135,AJ135,IF(AK135="",0,AK135),N135,O135))</f>
        <v/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41"/>
        <v/>
      </c>
      <c r="AO135" s="330">
        <f>IF(E135="","",ProjActiveTargetMdEx(D135,W135,V135,ProjTargets_MD,ProjTargets_INC,ProjTargets_AZM,ProjTargets_TVD,F135,H135))</f>
        <v>1807.13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 t="shared" si="37"/>
        <v/>
      </c>
      <c r="AS135" s="207" t="str">
        <f t="shared" si="38"/>
        <v/>
      </c>
      <c r="AT135" s="207" t="str">
        <f t="shared" si="39"/>
        <v/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4" t="str">
        <f>IF(E136="","",ProjIncAtBit(F136,J136,C136,M136,AJ136,IF(AK136="",0,AK136)))</f>
        <v/>
      </c>
      <c r="X136" s="455" t="str">
        <f>IF(E136="","",ProjAzmAtBit(F136,G136,J136,C136,M136,AJ136,IF(AK136="",0,AK136),N136,O136))</f>
        <v/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41"/>
        <v/>
      </c>
      <c r="AO136" s="330">
        <f>IF(E136="","",ProjActiveTargetMdEx(D136,W136,V136,ProjTargets_MD,ProjTargets_INC,ProjTargets_AZM,ProjTargets_TVD,F136,H136))</f>
        <v>1807.13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 t="shared" si="37"/>
        <v/>
      </c>
      <c r="AS136" s="207" t="str">
        <f t="shared" si="38"/>
        <v/>
      </c>
      <c r="AT136" s="207" t="str">
        <f t="shared" si="39"/>
        <v/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4" t="str">
        <f>IF(E137="","",ProjIncAtBit(F137,J137,C137,M137,AJ137,IF(AK137="",0,AK137)))</f>
        <v/>
      </c>
      <c r="X137" s="455" t="str">
        <f>IF(E137="","",ProjAzmAtBit(F137,G137,J137,C137,M137,AJ137,IF(AK137="",0,AK137),N137,O137))</f>
        <v/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41"/>
        <v/>
      </c>
      <c r="AO137" s="330">
        <f>IF(E137="","",ProjActiveTargetMdEx(D137,W137,V137,ProjTargets_MD,ProjTargets_INC,ProjTargets_AZM,ProjTargets_TVD,F137,H137))</f>
        <v>1807.13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 t="shared" si="37"/>
        <v/>
      </c>
      <c r="AS137" s="207" t="str">
        <f t="shared" si="38"/>
        <v/>
      </c>
      <c r="AT137" s="207" t="str">
        <f t="shared" si="39"/>
        <v/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4" t="str">
        <f>IF(E138="","",ProjIncAtBit(F138,J138,C138,M138,AJ138,IF(AK138="",0,AK138)))</f>
        <v/>
      </c>
      <c r="X138" s="455" t="str">
        <f>IF(E138="","",ProjAzmAtBit(F138,G138,J138,C138,M138,AJ138,IF(AK138="",0,AK138),N138,O138))</f>
        <v/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41"/>
        <v/>
      </c>
      <c r="AO138" s="330">
        <f>IF(E138="","",ProjActiveTargetMdEx(D138,W138,V138,ProjTargets_MD,ProjTargets_INC,ProjTargets_AZM,ProjTargets_TVD,F138,H138))</f>
        <v>1807.13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 t="shared" si="37"/>
        <v/>
      </c>
      <c r="AS138" s="207" t="str">
        <f t="shared" si="38"/>
        <v/>
      </c>
      <c r="AT138" s="207" t="str">
        <f t="shared" si="39"/>
        <v/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4" t="str">
        <f>IF(E139="","",ProjIncAtBit(F139,J139,C139,M139,AJ139,IF(AK139="",0,AK139)))</f>
        <v/>
      </c>
      <c r="X139" s="455" t="str">
        <f>IF(E139="","",ProjAzmAtBit(F139,G139,J139,C139,M139,AJ139,IF(AK139="",0,AK139),N139,O139))</f>
        <v/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41"/>
        <v/>
      </c>
      <c r="AO139" s="330">
        <f>IF(E139="","",ProjActiveTargetMdEx(D139,W139,V139,ProjTargets_MD,ProjTargets_INC,ProjTargets_AZM,ProjTargets_TVD,F139,H139))</f>
        <v>1807.13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 t="shared" si="37"/>
        <v/>
      </c>
      <c r="AS139" s="207" t="str">
        <f t="shared" si="38"/>
        <v/>
      </c>
      <c r="AT139" s="207" t="str">
        <f t="shared" si="39"/>
        <v/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4" t="str">
        <f>IF(E140="","",ProjIncAtBit(F140,J140,C140,M140,AJ140,IF(AK140="",0,AK140)))</f>
        <v/>
      </c>
      <c r="X140" s="455" t="str">
        <f>IF(E140="","",ProjAzmAtBit(F140,G140,J140,C140,M140,AJ140,IF(AK140="",0,AK140),N140,O140))</f>
        <v/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41"/>
        <v/>
      </c>
      <c r="AO140" s="330">
        <f>IF(E140="","",ProjActiveTargetMdEx(D140,W140,V140,ProjTargets_MD,ProjTargets_INC,ProjTargets_AZM,ProjTargets_TVD,F140,H140))</f>
        <v>1807.13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 t="shared" si="37"/>
        <v/>
      </c>
      <c r="AS140" s="207" t="str">
        <f t="shared" si="38"/>
        <v/>
      </c>
      <c r="AT140" s="207" t="str">
        <f t="shared" si="39"/>
        <v/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4" t="str">
        <f>IF(E141="","",ProjIncAtBit(F141,J141,C141,M141,AJ141,IF(AK141="",0,AK141)))</f>
        <v/>
      </c>
      <c r="X141" s="455" t="str">
        <f>IF(E141="","",ProjAzmAtBit(F141,G141,J141,C141,M141,AJ141,IF(AK141="",0,AK141),N141,O141))</f>
        <v/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41"/>
        <v/>
      </c>
      <c r="AO141" s="330">
        <f>IF(E141="","",ProjActiveTargetMdEx(D141,W141,V141,ProjTargets_MD,ProjTargets_INC,ProjTargets_AZM,ProjTargets_TVD,F141,H141))</f>
        <v>1807.13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 t="shared" ref="AR141:AR204" si="58">_xlfn.SINGLE(IF(OR(E141="",E141&lt;_xlfn.SINGLE(ProjBuildStartMd),AO141=""),"",ProjBurr(D141,W141,X141,Q141,C141,ProjTargets_MD,ProjTargets_INC,ProjTargets_AZM,ProjTargets_TVD,V141)))</f>
        <v/>
      </c>
      <c r="AS141" s="207" t="str">
        <f t="shared" ref="AS141:AS204" si="59">_xlfn.SINGLE(IF(OR(E141="",E141&lt;_xlfn.SINGLE(ProjBuildStartMd),AO141=""),"",ProjMetersToSlide(D141,W141,X141,Q141,C141,ProjTargets_MD,ProjTargets_INC,ProjTargets_AZM,ProjTargets_TVD,V141)))</f>
        <v/>
      </c>
      <c r="AT141" s="207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4" t="str">
        <f>IF(E142="","",ProjIncAtBit(F142,J142,C142,M142,AJ142,IF(AK142="",0,AK142)))</f>
        <v/>
      </c>
      <c r="X142" s="455" t="str">
        <f>IF(E142="","",ProjAzmAtBit(F142,G142,J142,C142,M142,AJ142,IF(AK142="",0,AK142),N142,O142))</f>
        <v/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62">IF(X142="","",X142)</f>
        <v/>
      </c>
      <c r="AO142" s="330">
        <f>IF(E142="","",ProjActiveTargetMdEx(D142,W142,V142,ProjTargets_MD,ProjTargets_INC,ProjTargets_AZM,ProjTargets_TVD,F142,H142))</f>
        <v>1807.13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 t="shared" si="58"/>
        <v/>
      </c>
      <c r="AS142" s="207" t="str">
        <f t="shared" si="59"/>
        <v/>
      </c>
      <c r="AT142" s="207" t="str">
        <f t="shared" si="60"/>
        <v/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4" t="str">
        <f>IF(E143="","",ProjIncAtBit(F143,J143,C143,M143,AJ143,IF(AK143="",0,AK143)))</f>
        <v/>
      </c>
      <c r="X143" s="455" t="str">
        <f>IF(E143="","",ProjAzmAtBit(F143,G143,J143,C143,M143,AJ143,IF(AK143="",0,AK143),N143,O143))</f>
        <v/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62"/>
        <v/>
      </c>
      <c r="AO143" s="330">
        <f>IF(E143="","",ProjActiveTargetMdEx(D143,W143,V143,ProjTargets_MD,ProjTargets_INC,ProjTargets_AZM,ProjTargets_TVD,F143,H143))</f>
        <v>1807.13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 t="shared" si="58"/>
        <v/>
      </c>
      <c r="AS143" s="207" t="str">
        <f t="shared" si="59"/>
        <v/>
      </c>
      <c r="AT143" s="207" t="str">
        <f t="shared" si="60"/>
        <v/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4" t="str">
        <f>IF(E144="","",ProjIncAtBit(F144,J144,C144,M144,AJ144,IF(AK144="",0,AK144)))</f>
        <v/>
      </c>
      <c r="X144" s="455" t="str">
        <f>IF(E144="","",ProjAzmAtBit(F144,G144,J144,C144,M144,AJ144,IF(AK144="",0,AK144),N144,O144))</f>
        <v/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62"/>
        <v/>
      </c>
      <c r="AO144" s="330">
        <f>IF(E144="","",ProjActiveTargetMdEx(D144,W144,V144,ProjTargets_MD,ProjTargets_INC,ProjTargets_AZM,ProjTargets_TVD,F144,H144))</f>
        <v>1807.13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 t="shared" si="58"/>
        <v/>
      </c>
      <c r="AS144" s="207" t="str">
        <f t="shared" si="59"/>
        <v/>
      </c>
      <c r="AT144" s="207" t="str">
        <f t="shared" si="60"/>
        <v/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4" t="str">
        <f>IF(E145="","",ProjIncAtBit(F145,J145,C145,M145,AJ145,IF(AK145="",0,AK145)))</f>
        <v/>
      </c>
      <c r="X145" s="455" t="str">
        <f>IF(E145="","",ProjAzmAtBit(F145,G145,J145,C145,M145,AJ145,IF(AK145="",0,AK145),N145,O145))</f>
        <v/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62"/>
        <v/>
      </c>
      <c r="AO145" s="330">
        <f>IF(E145="","",ProjActiveTargetMdEx(D145,W145,V145,ProjTargets_MD,ProjTargets_INC,ProjTargets_AZM,ProjTargets_TVD,F145,H145))</f>
        <v>1807.13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 t="shared" si="58"/>
        <v/>
      </c>
      <c r="AS145" s="207" t="str">
        <f t="shared" si="59"/>
        <v/>
      </c>
      <c r="AT145" s="207" t="str">
        <f t="shared" si="60"/>
        <v/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4" t="str">
        <f>IF(E146="","",ProjIncAtBit(F146,J146,C146,M146,AJ146,IF(AK146="",0,AK146)))</f>
        <v/>
      </c>
      <c r="X146" s="455" t="str">
        <f>IF(E146="","",ProjAzmAtBit(F146,G146,J146,C146,M146,AJ146,IF(AK146="",0,AK146),N146,O146))</f>
        <v/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62"/>
        <v/>
      </c>
      <c r="AO146" s="330">
        <f>IF(E146="","",ProjActiveTargetMdEx(D146,W146,V146,ProjTargets_MD,ProjTargets_INC,ProjTargets_AZM,ProjTargets_TVD,F146,H146))</f>
        <v>1807.13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 t="shared" si="58"/>
        <v/>
      </c>
      <c r="AS146" s="207" t="str">
        <f t="shared" si="59"/>
        <v/>
      </c>
      <c r="AT146" s="207" t="str">
        <f t="shared" si="60"/>
        <v/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4" t="str">
        <f>IF(E147="","",ProjIncAtBit(F147,J147,C147,M147,AJ147,IF(AK147="",0,AK147)))</f>
        <v/>
      </c>
      <c r="X147" s="455" t="str">
        <f>IF(E147="","",ProjAzmAtBit(F147,G147,J147,C147,M147,AJ147,IF(AK147="",0,AK147),N147,O147))</f>
        <v/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62"/>
        <v/>
      </c>
      <c r="AO147" s="330">
        <f>IF(E147="","",ProjActiveTargetMdEx(D147,W147,V147,ProjTargets_MD,ProjTargets_INC,ProjTargets_AZM,ProjTargets_TVD,F147,H147))</f>
        <v>1807.13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 t="shared" si="58"/>
        <v/>
      </c>
      <c r="AS147" s="207" t="str">
        <f t="shared" si="59"/>
        <v/>
      </c>
      <c r="AT147" s="207" t="str">
        <f t="shared" si="60"/>
        <v/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4" t="str">
        <f>IF(E148="","",ProjIncAtBit(F148,J148,C148,M148,AJ148,IF(AK148="",0,AK148)))</f>
        <v/>
      </c>
      <c r="X148" s="455" t="str">
        <f>IF(E148="","",ProjAzmAtBit(F148,G148,J148,C148,M148,AJ148,IF(AK148="",0,AK148),N148,O148))</f>
        <v/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62"/>
        <v/>
      </c>
      <c r="AO148" s="330">
        <f>IF(E148="","",ProjActiveTargetMdEx(D148,W148,V148,ProjTargets_MD,ProjTargets_INC,ProjTargets_AZM,ProjTargets_TVD,F148,H148))</f>
        <v>1807.13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 t="shared" si="58"/>
        <v/>
      </c>
      <c r="AS148" s="207" t="str">
        <f t="shared" si="59"/>
        <v/>
      </c>
      <c r="AT148" s="207" t="str">
        <f t="shared" si="60"/>
        <v/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4" t="str">
        <f>IF(E149="","",ProjIncAtBit(F149,J149,C149,M149,AJ149,IF(AK149="",0,AK149)))</f>
        <v/>
      </c>
      <c r="X149" s="455" t="str">
        <f>IF(E149="","",ProjAzmAtBit(F149,G149,J149,C149,M149,AJ149,IF(AK149="",0,AK149),N149,O149))</f>
        <v/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62"/>
        <v/>
      </c>
      <c r="AO149" s="330">
        <f>IF(E149="","",ProjActiveTargetMdEx(D149,W149,V149,ProjTargets_MD,ProjTargets_INC,ProjTargets_AZM,ProjTargets_TVD,F149,H149))</f>
        <v>1807.13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 t="shared" si="58"/>
        <v/>
      </c>
      <c r="AS149" s="207" t="str">
        <f t="shared" si="59"/>
        <v/>
      </c>
      <c r="AT149" s="207" t="str">
        <f t="shared" si="60"/>
        <v/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4" t="str">
        <f>IF(E150="","",ProjIncAtBit(F150,J150,C150,M150,AJ150,IF(AK150="",0,AK150)))</f>
        <v/>
      </c>
      <c r="X150" s="455" t="str">
        <f>IF(E150="","",ProjAzmAtBit(F150,G150,J150,C150,M150,AJ150,IF(AK150="",0,AK150),N150,O150))</f>
        <v/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62"/>
        <v/>
      </c>
      <c r="AO150" s="330">
        <f>IF(E150="","",ProjActiveTargetMdEx(D150,W150,V150,ProjTargets_MD,ProjTargets_INC,ProjTargets_AZM,ProjTargets_TVD,F150,H150))</f>
        <v>1807.13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 t="shared" si="58"/>
        <v/>
      </c>
      <c r="AS150" s="207" t="str">
        <f t="shared" si="59"/>
        <v/>
      </c>
      <c r="AT150" s="207" t="str">
        <f t="shared" si="60"/>
        <v/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4" t="str">
        <f>IF(E151="","",ProjIncAtBit(F151,J151,C151,M151,AJ151,IF(AK151="",0,AK151)))</f>
        <v/>
      </c>
      <c r="X151" s="455" t="str">
        <f>IF(E151="","",ProjAzmAtBit(F151,G151,J151,C151,M151,AJ151,IF(AK151="",0,AK151),N151,O151))</f>
        <v/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62"/>
        <v/>
      </c>
      <c r="AO151" s="330">
        <f>IF(E151="","",ProjActiveTargetMdEx(D151,W151,V151,ProjTargets_MD,ProjTargets_INC,ProjTargets_AZM,ProjTargets_TVD,F151,H151))</f>
        <v>1807.13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 t="shared" si="58"/>
        <v/>
      </c>
      <c r="AS151" s="207" t="str">
        <f t="shared" si="59"/>
        <v/>
      </c>
      <c r="AT151" s="207" t="str">
        <f t="shared" si="60"/>
        <v/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4" t="str">
        <f>IF(E152="","",ProjIncAtBit(F152,J152,C152,M152,AJ152,IF(AK152="",0,AK152)))</f>
        <v/>
      </c>
      <c r="X152" s="455" t="str">
        <f>IF(E152="","",ProjAzmAtBit(F152,G152,J152,C152,M152,AJ152,IF(AK152="",0,AK152),N152,O152))</f>
        <v/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62"/>
        <v/>
      </c>
      <c r="AO152" s="330">
        <f>IF(E152="","",ProjActiveTargetMdEx(D152,W152,V152,ProjTargets_MD,ProjTargets_INC,ProjTargets_AZM,ProjTargets_TVD,F152,H152))</f>
        <v>1807.13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 t="shared" si="58"/>
        <v/>
      </c>
      <c r="AS152" s="207" t="str">
        <f t="shared" si="59"/>
        <v/>
      </c>
      <c r="AT152" s="207" t="str">
        <f t="shared" si="60"/>
        <v/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4" t="str">
        <f>IF(E153="","",ProjIncAtBit(F153,J153,C153,M153,AJ153,IF(AK153="",0,AK153)))</f>
        <v/>
      </c>
      <c r="X153" s="455" t="str">
        <f>IF(E153="","",ProjAzmAtBit(F153,G153,J153,C153,M153,AJ153,IF(AK153="",0,AK153),N153,O153))</f>
        <v/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62"/>
        <v/>
      </c>
      <c r="AO153" s="330">
        <f>IF(E153="","",ProjActiveTargetMdEx(D153,W153,V153,ProjTargets_MD,ProjTargets_INC,ProjTargets_AZM,ProjTargets_TVD,F153,H153))</f>
        <v>1807.13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 t="shared" si="58"/>
        <v/>
      </c>
      <c r="AS153" s="207" t="str">
        <f t="shared" si="59"/>
        <v/>
      </c>
      <c r="AT153" s="207" t="str">
        <f t="shared" si="60"/>
        <v/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4" t="str">
        <f>IF(E154="","",ProjIncAtBit(F154,J154,C154,M154,AJ154,IF(AK154="",0,AK154)))</f>
        <v/>
      </c>
      <c r="X154" s="455" t="str">
        <f>IF(E154="","",ProjAzmAtBit(F154,G154,J154,C154,M154,AJ154,IF(AK154="",0,AK154),N154,O154))</f>
        <v/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62"/>
        <v/>
      </c>
      <c r="AO154" s="330">
        <f>IF(E154="","",ProjActiveTargetMdEx(D154,W154,V154,ProjTargets_MD,ProjTargets_INC,ProjTargets_AZM,ProjTargets_TVD,F154,H154))</f>
        <v>1807.13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 t="shared" si="58"/>
        <v/>
      </c>
      <c r="AS154" s="207" t="str">
        <f t="shared" si="59"/>
        <v/>
      </c>
      <c r="AT154" s="207" t="str">
        <f t="shared" si="60"/>
        <v/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4" t="str">
        <f>IF(E155="","",ProjIncAtBit(F155,J155,C155,M155,AJ155,IF(AK155="",0,AK155)))</f>
        <v/>
      </c>
      <c r="X155" s="455" t="str">
        <f>IF(E155="","",ProjAzmAtBit(F155,G155,J155,C155,M155,AJ155,IF(AK155="",0,AK155),N155,O155))</f>
        <v/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62"/>
        <v/>
      </c>
      <c r="AO155" s="330">
        <f>IF(E155="","",ProjActiveTargetMdEx(D155,W155,V155,ProjTargets_MD,ProjTargets_INC,ProjTargets_AZM,ProjTargets_TVD,F155,H155))</f>
        <v>1807.13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 t="shared" si="58"/>
        <v/>
      </c>
      <c r="AS155" s="207" t="str">
        <f t="shared" si="59"/>
        <v/>
      </c>
      <c r="AT155" s="207" t="str">
        <f t="shared" si="60"/>
        <v/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4" t="str">
        <f>IF(E156="","",ProjIncAtBit(F156,J156,C156,M156,AJ156,IF(AK156="",0,AK156)))</f>
        <v/>
      </c>
      <c r="X156" s="455" t="str">
        <f>IF(E156="","",ProjAzmAtBit(F156,G156,J156,C156,M156,AJ156,IF(AK156="",0,AK156),N156,O156))</f>
        <v/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62"/>
        <v/>
      </c>
      <c r="AO156" s="330">
        <f>IF(E156="","",ProjActiveTargetMdEx(D156,W156,V156,ProjTargets_MD,ProjTargets_INC,ProjTargets_AZM,ProjTargets_TVD,F156,H156))</f>
        <v>1807.13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 t="shared" si="58"/>
        <v/>
      </c>
      <c r="AS156" s="207" t="str">
        <f t="shared" si="59"/>
        <v/>
      </c>
      <c r="AT156" s="207" t="str">
        <f t="shared" si="60"/>
        <v/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4" t="str">
        <f>IF(E157="","",ProjIncAtBit(F157,J157,C157,M157,AJ157,IF(AK157="",0,AK157)))</f>
        <v/>
      </c>
      <c r="X157" s="455" t="str">
        <f>IF(E157="","",ProjAzmAtBit(F157,G157,J157,C157,M157,AJ157,IF(AK157="",0,AK157),N157,O157))</f>
        <v/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62"/>
        <v/>
      </c>
      <c r="AO157" s="330">
        <f>IF(E157="","",ProjActiveTargetMdEx(D157,W157,V157,ProjTargets_MD,ProjTargets_INC,ProjTargets_AZM,ProjTargets_TVD,F157,H157))</f>
        <v>1807.13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 t="shared" si="58"/>
        <v/>
      </c>
      <c r="AS157" s="207" t="str">
        <f t="shared" si="59"/>
        <v/>
      </c>
      <c r="AT157" s="207" t="str">
        <f t="shared" si="60"/>
        <v/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4" t="str">
        <f>IF(E158="","",ProjIncAtBit(F158,J158,C158,M158,AJ158,IF(AK158="",0,AK158)))</f>
        <v/>
      </c>
      <c r="X158" s="455" t="str">
        <f>IF(E158="","",ProjAzmAtBit(F158,G158,J158,C158,M158,AJ158,IF(AK158="",0,AK158),N158,O158))</f>
        <v/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62"/>
        <v/>
      </c>
      <c r="AO158" s="330">
        <f>IF(E158="","",ProjActiveTargetMdEx(D158,W158,V158,ProjTargets_MD,ProjTargets_INC,ProjTargets_AZM,ProjTargets_TVD,F158,H158))</f>
        <v>1807.13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 t="shared" si="58"/>
        <v/>
      </c>
      <c r="AS158" s="207" t="str">
        <f t="shared" si="59"/>
        <v/>
      </c>
      <c r="AT158" s="207" t="str">
        <f t="shared" si="60"/>
        <v/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4" t="str">
        <f>IF(E159="","",ProjIncAtBit(F159,J159,C159,M159,AJ159,IF(AK159="",0,AK159)))</f>
        <v/>
      </c>
      <c r="X159" s="455" t="str">
        <f>IF(E159="","",ProjAzmAtBit(F159,G159,J159,C159,M159,AJ159,IF(AK159="",0,AK159),N159,O159))</f>
        <v/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62"/>
        <v/>
      </c>
      <c r="AO159" s="330">
        <f>IF(E159="","",ProjActiveTargetMdEx(D159,W159,V159,ProjTargets_MD,ProjTargets_INC,ProjTargets_AZM,ProjTargets_TVD,F159,H159))</f>
        <v>1807.13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 t="shared" si="58"/>
        <v/>
      </c>
      <c r="AS159" s="207" t="str">
        <f t="shared" si="59"/>
        <v/>
      </c>
      <c r="AT159" s="207" t="str">
        <f t="shared" si="60"/>
        <v/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4" t="str">
        <f>IF(E160="","",ProjIncAtBit(F160,J160,C160,M160,AJ160,IF(AK160="",0,AK160)))</f>
        <v/>
      </c>
      <c r="X160" s="455" t="str">
        <f>IF(E160="","",ProjAzmAtBit(F160,G160,J160,C160,M160,AJ160,IF(AK160="",0,AK160),N160,O160))</f>
        <v/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62"/>
        <v/>
      </c>
      <c r="AO160" s="330">
        <f>IF(E160="","",ProjActiveTargetMdEx(D160,W160,V160,ProjTargets_MD,ProjTargets_INC,ProjTargets_AZM,ProjTargets_TVD,F160,H160))</f>
        <v>1807.13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 t="shared" si="58"/>
        <v/>
      </c>
      <c r="AS160" s="207" t="str">
        <f t="shared" si="59"/>
        <v/>
      </c>
      <c r="AT160" s="207" t="str">
        <f t="shared" si="60"/>
        <v/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4" t="str">
        <f>IF(E161="","",ProjIncAtBit(F161,J161,C161,M161,AJ161,IF(AK161="",0,AK161)))</f>
        <v/>
      </c>
      <c r="X161" s="455" t="str">
        <f>IF(E161="","",ProjAzmAtBit(F161,G161,J161,C161,M161,AJ161,IF(AK161="",0,AK161),N161,O161))</f>
        <v/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62"/>
        <v/>
      </c>
      <c r="AO161" s="330">
        <f>IF(E161="","",ProjActiveTargetMdEx(D161,W161,V161,ProjTargets_MD,ProjTargets_INC,ProjTargets_AZM,ProjTargets_TVD,F161,H161))</f>
        <v>1807.13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 t="shared" si="58"/>
        <v/>
      </c>
      <c r="AS161" s="207" t="str">
        <f t="shared" si="59"/>
        <v/>
      </c>
      <c r="AT161" s="207" t="str">
        <f t="shared" si="60"/>
        <v/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4" t="str">
        <f>IF(E162="","",ProjIncAtBit(F162,J162,C162,M162,AJ162,IF(AK162="",0,AK162)))</f>
        <v/>
      </c>
      <c r="X162" s="455" t="str">
        <f>IF(E162="","",ProjAzmAtBit(F162,G162,J162,C162,M162,AJ162,IF(AK162="",0,AK162),N162,O162))</f>
        <v/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62"/>
        <v/>
      </c>
      <c r="AO162" s="330">
        <f>IF(E162="","",ProjActiveTargetMdEx(D162,W162,V162,ProjTargets_MD,ProjTargets_INC,ProjTargets_AZM,ProjTargets_TVD,F162,H162))</f>
        <v>1807.13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 t="shared" si="58"/>
        <v/>
      </c>
      <c r="AS162" s="207" t="str">
        <f t="shared" si="59"/>
        <v/>
      </c>
      <c r="AT162" s="207" t="str">
        <f t="shared" si="60"/>
        <v/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4" t="str">
        <f>IF(E163="","",ProjIncAtBit(F163,J163,C163,M163,AJ163,IF(AK163="",0,AK163)))</f>
        <v/>
      </c>
      <c r="X163" s="455" t="str">
        <f>IF(E163="","",ProjAzmAtBit(F163,G163,J163,C163,M163,AJ163,IF(AK163="",0,AK163),N163,O163))</f>
        <v/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62"/>
        <v/>
      </c>
      <c r="AO163" s="330">
        <f>IF(E163="","",ProjActiveTargetMdEx(D163,W163,V163,ProjTargets_MD,ProjTargets_INC,ProjTargets_AZM,ProjTargets_TVD,F163,H163))</f>
        <v>1807.13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 t="shared" si="58"/>
        <v/>
      </c>
      <c r="AS163" s="207" t="str">
        <f t="shared" si="59"/>
        <v/>
      </c>
      <c r="AT163" s="207" t="str">
        <f t="shared" si="60"/>
        <v/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4" t="str">
        <f>IF(E164="","",ProjIncAtBit(F164,J164,C164,M164,AJ164,IF(AK164="",0,AK164)))</f>
        <v/>
      </c>
      <c r="X164" s="455" t="str">
        <f>IF(E164="","",ProjAzmAtBit(F164,G164,J164,C164,M164,AJ164,IF(AK164="",0,AK164),N164,O164))</f>
        <v/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62"/>
        <v/>
      </c>
      <c r="AO164" s="330">
        <f>IF(E164="","",ProjActiveTargetMdEx(D164,W164,V164,ProjTargets_MD,ProjTargets_INC,ProjTargets_AZM,ProjTargets_TVD,F164,H164))</f>
        <v>1807.13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 t="shared" si="58"/>
        <v/>
      </c>
      <c r="AS164" s="207" t="str">
        <f t="shared" si="59"/>
        <v/>
      </c>
      <c r="AT164" s="207" t="str">
        <f t="shared" si="60"/>
        <v/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4" t="str">
        <f>IF(E165="","",ProjIncAtBit(F165,J165,C165,M165,AJ165,IF(AK165="",0,AK165)))</f>
        <v/>
      </c>
      <c r="X165" s="455" t="str">
        <f>IF(E165="","",ProjAzmAtBit(F165,G165,J165,C165,M165,AJ165,IF(AK165="",0,AK165),N165,O165))</f>
        <v/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62"/>
        <v/>
      </c>
      <c r="AO165" s="330">
        <f>IF(E165="","",ProjActiveTargetMdEx(D165,W165,V165,ProjTargets_MD,ProjTargets_INC,ProjTargets_AZM,ProjTargets_TVD,F165,H165))</f>
        <v>1807.13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 t="shared" si="58"/>
        <v/>
      </c>
      <c r="AS165" s="207" t="str">
        <f t="shared" si="59"/>
        <v/>
      </c>
      <c r="AT165" s="207" t="str">
        <f t="shared" si="60"/>
        <v/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4" t="str">
        <f>IF(E166="","",ProjIncAtBit(F166,J166,C166,M166,AJ166,IF(AK166="",0,AK166)))</f>
        <v/>
      </c>
      <c r="X166" s="455" t="str">
        <f>IF(E166="","",ProjAzmAtBit(F166,G166,J166,C166,M166,AJ166,IF(AK166="",0,AK166),N166,O166))</f>
        <v/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62"/>
        <v/>
      </c>
      <c r="AO166" s="330">
        <f>IF(E166="","",ProjActiveTargetMdEx(D166,W166,V166,ProjTargets_MD,ProjTargets_INC,ProjTargets_AZM,ProjTargets_TVD,F166,H166))</f>
        <v>1807.13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 t="shared" si="58"/>
        <v/>
      </c>
      <c r="AS166" s="207" t="str">
        <f t="shared" si="59"/>
        <v/>
      </c>
      <c r="AT166" s="207" t="str">
        <f t="shared" si="60"/>
        <v/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4" t="str">
        <f>IF(E167="","",ProjIncAtBit(F167,J167,C167,M167,AJ167,IF(AK167="",0,AK167)))</f>
        <v/>
      </c>
      <c r="X167" s="455" t="str">
        <f>IF(E167="","",ProjAzmAtBit(F167,G167,J167,C167,M167,AJ167,IF(AK167="",0,AK167),N167,O167))</f>
        <v/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62"/>
        <v/>
      </c>
      <c r="AO167" s="330">
        <f>IF(E167="","",ProjActiveTargetMdEx(D167,W167,V167,ProjTargets_MD,ProjTargets_INC,ProjTargets_AZM,ProjTargets_TVD,F167,H167))</f>
        <v>1807.13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 t="shared" si="58"/>
        <v/>
      </c>
      <c r="AS167" s="207" t="str">
        <f t="shared" si="59"/>
        <v/>
      </c>
      <c r="AT167" s="207" t="str">
        <f t="shared" si="60"/>
        <v/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4" t="str">
        <f>IF(E168="","",ProjIncAtBit(F168,J168,C168,M168,AJ168,IF(AK168="",0,AK168)))</f>
        <v/>
      </c>
      <c r="X168" s="455" t="str">
        <f>IF(E168="","",ProjAzmAtBit(F168,G168,J168,C168,M168,AJ168,IF(AK168="",0,AK168),N168,O168))</f>
        <v/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62"/>
        <v/>
      </c>
      <c r="AO168" s="330">
        <f>IF(E168="","",ProjActiveTargetMdEx(D168,W168,V168,ProjTargets_MD,ProjTargets_INC,ProjTargets_AZM,ProjTargets_TVD,F168,H168))</f>
        <v>1807.13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 t="shared" si="58"/>
        <v/>
      </c>
      <c r="AS168" s="207" t="str">
        <f t="shared" si="59"/>
        <v/>
      </c>
      <c r="AT168" s="207" t="str">
        <f t="shared" si="60"/>
        <v/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4" t="str">
        <f>IF(E169="","",ProjIncAtBit(F169,J169,C169,M169,AJ169,IF(AK169="",0,AK169)))</f>
        <v/>
      </c>
      <c r="X169" s="455" t="str">
        <f>IF(E169="","",ProjAzmAtBit(F169,G169,J169,C169,M169,AJ169,IF(AK169="",0,AK169),N169,O169))</f>
        <v/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62"/>
        <v/>
      </c>
      <c r="AO169" s="330">
        <f>IF(E169="","",ProjActiveTargetMdEx(D169,W169,V169,ProjTargets_MD,ProjTargets_INC,ProjTargets_AZM,ProjTargets_TVD,F169,H169))</f>
        <v>1807.13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 t="shared" si="58"/>
        <v/>
      </c>
      <c r="AS169" s="207" t="str">
        <f t="shared" si="59"/>
        <v/>
      </c>
      <c r="AT169" s="207" t="str">
        <f t="shared" si="60"/>
        <v/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4" t="str">
        <f>IF(E170="","",ProjIncAtBit(F170,J170,C170,M170,AJ170,IF(AK170="",0,AK170)))</f>
        <v/>
      </c>
      <c r="X170" s="455" t="str">
        <f>IF(E170="","",ProjAzmAtBit(F170,G170,J170,C170,M170,AJ170,IF(AK170="",0,AK170),N170,O170))</f>
        <v/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62"/>
        <v/>
      </c>
      <c r="AO170" s="330">
        <f>IF(E170="","",ProjActiveTargetMdEx(D170,W170,V170,ProjTargets_MD,ProjTargets_INC,ProjTargets_AZM,ProjTargets_TVD,F170,H170))</f>
        <v>1807.13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 t="shared" si="58"/>
        <v/>
      </c>
      <c r="AS170" s="207" t="str">
        <f t="shared" si="59"/>
        <v/>
      </c>
      <c r="AT170" s="207" t="str">
        <f t="shared" si="60"/>
        <v/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4" t="str">
        <f>IF(E171="","",ProjIncAtBit(F171,J171,C171,M171,AJ171,IF(AK171="",0,AK171)))</f>
        <v/>
      </c>
      <c r="X171" s="455" t="str">
        <f>IF(E171="","",ProjAzmAtBit(F171,G171,J171,C171,M171,AJ171,IF(AK171="",0,AK171),N171,O171))</f>
        <v/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62"/>
        <v/>
      </c>
      <c r="AO171" s="330">
        <f>IF(E171="","",ProjActiveTargetMdEx(D171,W171,V171,ProjTargets_MD,ProjTargets_INC,ProjTargets_AZM,ProjTargets_TVD,F171,H171))</f>
        <v>1807.13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 t="shared" si="58"/>
        <v/>
      </c>
      <c r="AS171" s="207" t="str">
        <f t="shared" si="59"/>
        <v/>
      </c>
      <c r="AT171" s="207" t="str">
        <f t="shared" si="60"/>
        <v/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4" t="str">
        <f>IF(E172="","",ProjIncAtBit(F172,J172,C172,M172,AJ172,IF(AK172="",0,AK172)))</f>
        <v/>
      </c>
      <c r="X172" s="455" t="str">
        <f>IF(E172="","",ProjAzmAtBit(F172,G172,J172,C172,M172,AJ172,IF(AK172="",0,AK172),N172,O172))</f>
        <v/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62"/>
        <v/>
      </c>
      <c r="AO172" s="330">
        <f>IF(E172="","",ProjActiveTargetMdEx(D172,W172,V172,ProjTargets_MD,ProjTargets_INC,ProjTargets_AZM,ProjTargets_TVD,F172,H172))</f>
        <v>1807.13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 t="shared" si="58"/>
        <v/>
      </c>
      <c r="AS172" s="207" t="str">
        <f t="shared" si="59"/>
        <v/>
      </c>
      <c r="AT172" s="207" t="str">
        <f t="shared" si="60"/>
        <v/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4" t="str">
        <f>IF(E173="","",ProjIncAtBit(F173,J173,C173,M173,AJ173,IF(AK173="",0,AK173)))</f>
        <v/>
      </c>
      <c r="X173" s="455" t="str">
        <f>IF(E173="","",ProjAzmAtBit(F173,G173,J173,C173,M173,AJ173,IF(AK173="",0,AK173),N173,O173))</f>
        <v/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62"/>
        <v/>
      </c>
      <c r="AO173" s="330">
        <f>IF(E173="","",ProjActiveTargetMdEx(D173,W173,V173,ProjTargets_MD,ProjTargets_INC,ProjTargets_AZM,ProjTargets_TVD,F173,H173))</f>
        <v>1807.13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 t="shared" si="58"/>
        <v/>
      </c>
      <c r="AS173" s="207" t="str">
        <f t="shared" si="59"/>
        <v/>
      </c>
      <c r="AT173" s="207" t="str">
        <f t="shared" si="60"/>
        <v/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4" t="str">
        <f>IF(E174="","",ProjIncAtBit(F174,J174,C174,M174,AJ174,IF(AK174="",0,AK174)))</f>
        <v/>
      </c>
      <c r="X174" s="455" t="str">
        <f>IF(E174="","",ProjAzmAtBit(F174,G174,J174,C174,M174,AJ174,IF(AK174="",0,AK174),N174,O174))</f>
        <v/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62"/>
        <v/>
      </c>
      <c r="AO174" s="330">
        <f>IF(E174="","",ProjActiveTargetMdEx(D174,W174,V174,ProjTargets_MD,ProjTargets_INC,ProjTargets_AZM,ProjTargets_TVD,F174,H174))</f>
        <v>1807.13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 t="shared" si="58"/>
        <v/>
      </c>
      <c r="AS174" s="207" t="str">
        <f t="shared" si="59"/>
        <v/>
      </c>
      <c r="AT174" s="207" t="str">
        <f t="shared" si="60"/>
        <v/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4" t="str">
        <f>IF(E175="","",ProjIncAtBit(F175,J175,C175,M175,AJ175,IF(AK175="",0,AK175)))</f>
        <v/>
      </c>
      <c r="X175" s="455" t="str">
        <f>IF(E175="","",ProjAzmAtBit(F175,G175,J175,C175,M175,AJ175,IF(AK175="",0,AK175),N175,O175))</f>
        <v/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62"/>
        <v/>
      </c>
      <c r="AO175" s="330">
        <f>IF(E175="","",ProjActiveTargetMdEx(D175,W175,V175,ProjTargets_MD,ProjTargets_INC,ProjTargets_AZM,ProjTargets_TVD,F175,H175))</f>
        <v>1807.13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 t="shared" si="58"/>
        <v/>
      </c>
      <c r="AS175" s="207" t="str">
        <f t="shared" si="59"/>
        <v/>
      </c>
      <c r="AT175" s="207" t="str">
        <f t="shared" si="60"/>
        <v/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4" t="str">
        <f>IF(E176="","",ProjIncAtBit(F176,J176,C176,M176,AJ176,IF(AK176="",0,AK176)))</f>
        <v/>
      </c>
      <c r="X176" s="455" t="str">
        <f>IF(E176="","",ProjAzmAtBit(F176,G176,J176,C176,M176,AJ176,IF(AK176="",0,AK176),N176,O176))</f>
        <v/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62"/>
        <v/>
      </c>
      <c r="AO176" s="330">
        <f>IF(E176="","",ProjActiveTargetMdEx(D176,W176,V176,ProjTargets_MD,ProjTargets_INC,ProjTargets_AZM,ProjTargets_TVD,F176,H176))</f>
        <v>1807.13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 t="shared" si="58"/>
        <v/>
      </c>
      <c r="AS176" s="207" t="str">
        <f t="shared" si="59"/>
        <v/>
      </c>
      <c r="AT176" s="207" t="str">
        <f t="shared" si="60"/>
        <v/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4" t="str">
        <f>IF(E177="","",ProjIncAtBit(F177,J177,C177,M177,AJ177,IF(AK177="",0,AK177)))</f>
        <v/>
      </c>
      <c r="X177" s="455" t="str">
        <f>IF(E177="","",ProjAzmAtBit(F177,G177,J177,C177,M177,AJ177,IF(AK177="",0,AK177),N177,O177))</f>
        <v/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62"/>
        <v/>
      </c>
      <c r="AO177" s="330">
        <f>IF(E177="","",ProjActiveTargetMdEx(D177,W177,V177,ProjTargets_MD,ProjTargets_INC,ProjTargets_AZM,ProjTargets_TVD,F177,H177))</f>
        <v>1807.13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 t="shared" si="58"/>
        <v/>
      </c>
      <c r="AS177" s="207" t="str">
        <f t="shared" si="59"/>
        <v/>
      </c>
      <c r="AT177" s="207" t="str">
        <f t="shared" si="60"/>
        <v/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4" t="str">
        <f>IF(E178="","",ProjIncAtBit(F178,J178,C178,M178,AJ178,IF(AK178="",0,AK178)))</f>
        <v/>
      </c>
      <c r="X178" s="455" t="str">
        <f>IF(E178="","",ProjAzmAtBit(F178,G178,J178,C178,M178,AJ178,IF(AK178="",0,AK178),N178,O178))</f>
        <v/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62"/>
        <v/>
      </c>
      <c r="AO178" s="330">
        <f>IF(E178="","",ProjActiveTargetMdEx(D178,W178,V178,ProjTargets_MD,ProjTargets_INC,ProjTargets_AZM,ProjTargets_TVD,F178,H178))</f>
        <v>1807.13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 t="shared" si="58"/>
        <v/>
      </c>
      <c r="AS178" s="207" t="str">
        <f t="shared" si="59"/>
        <v/>
      </c>
      <c r="AT178" s="207" t="str">
        <f t="shared" si="60"/>
        <v/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4" t="str">
        <f>IF(E179="","",ProjIncAtBit(F179,J179,C179,M179,AJ179,IF(AK179="",0,AK179)))</f>
        <v/>
      </c>
      <c r="X179" s="455" t="str">
        <f>IF(E179="","",ProjAzmAtBit(F179,G179,J179,C179,M179,AJ179,IF(AK179="",0,AK179),N179,O179))</f>
        <v/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62"/>
        <v/>
      </c>
      <c r="AO179" s="330">
        <f>IF(E179="","",ProjActiveTargetMdEx(D179,W179,V179,ProjTargets_MD,ProjTargets_INC,ProjTargets_AZM,ProjTargets_TVD,F179,H179))</f>
        <v>1807.13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 t="shared" si="58"/>
        <v/>
      </c>
      <c r="AS179" s="207" t="str">
        <f t="shared" si="59"/>
        <v/>
      </c>
      <c r="AT179" s="207" t="str">
        <f t="shared" si="60"/>
        <v/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4" t="str">
        <f>IF(E180="","",ProjIncAtBit(F180,J180,C180,M180,AJ180,IF(AK180="",0,AK180)))</f>
        <v/>
      </c>
      <c r="X180" s="455" t="str">
        <f>IF(E180="","",ProjAzmAtBit(F180,G180,J180,C180,M180,AJ180,IF(AK180="",0,AK180),N180,O180))</f>
        <v/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62"/>
        <v/>
      </c>
      <c r="AO180" s="330">
        <f>IF(E180="","",ProjActiveTargetMdEx(D180,W180,V180,ProjTargets_MD,ProjTargets_INC,ProjTargets_AZM,ProjTargets_TVD,F180,H180))</f>
        <v>1807.13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 t="shared" si="58"/>
        <v/>
      </c>
      <c r="AS180" s="207" t="str">
        <f t="shared" si="59"/>
        <v/>
      </c>
      <c r="AT180" s="207" t="str">
        <f t="shared" si="60"/>
        <v/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4" t="str">
        <f>IF(E181="","",ProjIncAtBit(F181,J181,C181,M181,AJ181,IF(AK181="",0,AK181)))</f>
        <v/>
      </c>
      <c r="X181" s="455" t="str">
        <f>IF(E181="","",ProjAzmAtBit(F181,G181,J181,C181,M181,AJ181,IF(AK181="",0,AK181),N181,O181))</f>
        <v/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62"/>
        <v/>
      </c>
      <c r="AO181" s="330">
        <f>IF(E181="","",ProjActiveTargetMdEx(D181,W181,V181,ProjTargets_MD,ProjTargets_INC,ProjTargets_AZM,ProjTargets_TVD,F181,H181))</f>
        <v>1807.13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 t="shared" si="58"/>
        <v/>
      </c>
      <c r="AS181" s="207" t="str">
        <f t="shared" si="59"/>
        <v/>
      </c>
      <c r="AT181" s="207" t="str">
        <f t="shared" si="60"/>
        <v/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4" t="str">
        <f>IF(E182="","",ProjIncAtBit(F182,J182,C182,M182,AJ182,IF(AK182="",0,AK182)))</f>
        <v/>
      </c>
      <c r="X182" s="455" t="str">
        <f>IF(E182="","",ProjAzmAtBit(F182,G182,J182,C182,M182,AJ182,IF(AK182="",0,AK182),N182,O182))</f>
        <v/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62"/>
        <v/>
      </c>
      <c r="AO182" s="330">
        <f>IF(E182="","",ProjActiveTargetMdEx(D182,W182,V182,ProjTargets_MD,ProjTargets_INC,ProjTargets_AZM,ProjTargets_TVD,F182,H182))</f>
        <v>1807.13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 t="shared" si="58"/>
        <v/>
      </c>
      <c r="AS182" s="207" t="str">
        <f t="shared" si="59"/>
        <v/>
      </c>
      <c r="AT182" s="207" t="str">
        <f t="shared" si="60"/>
        <v/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4" t="str">
        <f>IF(E183="","",ProjIncAtBit(F183,J183,C183,M183,AJ183,IF(AK183="",0,AK183)))</f>
        <v/>
      </c>
      <c r="X183" s="455" t="str">
        <f>IF(E183="","",ProjAzmAtBit(F183,G183,J183,C183,M183,AJ183,IF(AK183="",0,AK183),N183,O183))</f>
        <v/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62"/>
        <v/>
      </c>
      <c r="AO183" s="330">
        <f>IF(E183="","",ProjActiveTargetMdEx(D183,W183,V183,ProjTargets_MD,ProjTargets_INC,ProjTargets_AZM,ProjTargets_TVD,F183,H183))</f>
        <v>1807.13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 t="shared" si="58"/>
        <v/>
      </c>
      <c r="AS183" s="207" t="str">
        <f t="shared" si="59"/>
        <v/>
      </c>
      <c r="AT183" s="207" t="str">
        <f t="shared" si="60"/>
        <v/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4" t="str">
        <f>IF(E184="","",ProjIncAtBit(F184,J184,C184,M184,AJ184,IF(AK184="",0,AK184)))</f>
        <v/>
      </c>
      <c r="X184" s="455" t="str">
        <f>IF(E184="","",ProjAzmAtBit(F184,G184,J184,C184,M184,AJ184,IF(AK184="",0,AK184),N184,O184))</f>
        <v/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62"/>
        <v/>
      </c>
      <c r="AO184" s="330">
        <f>IF(E184="","",ProjActiveTargetMdEx(D184,W184,V184,ProjTargets_MD,ProjTargets_INC,ProjTargets_AZM,ProjTargets_TVD,F184,H184))</f>
        <v>1807.13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 t="shared" si="58"/>
        <v/>
      </c>
      <c r="AS184" s="207" t="str">
        <f t="shared" si="59"/>
        <v/>
      </c>
      <c r="AT184" s="207" t="str">
        <f t="shared" si="60"/>
        <v/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4" t="str">
        <f>IF(E185="","",ProjIncAtBit(F185,J185,C185,M185,AJ185,IF(AK185="",0,AK185)))</f>
        <v/>
      </c>
      <c r="X185" s="455" t="str">
        <f>IF(E185="","",ProjAzmAtBit(F185,G185,J185,C185,M185,AJ185,IF(AK185="",0,AK185),N185,O185))</f>
        <v/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62"/>
        <v/>
      </c>
      <c r="AO185" s="330">
        <f>IF(E185="","",ProjActiveTargetMdEx(D185,W185,V185,ProjTargets_MD,ProjTargets_INC,ProjTargets_AZM,ProjTargets_TVD,F185,H185))</f>
        <v>1807.13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 t="shared" si="58"/>
        <v/>
      </c>
      <c r="AS185" s="207" t="str">
        <f t="shared" si="59"/>
        <v/>
      </c>
      <c r="AT185" s="207" t="str">
        <f t="shared" si="60"/>
        <v/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4" t="str">
        <f>IF(E186="","",ProjIncAtBit(F186,J186,C186,M186,AJ186,IF(AK186="",0,AK186)))</f>
        <v/>
      </c>
      <c r="X186" s="455" t="str">
        <f>IF(E186="","",ProjAzmAtBit(F186,G186,J186,C186,M186,AJ186,IF(AK186="",0,AK186),N186,O186))</f>
        <v/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62"/>
        <v/>
      </c>
      <c r="AO186" s="330">
        <f>IF(E186="","",ProjActiveTargetMdEx(D186,W186,V186,ProjTargets_MD,ProjTargets_INC,ProjTargets_AZM,ProjTargets_TVD,F186,H186))</f>
        <v>1807.13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 t="shared" si="58"/>
        <v/>
      </c>
      <c r="AS186" s="207" t="str">
        <f t="shared" si="59"/>
        <v/>
      </c>
      <c r="AT186" s="207" t="str">
        <f t="shared" si="60"/>
        <v/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4" t="str">
        <f>IF(E187="","",ProjIncAtBit(F187,J187,C187,M187,AJ187,IF(AK187="",0,AK187)))</f>
        <v/>
      </c>
      <c r="X187" s="455" t="str">
        <f>IF(E187="","",ProjAzmAtBit(F187,G187,J187,C187,M187,AJ187,IF(AK187="",0,AK187),N187,O187))</f>
        <v/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62"/>
        <v/>
      </c>
      <c r="AO187" s="330">
        <f>IF(E187="","",ProjActiveTargetMdEx(D187,W187,V187,ProjTargets_MD,ProjTargets_INC,ProjTargets_AZM,ProjTargets_TVD,F187,H187))</f>
        <v>1807.13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 t="shared" si="58"/>
        <v/>
      </c>
      <c r="AS187" s="207" t="str">
        <f t="shared" si="59"/>
        <v/>
      </c>
      <c r="AT187" s="207" t="str">
        <f t="shared" si="60"/>
        <v/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4" t="str">
        <f>IF(E188="","",ProjIncAtBit(F188,J188,C188,M188,AJ188,IF(AK188="",0,AK188)))</f>
        <v/>
      </c>
      <c r="X188" s="455" t="str">
        <f>IF(E188="","",ProjAzmAtBit(F188,G188,J188,C188,M188,AJ188,IF(AK188="",0,AK188),N188,O188))</f>
        <v/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62"/>
        <v/>
      </c>
      <c r="AO188" s="330">
        <f>IF(E188="","",ProjActiveTargetMdEx(D188,W188,V188,ProjTargets_MD,ProjTargets_INC,ProjTargets_AZM,ProjTargets_TVD,F188,H188))</f>
        <v>1807.13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 t="shared" si="58"/>
        <v/>
      </c>
      <c r="AS188" s="207" t="str">
        <f t="shared" si="59"/>
        <v/>
      </c>
      <c r="AT188" s="207" t="str">
        <f t="shared" si="60"/>
        <v/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4" t="str">
        <f>IF(E189="","",ProjIncAtBit(F189,J189,C189,M189,AJ189,IF(AK189="",0,AK189)))</f>
        <v/>
      </c>
      <c r="X189" s="455" t="str">
        <f>IF(E189="","",ProjAzmAtBit(F189,G189,J189,C189,M189,AJ189,IF(AK189="",0,AK189),N189,O189))</f>
        <v/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62"/>
        <v/>
      </c>
      <c r="AO189" s="330">
        <f>IF(E189="","",ProjActiveTargetMdEx(D189,W189,V189,ProjTargets_MD,ProjTargets_INC,ProjTargets_AZM,ProjTargets_TVD,F189,H189))</f>
        <v>1807.13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 t="shared" si="58"/>
        <v/>
      </c>
      <c r="AS189" s="207" t="str">
        <f t="shared" si="59"/>
        <v/>
      </c>
      <c r="AT189" s="207" t="str">
        <f t="shared" si="60"/>
        <v/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4" t="str">
        <f>IF(E190="","",ProjIncAtBit(F190,J190,C190,M190,AJ190,IF(AK190="",0,AK190)))</f>
        <v/>
      </c>
      <c r="X190" s="455" t="str">
        <f>IF(E190="","",ProjAzmAtBit(F190,G190,J190,C190,M190,AJ190,IF(AK190="",0,AK190),N190,O190))</f>
        <v/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62"/>
        <v/>
      </c>
      <c r="AO190" s="330">
        <f>IF(E190="","",ProjActiveTargetMdEx(D190,W190,V190,ProjTargets_MD,ProjTargets_INC,ProjTargets_AZM,ProjTargets_TVD,F190,H190))</f>
        <v>1807.13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 t="shared" si="58"/>
        <v/>
      </c>
      <c r="AS190" s="207" t="str">
        <f t="shared" si="59"/>
        <v/>
      </c>
      <c r="AT190" s="207" t="str">
        <f t="shared" si="60"/>
        <v/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4" t="str">
        <f>IF(E191="","",ProjIncAtBit(F191,J191,C191,M191,AJ191,IF(AK191="",0,AK191)))</f>
        <v/>
      </c>
      <c r="X191" s="455" t="str">
        <f>IF(E191="","",ProjAzmAtBit(F191,G191,J191,C191,M191,AJ191,IF(AK191="",0,AK191),N191,O191))</f>
        <v/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62"/>
        <v/>
      </c>
      <c r="AO191" s="330">
        <f>IF(E191="","",ProjActiveTargetMdEx(D191,W191,V191,ProjTargets_MD,ProjTargets_INC,ProjTargets_AZM,ProjTargets_TVD,F191,H191))</f>
        <v>1807.13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 t="shared" si="58"/>
        <v/>
      </c>
      <c r="AS191" s="207" t="str">
        <f t="shared" si="59"/>
        <v/>
      </c>
      <c r="AT191" s="207" t="str">
        <f t="shared" si="60"/>
        <v/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4" t="str">
        <f>IF(E192="","",ProjIncAtBit(F192,J192,C192,M192,AJ192,IF(AK192="",0,AK192)))</f>
        <v/>
      </c>
      <c r="X192" s="455" t="str">
        <f>IF(E192="","",ProjAzmAtBit(F192,G192,J192,C192,M192,AJ192,IF(AK192="",0,AK192),N192,O192))</f>
        <v/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62"/>
        <v/>
      </c>
      <c r="AO192" s="330">
        <f>IF(E192="","",ProjActiveTargetMdEx(D192,W192,V192,ProjTargets_MD,ProjTargets_INC,ProjTargets_AZM,ProjTargets_TVD,F192,H192))</f>
        <v>1807.13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 t="shared" si="58"/>
        <v/>
      </c>
      <c r="AS192" s="207" t="str">
        <f t="shared" si="59"/>
        <v/>
      </c>
      <c r="AT192" s="207" t="str">
        <f t="shared" si="60"/>
        <v/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4" t="str">
        <f>IF(E193="","",ProjIncAtBit(F193,J193,C193,M193,AJ193,IF(AK193="",0,AK193)))</f>
        <v/>
      </c>
      <c r="X193" s="455" t="str">
        <f>IF(E193="","",ProjAzmAtBit(F193,G193,J193,C193,M193,AJ193,IF(AK193="",0,AK193),N193,O193))</f>
        <v/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62"/>
        <v/>
      </c>
      <c r="AO193" s="330">
        <f>IF(E193="","",ProjActiveTargetMdEx(D193,W193,V193,ProjTargets_MD,ProjTargets_INC,ProjTargets_AZM,ProjTargets_TVD,F193,H193))</f>
        <v>1807.13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 t="shared" si="58"/>
        <v/>
      </c>
      <c r="AS193" s="207" t="str">
        <f t="shared" si="59"/>
        <v/>
      </c>
      <c r="AT193" s="207" t="str">
        <f t="shared" si="60"/>
        <v/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4" t="str">
        <f>IF(E194="","",ProjIncAtBit(F194,J194,C194,M194,AJ194,IF(AK194="",0,AK194)))</f>
        <v/>
      </c>
      <c r="X194" s="455" t="str">
        <f>IF(E194="","",ProjAzmAtBit(F194,G194,J194,C194,M194,AJ194,IF(AK194="",0,AK194),N194,O194))</f>
        <v/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62"/>
        <v/>
      </c>
      <c r="AO194" s="330">
        <f>IF(E194="","",ProjActiveTargetMdEx(D194,W194,V194,ProjTargets_MD,ProjTargets_INC,ProjTargets_AZM,ProjTargets_TVD,F194,H194))</f>
        <v>1807.13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 t="shared" si="58"/>
        <v/>
      </c>
      <c r="AS194" s="207" t="str">
        <f t="shared" si="59"/>
        <v/>
      </c>
      <c r="AT194" s="207" t="str">
        <f t="shared" si="60"/>
        <v/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4" t="str">
        <f>IF(E195="","",ProjIncAtBit(F195,J195,C195,M195,AJ195,IF(AK195="",0,AK195)))</f>
        <v/>
      </c>
      <c r="X195" s="455" t="str">
        <f>IF(E195="","",ProjAzmAtBit(F195,G195,J195,C195,M195,AJ195,IF(AK195="",0,AK195),N195,O195))</f>
        <v/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62"/>
        <v/>
      </c>
      <c r="AO195" s="330">
        <f>IF(E195="","",ProjActiveTargetMdEx(D195,W195,V195,ProjTargets_MD,ProjTargets_INC,ProjTargets_AZM,ProjTargets_TVD,F195,H195))</f>
        <v>1807.13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 t="shared" si="58"/>
        <v/>
      </c>
      <c r="AS195" s="207" t="str">
        <f t="shared" si="59"/>
        <v/>
      </c>
      <c r="AT195" s="207" t="str">
        <f t="shared" si="60"/>
        <v/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4" t="str">
        <f>IF(E196="","",ProjIncAtBit(F196,J196,C196,M196,AJ196,IF(AK196="",0,AK196)))</f>
        <v/>
      </c>
      <c r="X196" s="455" t="str">
        <f>IF(E196="","",ProjAzmAtBit(F196,G196,J196,C196,M196,AJ196,IF(AK196="",0,AK196),N196,O196))</f>
        <v/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62"/>
        <v/>
      </c>
      <c r="AO196" s="330">
        <f>IF(E196="","",ProjActiveTargetMdEx(D196,W196,V196,ProjTargets_MD,ProjTargets_INC,ProjTargets_AZM,ProjTargets_TVD,F196,H196))</f>
        <v>1807.13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 t="shared" si="58"/>
        <v/>
      </c>
      <c r="AS196" s="207" t="str">
        <f t="shared" si="59"/>
        <v/>
      </c>
      <c r="AT196" s="207" t="str">
        <f t="shared" si="60"/>
        <v/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4" t="str">
        <f>IF(E197="","",ProjIncAtBit(F197,J197,C197,M197,AJ197,IF(AK197="",0,AK197)))</f>
        <v/>
      </c>
      <c r="X197" s="455" t="str">
        <f>IF(E197="","",ProjAzmAtBit(F197,G197,J197,C197,M197,AJ197,IF(AK197="",0,AK197),N197,O197))</f>
        <v/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62"/>
        <v/>
      </c>
      <c r="AO197" s="330">
        <f>IF(E197="","",ProjActiveTargetMdEx(D197,W197,V197,ProjTargets_MD,ProjTargets_INC,ProjTargets_AZM,ProjTargets_TVD,F197,H197))</f>
        <v>1807.13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 t="shared" si="58"/>
        <v/>
      </c>
      <c r="AS197" s="207" t="str">
        <f t="shared" si="59"/>
        <v/>
      </c>
      <c r="AT197" s="207" t="str">
        <f t="shared" si="60"/>
        <v/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4" t="str">
        <f>IF(E198="","",ProjIncAtBit(F198,J198,C198,M198,AJ198,IF(AK198="",0,AK198)))</f>
        <v/>
      </c>
      <c r="X198" s="455" t="str">
        <f>IF(E198="","",ProjAzmAtBit(F198,G198,J198,C198,M198,AJ198,IF(AK198="",0,AK198),N198,O198))</f>
        <v/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62"/>
        <v/>
      </c>
      <c r="AO198" s="330">
        <f>IF(E198="","",ProjActiveTargetMdEx(D198,W198,V198,ProjTargets_MD,ProjTargets_INC,ProjTargets_AZM,ProjTargets_TVD,F198,H198))</f>
        <v>1807.13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 t="shared" si="58"/>
        <v/>
      </c>
      <c r="AS198" s="207" t="str">
        <f t="shared" si="59"/>
        <v/>
      </c>
      <c r="AT198" s="207" t="str">
        <f t="shared" si="60"/>
        <v/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4" t="str">
        <f>IF(E199="","",ProjIncAtBit(F199,J199,C199,M199,AJ199,IF(AK199="",0,AK199)))</f>
        <v/>
      </c>
      <c r="X199" s="455" t="str">
        <f>IF(E199="","",ProjAzmAtBit(F199,G199,J199,C199,M199,AJ199,IF(AK199="",0,AK199),N199,O199))</f>
        <v/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62"/>
        <v/>
      </c>
      <c r="AO199" s="330">
        <f>IF(E199="","",ProjActiveTargetMdEx(D199,W199,V199,ProjTargets_MD,ProjTargets_INC,ProjTargets_AZM,ProjTargets_TVD,F199,H199))</f>
        <v>1807.13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 t="shared" si="58"/>
        <v/>
      </c>
      <c r="AS199" s="207" t="str">
        <f t="shared" si="59"/>
        <v/>
      </c>
      <c r="AT199" s="207" t="str">
        <f t="shared" si="60"/>
        <v/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4" t="str">
        <f>IF(E200="","",ProjIncAtBit(F200,J200,C200,M200,AJ200,IF(AK200="",0,AK200)))</f>
        <v/>
      </c>
      <c r="X200" s="455" t="str">
        <f>IF(E200="","",ProjAzmAtBit(F200,G200,J200,C200,M200,AJ200,IF(AK200="",0,AK200),N200,O200))</f>
        <v/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62"/>
        <v/>
      </c>
      <c r="AO200" s="330">
        <f>IF(E200="","",ProjActiveTargetMdEx(D200,W200,V200,ProjTargets_MD,ProjTargets_INC,ProjTargets_AZM,ProjTargets_TVD,F200,H200))</f>
        <v>1807.13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 t="shared" si="58"/>
        <v/>
      </c>
      <c r="AS200" s="207" t="str">
        <f t="shared" si="59"/>
        <v/>
      </c>
      <c r="AT200" s="207" t="str">
        <f t="shared" si="60"/>
        <v/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4" t="str">
        <f>IF(E201="","",ProjIncAtBit(F201,J201,C201,M201,AJ201,IF(AK201="",0,AK201)))</f>
        <v/>
      </c>
      <c r="X201" s="455" t="str">
        <f>IF(E201="","",ProjAzmAtBit(F201,G201,J201,C201,M201,AJ201,IF(AK201="",0,AK201),N201,O201))</f>
        <v/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62"/>
        <v/>
      </c>
      <c r="AO201" s="330">
        <f>IF(E201="","",ProjActiveTargetMdEx(D201,W201,V201,ProjTargets_MD,ProjTargets_INC,ProjTargets_AZM,ProjTargets_TVD,F201,H201))</f>
        <v>1807.13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 t="shared" si="58"/>
        <v/>
      </c>
      <c r="AS201" s="207" t="str">
        <f t="shared" si="59"/>
        <v/>
      </c>
      <c r="AT201" s="207" t="str">
        <f t="shared" si="60"/>
        <v/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4" t="str">
        <f>IF(E202="","",ProjIncAtBit(F202,J202,C202,M202,AJ202,IF(AK202="",0,AK202)))</f>
        <v/>
      </c>
      <c r="X202" s="455" t="str">
        <f>IF(E202="","",ProjAzmAtBit(F202,G202,J202,C202,M202,AJ202,IF(AK202="",0,AK202),N202,O202))</f>
        <v/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62"/>
        <v/>
      </c>
      <c r="AO202" s="330">
        <f>IF(E202="","",ProjActiveTargetMdEx(D202,W202,V202,ProjTargets_MD,ProjTargets_INC,ProjTargets_AZM,ProjTargets_TVD,F202,H202))</f>
        <v>1807.13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 t="shared" si="58"/>
        <v/>
      </c>
      <c r="AS202" s="207" t="str">
        <f t="shared" si="59"/>
        <v/>
      </c>
      <c r="AT202" s="207" t="str">
        <f t="shared" si="60"/>
        <v/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4" t="str">
        <f>IF(E203="","",ProjIncAtBit(F203,J203,C203,M203,AJ203,IF(AK203="",0,AK203)))</f>
        <v/>
      </c>
      <c r="X203" s="455" t="str">
        <f>IF(E203="","",ProjAzmAtBit(F203,G203,J203,C203,M203,AJ203,IF(AK203="",0,AK203),N203,O203))</f>
        <v/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62"/>
        <v/>
      </c>
      <c r="AO203" s="330">
        <f>IF(E203="","",ProjActiveTargetMdEx(D203,W203,V203,ProjTargets_MD,ProjTargets_INC,ProjTargets_AZM,ProjTargets_TVD,F203,H203))</f>
        <v>1807.13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 t="shared" si="58"/>
        <v/>
      </c>
      <c r="AS203" s="207" t="str">
        <f t="shared" si="59"/>
        <v/>
      </c>
      <c r="AT203" s="207" t="str">
        <f t="shared" si="60"/>
        <v/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4" t="str">
        <f>IF(E204="","",ProjIncAtBit(F204,J204,C204,M204,AJ204,IF(AK204="",0,AK204)))</f>
        <v/>
      </c>
      <c r="X204" s="455" t="str">
        <f>IF(E204="","",ProjAzmAtBit(F204,G204,J204,C204,M204,AJ204,IF(AK204="",0,AK204),N204,O204))</f>
        <v/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62"/>
        <v/>
      </c>
      <c r="AO204" s="330">
        <f>IF(E204="","",ProjActiveTargetMdEx(D204,W204,V204,ProjTargets_MD,ProjTargets_INC,ProjTargets_AZM,ProjTargets_TVD,F204,H204))</f>
        <v>1807.13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 t="shared" si="58"/>
        <v/>
      </c>
      <c r="AS204" s="207" t="str">
        <f t="shared" si="59"/>
        <v/>
      </c>
      <c r="AT204" s="207" t="str">
        <f t="shared" si="60"/>
        <v/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4" t="str">
        <f>IF(E205="","",ProjIncAtBit(F205,J205,C205,M205,AJ205,IF(AK205="",0,AK205)))</f>
        <v/>
      </c>
      <c r="X205" s="455" t="str">
        <f>IF(E205="","",ProjAzmAtBit(F205,G205,J205,C205,M205,AJ205,IF(AK205="",0,AK205),N205,O205))</f>
        <v/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62"/>
        <v/>
      </c>
      <c r="AO205" s="330">
        <f>IF(E205="","",ProjActiveTargetMdEx(D205,W205,V205,ProjTargets_MD,ProjTargets_INC,ProjTargets_AZM,ProjTargets_TVD,F205,H205))</f>
        <v>1807.13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 t="shared" ref="AR205:AR268" si="80">_xlfn.SINGLE(IF(OR(E205="",E205&lt;_xlfn.SINGLE(ProjBuildStartMd),AO205=""),"",ProjBurr(D205,W205,X205,Q205,C205,ProjTargets_MD,ProjTargets_INC,ProjTargets_AZM,ProjTargets_TVD,V205)))</f>
        <v/>
      </c>
      <c r="AS205" s="207" t="str">
        <f t="shared" ref="AS205:AS268" si="81">_xlfn.SINGLE(IF(OR(E205="",E205&lt;_xlfn.SINGLE(ProjBuildStartMd),AO205=""),"",ProjMetersToSlide(D205,W205,X205,Q205,C205,ProjTargets_MD,ProjTargets_INC,ProjTargets_AZM,ProjTargets_TVD,V205)))</f>
        <v/>
      </c>
      <c r="AT205" s="207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4" t="str">
        <f>IF(E206="","",ProjIncAtBit(F206,J206,C206,M206,AJ206,IF(AK206="",0,AK206)))</f>
        <v/>
      </c>
      <c r="X206" s="455" t="str">
        <f>IF(E206="","",ProjAzmAtBit(F206,G206,J206,C206,M206,AJ206,IF(AK206="",0,AK206),N206,O206))</f>
        <v/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84">IF(X206="","",X206)</f>
        <v/>
      </c>
      <c r="AO206" s="330">
        <f>IF(E206="","",ProjActiveTargetMdEx(D206,W206,V206,ProjTargets_MD,ProjTargets_INC,ProjTargets_AZM,ProjTargets_TVD,F206,H206))</f>
        <v>1807.13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 t="shared" si="80"/>
        <v/>
      </c>
      <c r="AS206" s="207" t="str">
        <f t="shared" si="81"/>
        <v/>
      </c>
      <c r="AT206" s="207" t="str">
        <f t="shared" si="82"/>
        <v/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4" t="str">
        <f>IF(E207="","",ProjIncAtBit(F207,J207,C207,M207,AJ207,IF(AK207="",0,AK207)))</f>
        <v/>
      </c>
      <c r="X207" s="455" t="str">
        <f>IF(E207="","",ProjAzmAtBit(F207,G207,J207,C207,M207,AJ207,IF(AK207="",0,AK207),N207,O207))</f>
        <v/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84"/>
        <v/>
      </c>
      <c r="AO207" s="330">
        <f>IF(E207="","",ProjActiveTargetMdEx(D207,W207,V207,ProjTargets_MD,ProjTargets_INC,ProjTargets_AZM,ProjTargets_TVD,F207,H207))</f>
        <v>1807.13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 t="shared" si="80"/>
        <v/>
      </c>
      <c r="AS207" s="207" t="str">
        <f t="shared" si="81"/>
        <v/>
      </c>
      <c r="AT207" s="207" t="str">
        <f t="shared" si="82"/>
        <v/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4" t="str">
        <f>IF(E208="","",ProjIncAtBit(F208,J208,C208,M208,AJ208,IF(AK208="",0,AK208)))</f>
        <v/>
      </c>
      <c r="X208" s="455" t="str">
        <f>IF(E208="","",ProjAzmAtBit(F208,G208,J208,C208,M208,AJ208,IF(AK208="",0,AK208),N208,O208))</f>
        <v/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84"/>
        <v/>
      </c>
      <c r="AO208" s="330">
        <f>IF(E208="","",ProjActiveTargetMdEx(D208,W208,V208,ProjTargets_MD,ProjTargets_INC,ProjTargets_AZM,ProjTargets_TVD,F208,H208))</f>
        <v>1807.13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 t="shared" si="80"/>
        <v/>
      </c>
      <c r="AS208" s="207" t="str">
        <f t="shared" si="81"/>
        <v/>
      </c>
      <c r="AT208" s="207" t="str">
        <f t="shared" si="82"/>
        <v/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4" t="str">
        <f>IF(E209="","",ProjIncAtBit(F209,J209,C209,M209,AJ209,IF(AK209="",0,AK209)))</f>
        <v/>
      </c>
      <c r="X209" s="455" t="str">
        <f>IF(E209="","",ProjAzmAtBit(F209,G209,J209,C209,M209,AJ209,IF(AK209="",0,AK209),N209,O209))</f>
        <v/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84"/>
        <v/>
      </c>
      <c r="AO209" s="330">
        <f>IF(E209="","",ProjActiveTargetMdEx(D209,W209,V209,ProjTargets_MD,ProjTargets_INC,ProjTargets_AZM,ProjTargets_TVD,F209,H209))</f>
        <v>1807.13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 t="shared" si="80"/>
        <v/>
      </c>
      <c r="AS209" s="207" t="str">
        <f t="shared" si="81"/>
        <v/>
      </c>
      <c r="AT209" s="207" t="str">
        <f t="shared" si="82"/>
        <v/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4" t="str">
        <f>IF(E210="","",ProjIncAtBit(F210,J210,C210,M210,AJ210,IF(AK210="",0,AK210)))</f>
        <v/>
      </c>
      <c r="X210" s="455" t="str">
        <f>IF(E210="","",ProjAzmAtBit(F210,G210,J210,C210,M210,AJ210,IF(AK210="",0,AK210),N210,O210))</f>
        <v/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84"/>
        <v/>
      </c>
      <c r="AO210" s="330">
        <f>IF(E210="","",ProjActiveTargetMdEx(D210,W210,V210,ProjTargets_MD,ProjTargets_INC,ProjTargets_AZM,ProjTargets_TVD,F210,H210))</f>
        <v>1807.13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 t="shared" si="80"/>
        <v/>
      </c>
      <c r="AS210" s="207" t="str">
        <f t="shared" si="81"/>
        <v/>
      </c>
      <c r="AT210" s="207" t="str">
        <f t="shared" si="82"/>
        <v/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4" t="str">
        <f>IF(E211="","",ProjIncAtBit(F211,J211,C211,M211,AJ211,IF(AK211="",0,AK211)))</f>
        <v/>
      </c>
      <c r="X211" s="455" t="str">
        <f>IF(E211="","",ProjAzmAtBit(F211,G211,J211,C211,M211,AJ211,IF(AK211="",0,AK211),N211,O211))</f>
        <v/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84"/>
        <v/>
      </c>
      <c r="AO211" s="330">
        <f>IF(E211="","",ProjActiveTargetMdEx(D211,W211,V211,ProjTargets_MD,ProjTargets_INC,ProjTargets_AZM,ProjTargets_TVD,F211,H211))</f>
        <v>1807.13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 t="shared" si="80"/>
        <v/>
      </c>
      <c r="AS211" s="207" t="str">
        <f t="shared" si="81"/>
        <v/>
      </c>
      <c r="AT211" s="207" t="str">
        <f t="shared" si="82"/>
        <v/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4" t="str">
        <f>IF(E212="","",ProjIncAtBit(F212,J212,C212,M212,AJ212,IF(AK212="",0,AK212)))</f>
        <v/>
      </c>
      <c r="X212" s="455" t="str">
        <f>IF(E212="","",ProjAzmAtBit(F212,G212,J212,C212,M212,AJ212,IF(AK212="",0,AK212),N212,O212))</f>
        <v/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84"/>
        <v/>
      </c>
      <c r="AO212" s="330">
        <f>IF(E212="","",ProjActiveTargetMdEx(D212,W212,V212,ProjTargets_MD,ProjTargets_INC,ProjTargets_AZM,ProjTargets_TVD,F212,H212))</f>
        <v>1807.13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 t="shared" si="80"/>
        <v/>
      </c>
      <c r="AS212" s="207" t="str">
        <f t="shared" si="81"/>
        <v/>
      </c>
      <c r="AT212" s="207" t="str">
        <f t="shared" si="82"/>
        <v/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4" t="str">
        <f>IF(E213="","",ProjIncAtBit(F213,J213,C213,M213,AJ213,IF(AK213="",0,AK213)))</f>
        <v/>
      </c>
      <c r="X213" s="455" t="str">
        <f>IF(E213="","",ProjAzmAtBit(F213,G213,J213,C213,M213,AJ213,IF(AK213="",0,AK213),N213,O213))</f>
        <v/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84"/>
        <v/>
      </c>
      <c r="AO213" s="330">
        <f>IF(E213="","",ProjActiveTargetMdEx(D213,W213,V213,ProjTargets_MD,ProjTargets_INC,ProjTargets_AZM,ProjTargets_TVD,F213,H213))</f>
        <v>1807.13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 t="shared" si="80"/>
        <v/>
      </c>
      <c r="AS213" s="207" t="str">
        <f t="shared" si="81"/>
        <v/>
      </c>
      <c r="AT213" s="207" t="str">
        <f t="shared" si="82"/>
        <v/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4" t="str">
        <f>IF(E214="","",ProjIncAtBit(F214,J214,C214,M214,AJ214,IF(AK214="",0,AK214)))</f>
        <v/>
      </c>
      <c r="X214" s="455" t="str">
        <f>IF(E214="","",ProjAzmAtBit(F214,G214,J214,C214,M214,AJ214,IF(AK214="",0,AK214),N214,O214))</f>
        <v/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84"/>
        <v/>
      </c>
      <c r="AO214" s="330">
        <f>IF(E214="","",ProjActiveTargetMdEx(D214,W214,V214,ProjTargets_MD,ProjTargets_INC,ProjTargets_AZM,ProjTargets_TVD,F214,H214))</f>
        <v>1807.13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 t="shared" si="80"/>
        <v/>
      </c>
      <c r="AS214" s="207" t="str">
        <f t="shared" si="81"/>
        <v/>
      </c>
      <c r="AT214" s="207" t="str">
        <f t="shared" si="82"/>
        <v/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4" t="str">
        <f>IF(E215="","",ProjIncAtBit(F215,J215,C215,M215,AJ215,IF(AK215="",0,AK215)))</f>
        <v/>
      </c>
      <c r="X215" s="455" t="str">
        <f>IF(E215="","",ProjAzmAtBit(F215,G215,J215,C215,M215,AJ215,IF(AK215="",0,AK215),N215,O215))</f>
        <v/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84"/>
        <v/>
      </c>
      <c r="AO215" s="330">
        <f>IF(E215="","",ProjActiveTargetMdEx(D215,W215,V215,ProjTargets_MD,ProjTargets_INC,ProjTargets_AZM,ProjTargets_TVD,F215,H215))</f>
        <v>1807.13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 t="shared" si="80"/>
        <v/>
      </c>
      <c r="AS215" s="207" t="str">
        <f t="shared" si="81"/>
        <v/>
      </c>
      <c r="AT215" s="207" t="str">
        <f t="shared" si="82"/>
        <v/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4" t="str">
        <f>IF(E216="","",ProjIncAtBit(F216,J216,C216,M216,AJ216,IF(AK216="",0,AK216)))</f>
        <v/>
      </c>
      <c r="X216" s="455" t="str">
        <f>IF(E216="","",ProjAzmAtBit(F216,G216,J216,C216,M216,AJ216,IF(AK216="",0,AK216),N216,O216))</f>
        <v/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84"/>
        <v/>
      </c>
      <c r="AO216" s="330">
        <f>IF(E216="","",ProjActiveTargetMdEx(D216,W216,V216,ProjTargets_MD,ProjTargets_INC,ProjTargets_AZM,ProjTargets_TVD,F216,H216))</f>
        <v>1807.13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 t="shared" si="80"/>
        <v/>
      </c>
      <c r="AS216" s="207" t="str">
        <f t="shared" si="81"/>
        <v/>
      </c>
      <c r="AT216" s="207" t="str">
        <f t="shared" si="82"/>
        <v/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4" t="str">
        <f>IF(E217="","",ProjIncAtBit(F217,J217,C217,M217,AJ217,IF(AK217="",0,AK217)))</f>
        <v/>
      </c>
      <c r="X217" s="455" t="str">
        <f>IF(E217="","",ProjAzmAtBit(F217,G217,J217,C217,M217,AJ217,IF(AK217="",0,AK217),N217,O217))</f>
        <v/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84"/>
        <v/>
      </c>
      <c r="AO217" s="330">
        <f>IF(E217="","",ProjActiveTargetMdEx(D217,W217,V217,ProjTargets_MD,ProjTargets_INC,ProjTargets_AZM,ProjTargets_TVD,F217,H217))</f>
        <v>1807.13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 t="shared" si="80"/>
        <v/>
      </c>
      <c r="AS217" s="207" t="str">
        <f t="shared" si="81"/>
        <v/>
      </c>
      <c r="AT217" s="207" t="str">
        <f t="shared" si="82"/>
        <v/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4" t="str">
        <f>IF(E218="","",ProjIncAtBit(F218,J218,C218,M218,AJ218,IF(AK218="",0,AK218)))</f>
        <v/>
      </c>
      <c r="X218" s="455" t="str">
        <f>IF(E218="","",ProjAzmAtBit(F218,G218,J218,C218,M218,AJ218,IF(AK218="",0,AK218),N218,O218))</f>
        <v/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84"/>
        <v/>
      </c>
      <c r="AO218" s="330">
        <f>IF(E218="","",ProjActiveTargetMdEx(D218,W218,V218,ProjTargets_MD,ProjTargets_INC,ProjTargets_AZM,ProjTargets_TVD,F218,H218))</f>
        <v>1807.13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 t="shared" si="80"/>
        <v/>
      </c>
      <c r="AS218" s="207" t="str">
        <f t="shared" si="81"/>
        <v/>
      </c>
      <c r="AT218" s="207" t="str">
        <f t="shared" si="82"/>
        <v/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4" t="str">
        <f>IF(E219="","",ProjIncAtBit(F219,J219,C219,M219,AJ219,IF(AK219="",0,AK219)))</f>
        <v/>
      </c>
      <c r="X219" s="455" t="str">
        <f>IF(E219="","",ProjAzmAtBit(F219,G219,J219,C219,M219,AJ219,IF(AK219="",0,AK219),N219,O219))</f>
        <v/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84"/>
        <v/>
      </c>
      <c r="AO219" s="330">
        <f>IF(E219="","",ProjActiveTargetMdEx(D219,W219,V219,ProjTargets_MD,ProjTargets_INC,ProjTargets_AZM,ProjTargets_TVD,F219,H219))</f>
        <v>1807.13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 t="shared" si="80"/>
        <v/>
      </c>
      <c r="AS219" s="207" t="str">
        <f t="shared" si="81"/>
        <v/>
      </c>
      <c r="AT219" s="207" t="str">
        <f t="shared" si="82"/>
        <v/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4" t="str">
        <f>IF(E220="","",ProjIncAtBit(F220,J220,C220,M220,AJ220,IF(AK220="",0,AK220)))</f>
        <v/>
      </c>
      <c r="X220" s="455" t="str">
        <f>IF(E220="","",ProjAzmAtBit(F220,G220,J220,C220,M220,AJ220,IF(AK220="",0,AK220),N220,O220))</f>
        <v/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84"/>
        <v/>
      </c>
      <c r="AO220" s="330">
        <f>IF(E220="","",ProjActiveTargetMdEx(D220,W220,V220,ProjTargets_MD,ProjTargets_INC,ProjTargets_AZM,ProjTargets_TVD,F220,H220))</f>
        <v>1807.13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 t="shared" si="80"/>
        <v/>
      </c>
      <c r="AS220" s="207" t="str">
        <f t="shared" si="81"/>
        <v/>
      </c>
      <c r="AT220" s="207" t="str">
        <f t="shared" si="82"/>
        <v/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4" t="str">
        <f>IF(E221="","",ProjIncAtBit(F221,J221,C221,M221,AJ221,IF(AK221="",0,AK221)))</f>
        <v/>
      </c>
      <c r="X221" s="455" t="str">
        <f>IF(E221="","",ProjAzmAtBit(F221,G221,J221,C221,M221,AJ221,IF(AK221="",0,AK221),N221,O221))</f>
        <v/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84"/>
        <v/>
      </c>
      <c r="AO221" s="330">
        <f>IF(E221="","",ProjActiveTargetMdEx(D221,W221,V221,ProjTargets_MD,ProjTargets_INC,ProjTargets_AZM,ProjTargets_TVD,F221,H221))</f>
        <v>1807.13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 t="shared" si="80"/>
        <v/>
      </c>
      <c r="AS221" s="207" t="str">
        <f t="shared" si="81"/>
        <v/>
      </c>
      <c r="AT221" s="207" t="str">
        <f t="shared" si="82"/>
        <v/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4" t="str">
        <f>IF(E222="","",ProjIncAtBit(F222,J222,C222,M222,AJ222,IF(AK222="",0,AK222)))</f>
        <v/>
      </c>
      <c r="X222" s="455" t="str">
        <f>IF(E222="","",ProjAzmAtBit(F222,G222,J222,C222,M222,AJ222,IF(AK222="",0,AK222),N222,O222))</f>
        <v/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84"/>
        <v/>
      </c>
      <c r="AO222" s="330">
        <f>IF(E222="","",ProjActiveTargetMdEx(D222,W222,V222,ProjTargets_MD,ProjTargets_INC,ProjTargets_AZM,ProjTargets_TVD,F222,H222))</f>
        <v>1807.13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 t="shared" si="80"/>
        <v/>
      </c>
      <c r="AS222" s="207" t="str">
        <f t="shared" si="81"/>
        <v/>
      </c>
      <c r="AT222" s="207" t="str">
        <f t="shared" si="82"/>
        <v/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4" t="str">
        <f>IF(E223="","",ProjIncAtBit(F223,J223,C223,M223,AJ223,IF(AK223="",0,AK223)))</f>
        <v/>
      </c>
      <c r="X223" s="455" t="str">
        <f>IF(E223="","",ProjAzmAtBit(F223,G223,J223,C223,M223,AJ223,IF(AK223="",0,AK223),N223,O223))</f>
        <v/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84"/>
        <v/>
      </c>
      <c r="AO223" s="330">
        <f>IF(E223="","",ProjActiveTargetMdEx(D223,W223,V223,ProjTargets_MD,ProjTargets_INC,ProjTargets_AZM,ProjTargets_TVD,F223,H223))</f>
        <v>1807.13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 t="shared" si="80"/>
        <v/>
      </c>
      <c r="AS223" s="207" t="str">
        <f t="shared" si="81"/>
        <v/>
      </c>
      <c r="AT223" s="207" t="str">
        <f t="shared" si="82"/>
        <v/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4" t="str">
        <f>IF(E224="","",ProjIncAtBit(F224,J224,C224,M224,AJ224,IF(AK224="",0,AK224)))</f>
        <v/>
      </c>
      <c r="X224" s="455" t="str">
        <f>IF(E224="","",ProjAzmAtBit(F224,G224,J224,C224,M224,AJ224,IF(AK224="",0,AK224),N224,O224))</f>
        <v/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84"/>
        <v/>
      </c>
      <c r="AO224" s="330">
        <f>IF(E224="","",ProjActiveTargetMdEx(D224,W224,V224,ProjTargets_MD,ProjTargets_INC,ProjTargets_AZM,ProjTargets_TVD,F224,H224))</f>
        <v>1807.13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 t="shared" si="80"/>
        <v/>
      </c>
      <c r="AS224" s="207" t="str">
        <f t="shared" si="81"/>
        <v/>
      </c>
      <c r="AT224" s="207" t="str">
        <f t="shared" si="82"/>
        <v/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4" t="str">
        <f>IF(E225="","",ProjIncAtBit(F225,J225,C225,M225,AJ225,IF(AK225="",0,AK225)))</f>
        <v/>
      </c>
      <c r="X225" s="455" t="str">
        <f>IF(E225="","",ProjAzmAtBit(F225,G225,J225,C225,M225,AJ225,IF(AK225="",0,AK225),N225,O225))</f>
        <v/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84"/>
        <v/>
      </c>
      <c r="AO225" s="330">
        <f>IF(E225="","",ProjActiveTargetMdEx(D225,W225,V225,ProjTargets_MD,ProjTargets_INC,ProjTargets_AZM,ProjTargets_TVD,F225,H225))</f>
        <v>1807.13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 t="shared" si="80"/>
        <v/>
      </c>
      <c r="AS225" s="207" t="str">
        <f t="shared" si="81"/>
        <v/>
      </c>
      <c r="AT225" s="207" t="str">
        <f t="shared" si="82"/>
        <v/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4" t="str">
        <f>IF(E226="","",ProjIncAtBit(F226,J226,C226,M226,AJ226,IF(AK226="",0,AK226)))</f>
        <v/>
      </c>
      <c r="X226" s="455" t="str">
        <f>IF(E226="","",ProjAzmAtBit(F226,G226,J226,C226,M226,AJ226,IF(AK226="",0,AK226),N226,O226))</f>
        <v/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84"/>
        <v/>
      </c>
      <c r="AO226" s="330">
        <f>IF(E226="","",ProjActiveTargetMdEx(D226,W226,V226,ProjTargets_MD,ProjTargets_INC,ProjTargets_AZM,ProjTargets_TVD,F226,H226))</f>
        <v>1807.13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 t="shared" si="80"/>
        <v/>
      </c>
      <c r="AS226" s="207" t="str">
        <f t="shared" si="81"/>
        <v/>
      </c>
      <c r="AT226" s="207" t="str">
        <f t="shared" si="82"/>
        <v/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4" t="str">
        <f>IF(E227="","",ProjIncAtBit(F227,J227,C227,M227,AJ227,IF(AK227="",0,AK227)))</f>
        <v/>
      </c>
      <c r="X227" s="455" t="str">
        <f>IF(E227="","",ProjAzmAtBit(F227,G227,J227,C227,M227,AJ227,IF(AK227="",0,AK227),N227,O227))</f>
        <v/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84"/>
        <v/>
      </c>
      <c r="AO227" s="330">
        <f>IF(E227="","",ProjActiveTargetMdEx(D227,W227,V227,ProjTargets_MD,ProjTargets_INC,ProjTargets_AZM,ProjTargets_TVD,F227,H227))</f>
        <v>1807.13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 t="shared" si="80"/>
        <v/>
      </c>
      <c r="AS227" s="207" t="str">
        <f t="shared" si="81"/>
        <v/>
      </c>
      <c r="AT227" s="207" t="str">
        <f t="shared" si="82"/>
        <v/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4" t="str">
        <f>IF(E228="","",ProjIncAtBit(F228,J228,C228,M228,AJ228,IF(AK228="",0,AK228)))</f>
        <v/>
      </c>
      <c r="X228" s="455" t="str">
        <f>IF(E228="","",ProjAzmAtBit(F228,G228,J228,C228,M228,AJ228,IF(AK228="",0,AK228),N228,O228))</f>
        <v/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84"/>
        <v/>
      </c>
      <c r="AO228" s="330">
        <f>IF(E228="","",ProjActiveTargetMdEx(D228,W228,V228,ProjTargets_MD,ProjTargets_INC,ProjTargets_AZM,ProjTargets_TVD,F228,H228))</f>
        <v>1807.13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 t="shared" si="80"/>
        <v/>
      </c>
      <c r="AS228" s="207" t="str">
        <f t="shared" si="81"/>
        <v/>
      </c>
      <c r="AT228" s="207" t="str">
        <f t="shared" si="82"/>
        <v/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4" t="str">
        <f>IF(E229="","",ProjIncAtBit(F229,J229,C229,M229,AJ229,IF(AK229="",0,AK229)))</f>
        <v/>
      </c>
      <c r="X229" s="455" t="str">
        <f>IF(E229="","",ProjAzmAtBit(F229,G229,J229,C229,M229,AJ229,IF(AK229="",0,AK229),N229,O229))</f>
        <v/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84"/>
        <v/>
      </c>
      <c r="AO229" s="330">
        <f>IF(E229="","",ProjActiveTargetMdEx(D229,W229,V229,ProjTargets_MD,ProjTargets_INC,ProjTargets_AZM,ProjTargets_TVD,F229,H229))</f>
        <v>1807.13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 t="shared" si="80"/>
        <v/>
      </c>
      <c r="AS229" s="207" t="str">
        <f t="shared" si="81"/>
        <v/>
      </c>
      <c r="AT229" s="207" t="str">
        <f t="shared" si="82"/>
        <v/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4" t="str">
        <f>IF(E230="","",ProjIncAtBit(F230,J230,C230,M230,AJ230,IF(AK230="",0,AK230)))</f>
        <v/>
      </c>
      <c r="X230" s="455" t="str">
        <f>IF(E230="","",ProjAzmAtBit(F230,G230,J230,C230,M230,AJ230,IF(AK230="",0,AK230),N230,O230))</f>
        <v/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84"/>
        <v/>
      </c>
      <c r="AO230" s="330">
        <f>IF(E230="","",ProjActiveTargetMdEx(D230,W230,V230,ProjTargets_MD,ProjTargets_INC,ProjTargets_AZM,ProjTargets_TVD,F230,H230))</f>
        <v>1807.13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 t="shared" si="80"/>
        <v/>
      </c>
      <c r="AS230" s="207" t="str">
        <f t="shared" si="81"/>
        <v/>
      </c>
      <c r="AT230" s="207" t="str">
        <f t="shared" si="82"/>
        <v/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4" t="str">
        <f>IF(E231="","",ProjIncAtBit(F231,J231,C231,M231,AJ231,IF(AK231="",0,AK231)))</f>
        <v/>
      </c>
      <c r="X231" s="455" t="str">
        <f>IF(E231="","",ProjAzmAtBit(F231,G231,J231,C231,M231,AJ231,IF(AK231="",0,AK231),N231,O231))</f>
        <v/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84"/>
        <v/>
      </c>
      <c r="AO231" s="330">
        <f>IF(E231="","",ProjActiveTargetMdEx(D231,W231,V231,ProjTargets_MD,ProjTargets_INC,ProjTargets_AZM,ProjTargets_TVD,F231,H231))</f>
        <v>1807.13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 t="shared" si="80"/>
        <v/>
      </c>
      <c r="AS231" s="207" t="str">
        <f t="shared" si="81"/>
        <v/>
      </c>
      <c r="AT231" s="207" t="str">
        <f t="shared" si="82"/>
        <v/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4" t="str">
        <f>IF(E232="","",ProjIncAtBit(F232,J232,C232,M232,AJ232,IF(AK232="",0,AK232)))</f>
        <v/>
      </c>
      <c r="X232" s="455" t="str">
        <f>IF(E232="","",ProjAzmAtBit(F232,G232,J232,C232,M232,AJ232,IF(AK232="",0,AK232),N232,O232))</f>
        <v/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84"/>
        <v/>
      </c>
      <c r="AO232" s="330">
        <f>IF(E232="","",ProjActiveTargetMdEx(D232,W232,V232,ProjTargets_MD,ProjTargets_INC,ProjTargets_AZM,ProjTargets_TVD,F232,H232))</f>
        <v>1807.13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 t="shared" si="80"/>
        <v/>
      </c>
      <c r="AS232" s="207" t="str">
        <f t="shared" si="81"/>
        <v/>
      </c>
      <c r="AT232" s="207" t="str">
        <f t="shared" si="82"/>
        <v/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4" t="str">
        <f>IF(E233="","",ProjIncAtBit(F233,J233,C233,M233,AJ233,IF(AK233="",0,AK233)))</f>
        <v/>
      </c>
      <c r="X233" s="455" t="str">
        <f>IF(E233="","",ProjAzmAtBit(F233,G233,J233,C233,M233,AJ233,IF(AK233="",0,AK233),N233,O233))</f>
        <v/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84"/>
        <v/>
      </c>
      <c r="AO233" s="330">
        <f>IF(E233="","",ProjActiveTargetMdEx(D233,W233,V233,ProjTargets_MD,ProjTargets_INC,ProjTargets_AZM,ProjTargets_TVD,F233,H233))</f>
        <v>1807.13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 t="shared" si="80"/>
        <v/>
      </c>
      <c r="AS233" s="207" t="str">
        <f t="shared" si="81"/>
        <v/>
      </c>
      <c r="AT233" s="207" t="str">
        <f t="shared" si="82"/>
        <v/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4" t="str">
        <f>IF(E234="","",ProjIncAtBit(F234,J234,C234,M234,AJ234,IF(AK234="",0,AK234)))</f>
        <v/>
      </c>
      <c r="X234" s="455" t="str">
        <f>IF(E234="","",ProjAzmAtBit(F234,G234,J234,C234,M234,AJ234,IF(AK234="",0,AK234),N234,O234))</f>
        <v/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84"/>
        <v/>
      </c>
      <c r="AO234" s="330">
        <f>IF(E234="","",ProjActiveTargetMdEx(D234,W234,V234,ProjTargets_MD,ProjTargets_INC,ProjTargets_AZM,ProjTargets_TVD,F234,H234))</f>
        <v>1807.13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 t="shared" si="80"/>
        <v/>
      </c>
      <c r="AS234" s="207" t="str">
        <f t="shared" si="81"/>
        <v/>
      </c>
      <c r="AT234" s="207" t="str">
        <f t="shared" si="82"/>
        <v/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4" t="str">
        <f>IF(E235="","",ProjIncAtBit(F235,J235,C235,M235,AJ235,IF(AK235="",0,AK235)))</f>
        <v/>
      </c>
      <c r="X235" s="455" t="str">
        <f>IF(E235="","",ProjAzmAtBit(F235,G235,J235,C235,M235,AJ235,IF(AK235="",0,AK235),N235,O235))</f>
        <v/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84"/>
        <v/>
      </c>
      <c r="AO235" s="330">
        <f>IF(E235="","",ProjActiveTargetMdEx(D235,W235,V235,ProjTargets_MD,ProjTargets_INC,ProjTargets_AZM,ProjTargets_TVD,F235,H235))</f>
        <v>1807.13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 t="shared" si="80"/>
        <v/>
      </c>
      <c r="AS235" s="207" t="str">
        <f t="shared" si="81"/>
        <v/>
      </c>
      <c r="AT235" s="207" t="str">
        <f t="shared" si="82"/>
        <v/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4" t="str">
        <f>IF(E236="","",ProjIncAtBit(F236,J236,C236,M236,AJ236,IF(AK236="",0,AK236)))</f>
        <v/>
      </c>
      <c r="X236" s="455" t="str">
        <f>IF(E236="","",ProjAzmAtBit(F236,G236,J236,C236,M236,AJ236,IF(AK236="",0,AK236),N236,O236))</f>
        <v/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84"/>
        <v/>
      </c>
      <c r="AO236" s="330">
        <f>IF(E236="","",ProjActiveTargetMdEx(D236,W236,V236,ProjTargets_MD,ProjTargets_INC,ProjTargets_AZM,ProjTargets_TVD,F236,H236))</f>
        <v>1807.13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 t="shared" si="80"/>
        <v/>
      </c>
      <c r="AS236" s="207" t="str">
        <f t="shared" si="81"/>
        <v/>
      </c>
      <c r="AT236" s="207" t="str">
        <f t="shared" si="82"/>
        <v/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4" t="str">
        <f>IF(E237="","",ProjIncAtBit(F237,J237,C237,M237,AJ237,IF(AK237="",0,AK237)))</f>
        <v/>
      </c>
      <c r="X237" s="455" t="str">
        <f>IF(E237="","",ProjAzmAtBit(F237,G237,J237,C237,M237,AJ237,IF(AK237="",0,AK237),N237,O237))</f>
        <v/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84"/>
        <v/>
      </c>
      <c r="AO237" s="330">
        <f>IF(E237="","",ProjActiveTargetMdEx(D237,W237,V237,ProjTargets_MD,ProjTargets_INC,ProjTargets_AZM,ProjTargets_TVD,F237,H237))</f>
        <v>1807.13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 t="shared" si="80"/>
        <v/>
      </c>
      <c r="AS237" s="207" t="str">
        <f t="shared" si="81"/>
        <v/>
      </c>
      <c r="AT237" s="207" t="str">
        <f t="shared" si="82"/>
        <v/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4" t="str">
        <f>IF(E238="","",ProjIncAtBit(F238,J238,C238,M238,AJ238,IF(AK238="",0,AK238)))</f>
        <v/>
      </c>
      <c r="X238" s="455" t="str">
        <f>IF(E238="","",ProjAzmAtBit(F238,G238,J238,C238,M238,AJ238,IF(AK238="",0,AK238),N238,O238))</f>
        <v/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84"/>
        <v/>
      </c>
      <c r="AO238" s="330">
        <f>IF(E238="","",ProjActiveTargetMdEx(D238,W238,V238,ProjTargets_MD,ProjTargets_INC,ProjTargets_AZM,ProjTargets_TVD,F238,H238))</f>
        <v>1807.13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 t="shared" si="80"/>
        <v/>
      </c>
      <c r="AS238" s="207" t="str">
        <f t="shared" si="81"/>
        <v/>
      </c>
      <c r="AT238" s="207" t="str">
        <f t="shared" si="82"/>
        <v/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4" t="str">
        <f>IF(E239="","",ProjIncAtBit(F239,J239,C239,M239,AJ239,IF(AK239="",0,AK239)))</f>
        <v/>
      </c>
      <c r="X239" s="455" t="str">
        <f>IF(E239="","",ProjAzmAtBit(F239,G239,J239,C239,M239,AJ239,IF(AK239="",0,AK239),N239,O239))</f>
        <v/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84"/>
        <v/>
      </c>
      <c r="AO239" s="330">
        <f>IF(E239="","",ProjActiveTargetMdEx(D239,W239,V239,ProjTargets_MD,ProjTargets_INC,ProjTargets_AZM,ProjTargets_TVD,F239,H239))</f>
        <v>1807.13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 t="shared" si="80"/>
        <v/>
      </c>
      <c r="AS239" s="207" t="str">
        <f t="shared" si="81"/>
        <v/>
      </c>
      <c r="AT239" s="207" t="str">
        <f t="shared" si="82"/>
        <v/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4" t="str">
        <f>IF(E240="","",ProjIncAtBit(F240,J240,C240,M240,AJ240,IF(AK240="",0,AK240)))</f>
        <v/>
      </c>
      <c r="X240" s="455" t="str">
        <f>IF(E240="","",ProjAzmAtBit(F240,G240,J240,C240,M240,AJ240,IF(AK240="",0,AK240),N240,O240))</f>
        <v/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84"/>
        <v/>
      </c>
      <c r="AO240" s="330">
        <f>IF(E240="","",ProjActiveTargetMdEx(D240,W240,V240,ProjTargets_MD,ProjTargets_INC,ProjTargets_AZM,ProjTargets_TVD,F240,H240))</f>
        <v>1807.13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 t="shared" si="80"/>
        <v/>
      </c>
      <c r="AS240" s="207" t="str">
        <f t="shared" si="81"/>
        <v/>
      </c>
      <c r="AT240" s="207" t="str">
        <f t="shared" si="82"/>
        <v/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4" t="str">
        <f>IF(E241="","",ProjIncAtBit(F241,J241,C241,M241,AJ241,IF(AK241="",0,AK241)))</f>
        <v/>
      </c>
      <c r="X241" s="455" t="str">
        <f>IF(E241="","",ProjAzmAtBit(F241,G241,J241,C241,M241,AJ241,IF(AK241="",0,AK241),N241,O241))</f>
        <v/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84"/>
        <v/>
      </c>
      <c r="AO241" s="330">
        <f>IF(E241="","",ProjActiveTargetMdEx(D241,W241,V241,ProjTargets_MD,ProjTargets_INC,ProjTargets_AZM,ProjTargets_TVD,F241,H241))</f>
        <v>1807.13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 t="shared" si="80"/>
        <v/>
      </c>
      <c r="AS241" s="207" t="str">
        <f t="shared" si="81"/>
        <v/>
      </c>
      <c r="AT241" s="207" t="str">
        <f t="shared" si="82"/>
        <v/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4" t="str">
        <f>IF(E242="","",ProjIncAtBit(F242,J242,C242,M242,AJ242,IF(AK242="",0,AK242)))</f>
        <v/>
      </c>
      <c r="X242" s="455" t="str">
        <f>IF(E242="","",ProjAzmAtBit(F242,G242,J242,C242,M242,AJ242,IF(AK242="",0,AK242),N242,O242))</f>
        <v/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84"/>
        <v/>
      </c>
      <c r="AO242" s="330">
        <f>IF(E242="","",ProjActiveTargetMdEx(D242,W242,V242,ProjTargets_MD,ProjTargets_INC,ProjTargets_AZM,ProjTargets_TVD,F242,H242))</f>
        <v>1807.13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 t="shared" si="80"/>
        <v/>
      </c>
      <c r="AS242" s="207" t="str">
        <f t="shared" si="81"/>
        <v/>
      </c>
      <c r="AT242" s="207" t="str">
        <f t="shared" si="82"/>
        <v/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4" t="str">
        <f>IF(E243="","",ProjIncAtBit(F243,J243,C243,M243,AJ243,IF(AK243="",0,AK243)))</f>
        <v/>
      </c>
      <c r="X243" s="455" t="str">
        <f>IF(E243="","",ProjAzmAtBit(F243,G243,J243,C243,M243,AJ243,IF(AK243="",0,AK243),N243,O243))</f>
        <v/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84"/>
        <v/>
      </c>
      <c r="AO243" s="330">
        <f>IF(E243="","",ProjActiveTargetMdEx(D243,W243,V243,ProjTargets_MD,ProjTargets_INC,ProjTargets_AZM,ProjTargets_TVD,F243,H243))</f>
        <v>1807.13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 t="shared" si="80"/>
        <v/>
      </c>
      <c r="AS243" s="207" t="str">
        <f t="shared" si="81"/>
        <v/>
      </c>
      <c r="AT243" s="207" t="str">
        <f t="shared" si="82"/>
        <v/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4" t="str">
        <f>IF(E244="","",ProjIncAtBit(F244,J244,C244,M244,AJ244,IF(AK244="",0,AK244)))</f>
        <v/>
      </c>
      <c r="X244" s="455" t="str">
        <f>IF(E244="","",ProjAzmAtBit(F244,G244,J244,C244,M244,AJ244,IF(AK244="",0,AK244),N244,O244))</f>
        <v/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84"/>
        <v/>
      </c>
      <c r="AO244" s="330">
        <f>IF(E244="","",ProjActiveTargetMdEx(D244,W244,V244,ProjTargets_MD,ProjTargets_INC,ProjTargets_AZM,ProjTargets_TVD,F244,H244))</f>
        <v>1807.13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 t="shared" si="80"/>
        <v/>
      </c>
      <c r="AS244" s="207" t="str">
        <f t="shared" si="81"/>
        <v/>
      </c>
      <c r="AT244" s="207" t="str">
        <f t="shared" si="82"/>
        <v/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IF(E245="","",ProjIncAtBit(F245,J245,C245,M245,AJ245,IF(AK245="",0,AK245)))</f>
        <v/>
      </c>
      <c r="X245" s="455" t="str">
        <f>IF(E245="","",ProjAzmAtBit(F245,G245,J245,C245,M245,AJ245,IF(AK245="",0,AK245),N245,O245))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IF(E246="","",ProjIncAtBit(F246,J246,C246,M246,AJ246,IF(AK246="",0,AK246)))</f>
        <v/>
      </c>
      <c r="X246" s="455" t="str">
        <f>IF(E246="","",ProjAzmAtBit(F246,G246,J246,C246,M246,AJ246,IF(AK246="",0,AK246),N246,O246))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IF(E247="","",ProjIncAtBit(F247,J247,C247,M247,AJ247,IF(AK247="",0,AK247)))</f>
        <v/>
      </c>
      <c r="X247" s="455" t="str">
        <f>IF(E247="","",ProjAzmAtBit(F247,G247,J247,C247,M247,AJ247,IF(AK247="",0,AK247),N247,O247))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IF(E248="","",ProjIncAtBit(F248,J248,C248,M248,AJ248,IF(AK248="",0,AK248)))</f>
        <v/>
      </c>
      <c r="X248" s="455" t="str">
        <f>IF(E248="","",ProjAzmAtBit(F248,G248,J248,C248,M248,AJ248,IF(AK248="",0,AK248),N248,O248))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IF(E249="","",ProjIncAtBit(F249,J249,C249,M249,AJ249,IF(AK249="",0,AK249)))</f>
        <v/>
      </c>
      <c r="X249" s="455" t="str">
        <f>IF(E249="","",ProjAzmAtBit(F249,G249,J249,C249,M249,AJ249,IF(AK249="",0,AK249),N249,O249))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IF(E250="","",ProjIncAtBit(F250,J250,C250,M250,AJ250,IF(AK250="",0,AK250)))</f>
        <v/>
      </c>
      <c r="X250" s="455" t="str">
        <f>IF(E250="","",ProjAzmAtBit(F250,G250,J250,C250,M250,AJ250,IF(AK250="",0,AK250),N250,O250))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IF(E251="","",ProjIncAtBit(F251,J251,C251,M251,AJ251,IF(AK251="",0,AK251)))</f>
        <v/>
      </c>
      <c r="X251" s="455" t="str">
        <f>IF(E251="","",ProjAzmAtBit(F251,G251,J251,C251,M251,AJ251,IF(AK251="",0,AK251),N251,O251))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IF(E252="","",ProjIncAtBit(F252,J252,C252,M252,AJ252,IF(AK252="",0,AK252)))</f>
        <v/>
      </c>
      <c r="X252" s="455" t="str">
        <f>IF(E252="","",ProjAzmAtBit(F252,G252,J252,C252,M252,AJ252,IF(AK252="",0,AK252),N252,O252))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IF(E253="","",ProjIncAtBit(F253,J253,C253,M253,AJ253,IF(AK253="",0,AK253)))</f>
        <v/>
      </c>
      <c r="X253" s="455" t="str">
        <f>IF(E253="","",ProjAzmAtBit(F253,G253,J253,C253,M253,AJ253,IF(AK253="",0,AK253),N253,O253))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IF(E254="","",ProjIncAtBit(F254,J254,C254,M254,AJ254,IF(AK254="",0,AK254)))</f>
        <v/>
      </c>
      <c r="X254" s="455" t="str">
        <f>IF(E254="","",ProjAzmAtBit(F254,G254,J254,C254,M254,AJ254,IF(AK254="",0,AK254),N254,O254))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IF(E255="","",ProjIncAtBit(F255,J255,C255,M255,AJ255,IF(AK255="",0,AK255)))</f>
        <v/>
      </c>
      <c r="X255" s="455" t="str">
        <f>IF(E255="","",ProjAzmAtBit(F255,G255,J255,C255,M255,AJ255,IF(AK255="",0,AK255),N255,O255))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IF(E256="","",ProjIncAtBit(F256,J256,C256,M256,AJ256,IF(AK256="",0,AK256)))</f>
        <v/>
      </c>
      <c r="X256" s="455" t="str">
        <f>IF(E256="","",ProjAzmAtBit(F256,G256,J256,C256,M256,AJ256,IF(AK256="",0,AK256),N256,O256))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IF(E257="","",ProjIncAtBit(F257,J257,C257,M257,AJ257,IF(AK257="",0,AK257)))</f>
        <v/>
      </c>
      <c r="X257" s="455" t="str">
        <f>IF(E257="","",ProjAzmAtBit(F257,G257,J257,C257,M257,AJ257,IF(AK257="",0,AK257),N257,O257))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IF(E258="","",ProjIncAtBit(F258,J258,C258,M258,AJ258,IF(AK258="",0,AK258)))</f>
        <v/>
      </c>
      <c r="X258" s="455" t="str">
        <f>IF(E258="","",ProjAzmAtBit(F258,G258,J258,C258,M258,AJ258,IF(AK258="",0,AK258),N258,O258))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IF(E259="","",ProjIncAtBit(F259,J259,C259,M259,AJ259,IF(AK259="",0,AK259)))</f>
        <v/>
      </c>
      <c r="X259" s="455" t="str">
        <f>IF(E259="","",ProjAzmAtBit(F259,G259,J259,C259,M259,AJ259,IF(AK259="",0,AK259),N259,O259))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IF(E260="","",ProjIncAtBit(F260,J260,C260,M260,AJ260,IF(AK260="",0,AK260)))</f>
        <v/>
      </c>
      <c r="X260" s="455" t="str">
        <f>IF(E260="","",ProjAzmAtBit(F260,G260,J260,C260,M260,AJ260,IF(AK260="",0,AK260),N260,O260))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IF(E261="","",ProjIncAtBit(F261,J261,C261,M261,AJ261,IF(AK261="",0,AK261)))</f>
        <v/>
      </c>
      <c r="X261" s="455" t="str">
        <f>IF(E261="","",ProjAzmAtBit(F261,G261,J261,C261,M261,AJ261,IF(AK261="",0,AK261),N261,O261))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IF(E262="","",ProjIncAtBit(F262,J262,C262,M262,AJ262,IF(AK262="",0,AK262)))</f>
        <v/>
      </c>
      <c r="X262" s="455" t="str">
        <f>IF(E262="","",ProjAzmAtBit(F262,G262,J262,C262,M262,AJ262,IF(AK262="",0,AK262),N262,O262))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IF(E263="","",ProjIncAtBit(F263,J263,C263,M263,AJ263,IF(AK263="",0,AK263)))</f>
        <v/>
      </c>
      <c r="X263" s="455" t="str">
        <f>IF(E263="","",ProjAzmAtBit(F263,G263,J263,C263,M263,AJ263,IF(AK263="",0,AK263),N263,O263))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IF(E264="","",ProjIncAtBit(F264,J264,C264,M264,AJ264,IF(AK264="",0,AK264)))</f>
        <v/>
      </c>
      <c r="X264" s="455" t="str">
        <f>IF(E264="","",ProjAzmAtBit(F264,G264,J264,C264,M264,AJ264,IF(AK264="",0,AK264),N264,O264))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IF(E265="","",ProjIncAtBit(F265,J265,C265,M265,AJ265,IF(AK265="",0,AK265)))</f>
        <v/>
      </c>
      <c r="X265" s="455" t="str">
        <f>IF(E265="","",ProjAzmAtBit(F265,G265,J265,C265,M265,AJ265,IF(AK265="",0,AK265),N265,O265))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IF(E266="","",ProjIncAtBit(F266,J266,C266,M266,AJ266,IF(AK266="",0,AK266)))</f>
        <v/>
      </c>
      <c r="X266" s="455" t="str">
        <f>IF(E266="","",ProjAzmAtBit(F266,G266,J266,C266,M266,AJ266,IF(AK266="",0,AK266),N266,O266))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IF(E267="","",ProjIncAtBit(F267,J267,C267,M267,AJ267,IF(AK267="",0,AK267)))</f>
        <v/>
      </c>
      <c r="X267" s="455" t="str">
        <f>IF(E267="","",ProjAzmAtBit(F267,G267,J267,C267,M267,AJ267,IF(AK267="",0,AK267),N267,O267))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IF(E268="","",ProjIncAtBit(F268,J268,C268,M268,AJ268,IF(AK268="",0,AK268)))</f>
        <v/>
      </c>
      <c r="X268" s="455" t="str">
        <f>IF(E268="","",ProjAzmAtBit(F268,G268,J268,C268,M268,AJ268,IF(AK268="",0,AK268),N268,O268))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IF(E269="","",ProjIncAtBit(F269,J269,C269,M269,AJ269,IF(AK269="",0,AK269)))</f>
        <v/>
      </c>
      <c r="X269" s="455" t="str">
        <f>IF(E269="","",ProjAzmAtBit(F269,G269,J269,C269,M269,AJ269,IF(AK269="",0,AK269),N269,O269))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_xlfn.SINGLE(IF(OR(E269="",E269&lt;_xlfn.SINGLE(ProjBuildStartMd),AO269=""),"",ProjBurr(D269,W269,X269,Q269,C269,ProjTargets_MD,ProjTargets_INC,ProjTargets_AZM,ProjTargets_TVD,V269)))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_xlfn.SINGLE(IF(OR(E269="",E269&lt;_xlfn.SINGLE(ProjBuildStartMd),AO269=""),"",ProjMetersToSlide(D269,W269,X269,Q269,C269,ProjTargets_MD,ProjTargets_INC,ProjTargets_AZM,ProjTargets_TVD,V269)))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IF(E270="","",ProjIncAtBit(F270,J270,C270,M270,AJ270,IF(AK270="",0,AK270)))</f>
        <v/>
      </c>
      <c r="X270" s="455" t="str">
        <f>IF(E270="","",ProjAzmAtBit(F270,G270,J270,C270,M270,AJ270,IF(AK270="",0,AK270),N270,O270))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IF(E271="","",ProjIncAtBit(F271,J271,C271,M271,AJ271,IF(AK271="",0,AK271)))</f>
        <v/>
      </c>
      <c r="X271" s="455" t="str">
        <f>IF(E271="","",ProjAzmAtBit(F271,G271,J271,C271,M271,AJ271,IF(AK271="",0,AK271),N271,O271))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IF(E272="","",ProjIncAtBit(F272,J272,C272,M272,AJ272,IF(AK272="",0,AK272)))</f>
        <v/>
      </c>
      <c r="X272" s="455" t="str">
        <f>IF(E272="","",ProjAzmAtBit(F272,G272,J272,C272,M272,AJ272,IF(AK272="",0,AK272),N272,O272))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IF(E273="","",ProjIncAtBit(F273,J273,C273,M273,AJ273,IF(AK273="",0,AK273)))</f>
        <v/>
      </c>
      <c r="X273" s="455" t="str">
        <f>IF(E273="","",ProjAzmAtBit(F273,G273,J273,C273,M273,AJ273,IF(AK273="",0,AK273),N273,O273))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IF(E274="","",ProjIncAtBit(F274,J274,C274,M274,AJ274,IF(AK274="",0,AK274)))</f>
        <v/>
      </c>
      <c r="X274" s="455" t="str">
        <f>IF(E274="","",ProjAzmAtBit(F274,G274,J274,C274,M274,AJ274,IF(AK274="",0,AK274),N274,O274))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IF(E275="","",ProjIncAtBit(F275,J275,C275,M275,AJ275,IF(AK275="",0,AK275)))</f>
        <v/>
      </c>
      <c r="X275" s="455" t="str">
        <f>IF(E275="","",ProjAzmAtBit(F275,G275,J275,C275,M275,AJ275,IF(AK275="",0,AK275),N275,O275))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IF(E276="","",ProjIncAtBit(F276,J276,C276,M276,AJ276,IF(AK276="",0,AK276)))</f>
        <v/>
      </c>
      <c r="X276" s="455" t="str">
        <f>IF(E276="","",ProjAzmAtBit(F276,G276,J276,C276,M276,AJ276,IF(AK276="",0,AK276),N276,O276))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IF(E277="","",ProjIncAtBit(F277,J277,C277,M277,AJ277,IF(AK277="",0,AK277)))</f>
        <v/>
      </c>
      <c r="X277" s="455" t="str">
        <f>IF(E277="","",ProjAzmAtBit(F277,G277,J277,C277,M277,AJ277,IF(AK277="",0,AK277),N277,O277))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IF(E278="","",ProjIncAtBit(F278,J278,C278,M278,AJ278,IF(AK278="",0,AK278)))</f>
        <v/>
      </c>
      <c r="X278" s="455" t="str">
        <f>IF(E278="","",ProjAzmAtBit(F278,G278,J278,C278,M278,AJ278,IF(AK278="",0,AK278),N278,O278))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IF(E279="","",ProjIncAtBit(F279,J279,C279,M279,AJ279,IF(AK279="",0,AK279)))</f>
        <v/>
      </c>
      <c r="X279" s="455" t="str">
        <f>IF(E279="","",ProjAzmAtBit(F279,G279,J279,C279,M279,AJ279,IF(AK279="",0,AK279),N279,O279))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IF(E280="","",ProjIncAtBit(F280,J280,C280,M280,AJ280,IF(AK280="",0,AK280)))</f>
        <v/>
      </c>
      <c r="X280" s="455" t="str">
        <f>IF(E280="","",ProjAzmAtBit(F280,G280,J280,C280,M280,AJ280,IF(AK280="",0,AK280),N280,O280))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IF(E281="","",ProjIncAtBit(F281,J281,C281,M281,AJ281,IF(AK281="",0,AK281)))</f>
        <v/>
      </c>
      <c r="X281" s="455" t="str">
        <f>IF(E281="","",ProjAzmAtBit(F281,G281,J281,C281,M281,AJ281,IF(AK281="",0,AK281),N281,O281))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IF(E282="","",ProjIncAtBit(F282,J282,C282,M282,AJ282,IF(AK282="",0,AK282)))</f>
        <v/>
      </c>
      <c r="X282" s="455" t="str">
        <f>IF(E282="","",ProjAzmAtBit(F282,G282,J282,C282,M282,AJ282,IF(AK282="",0,AK282),N282,O282))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IF(E283="","",ProjIncAtBit(F283,J283,C283,M283,AJ283,IF(AK283="",0,AK283)))</f>
        <v/>
      </c>
      <c r="X283" s="455" t="str">
        <f>IF(E283="","",ProjAzmAtBit(F283,G283,J283,C283,M283,AJ283,IF(AK283="",0,AK283),N283,O283))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IF(E284="","",ProjIncAtBit(F284,J284,C284,M284,AJ284,IF(AK284="",0,AK284)))</f>
        <v/>
      </c>
      <c r="X284" s="455" t="str">
        <f>IF(E284="","",ProjAzmAtBit(F284,G284,J284,C284,M284,AJ284,IF(AK284="",0,AK284),N284,O284))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IF(E285="","",ProjIncAtBit(F285,J285,C285,M285,AJ285,IF(AK285="",0,AK285)))</f>
        <v/>
      </c>
      <c r="X285" s="455" t="str">
        <f>IF(E285="","",ProjAzmAtBit(F285,G285,J285,C285,M285,AJ285,IF(AK285="",0,AK285),N285,O285))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IF(E286="","",ProjIncAtBit(F286,J286,C286,M286,AJ286,IF(AK286="",0,AK286)))</f>
        <v/>
      </c>
      <c r="X286" s="455" t="str">
        <f>IF(E286="","",ProjAzmAtBit(F286,G286,J286,C286,M286,AJ286,IF(AK286="",0,AK286),N286,O286))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IF(E287="","",ProjIncAtBit(F287,J287,C287,M287,AJ287,IF(AK287="",0,AK287)))</f>
        <v/>
      </c>
      <c r="X287" s="455" t="str">
        <f>IF(E287="","",ProjAzmAtBit(F287,G287,J287,C287,M287,AJ287,IF(AK287="",0,AK287),N287,O287))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IF(E288="","",ProjIncAtBit(F288,J288,C288,M288,AJ288,IF(AK288="",0,AK288)))</f>
        <v/>
      </c>
      <c r="X288" s="455" t="str">
        <f>IF(E288="","",ProjAzmAtBit(F288,G288,J288,C288,M288,AJ288,IF(AK288="",0,AK288),N288,O288))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IF(E289="","",ProjIncAtBit(F289,J289,C289,M289,AJ289,IF(AK289="",0,AK289)))</f>
        <v/>
      </c>
      <c r="X289" s="455" t="str">
        <f>IF(E289="","",ProjAzmAtBit(F289,G289,J289,C289,M289,AJ289,IF(AK289="",0,AK289),N289,O289))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IF(E290="","",ProjIncAtBit(F290,J290,C290,M290,AJ290,IF(AK290="",0,AK290)))</f>
        <v/>
      </c>
      <c r="X290" s="455" t="str">
        <f>IF(E290="","",ProjAzmAtBit(F290,G290,J290,C290,M290,AJ290,IF(AK290="",0,AK290),N290,O290))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IF(E291="","",ProjIncAtBit(F291,J291,C291,M291,AJ291,IF(AK291="",0,AK291)))</f>
        <v/>
      </c>
      <c r="X291" s="455" t="str">
        <f>IF(E291="","",ProjAzmAtBit(F291,G291,J291,C291,M291,AJ291,IF(AK291="",0,AK291),N291,O291))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IF(E292="","",ProjIncAtBit(F292,J292,C292,M292,AJ292,IF(AK292="",0,AK292)))</f>
        <v/>
      </c>
      <c r="X292" s="455" t="str">
        <f>IF(E292="","",ProjAzmAtBit(F292,G292,J292,C292,M292,AJ292,IF(AK292="",0,AK292),N292,O292))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IF(E293="","",ProjIncAtBit(F293,J293,C293,M293,AJ293,IF(AK293="",0,AK293)))</f>
        <v/>
      </c>
      <c r="X293" s="455" t="str">
        <f>IF(E293="","",ProjAzmAtBit(F293,G293,J293,C293,M293,AJ293,IF(AK293="",0,AK293),N293,O293))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IF(E294="","",ProjIncAtBit(F294,J294,C294,M294,AJ294,IF(AK294="",0,AK294)))</f>
        <v/>
      </c>
      <c r="X294" s="455" t="str">
        <f>IF(E294="","",ProjAzmAtBit(F294,G294,J294,C294,M294,AJ294,IF(AK294="",0,AK294),N294,O294))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IF(E295="","",ProjIncAtBit(F295,J295,C295,M295,AJ295,IF(AK295="",0,AK295)))</f>
        <v/>
      </c>
      <c r="X295" s="455" t="str">
        <f>IF(E295="","",ProjAzmAtBit(F295,G295,J295,C295,M295,AJ295,IF(AK295="",0,AK295),N295,O295))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IF(E296="","",ProjIncAtBit(F296,J296,C296,M296,AJ296,IF(AK296="",0,AK296)))</f>
        <v/>
      </c>
      <c r="X296" s="455" t="str">
        <f>IF(E296="","",ProjAzmAtBit(F296,G296,J296,C296,M296,AJ296,IF(AK296="",0,AK296),N296,O296))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IF(E297="","",ProjIncAtBit(F297,J297,C297,M297,AJ297,IF(AK297="",0,AK297)))</f>
        <v/>
      </c>
      <c r="X297" s="455" t="str">
        <f>IF(E297="","",ProjAzmAtBit(F297,G297,J297,C297,M297,AJ297,IF(AK297="",0,AK297),N297,O297))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IF(E298="","",ProjIncAtBit(F298,J298,C298,M298,AJ298,IF(AK298="",0,AK298)))</f>
        <v/>
      </c>
      <c r="X298" s="455" t="str">
        <f>IF(E298="","",ProjAzmAtBit(F298,G298,J298,C298,M298,AJ298,IF(AK298="",0,AK298),N298,O298))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IF(E299="","",ProjIncAtBit(F299,J299,C299,M299,AJ299,IF(AK299="",0,AK299)))</f>
        <v/>
      </c>
      <c r="X299" s="455" t="str">
        <f>IF(E299="","",ProjAzmAtBit(F299,G299,J299,C299,M299,AJ299,IF(AK299="",0,AK299),N299,O299))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IF(E300="","",ProjIncAtBit(F300,J300,C300,M300,AJ300,IF(AK300="",0,AK300)))</f>
        <v/>
      </c>
      <c r="X300" s="455" t="str">
        <f>IF(E300="","",ProjAzmAtBit(F300,G300,J300,C300,M300,AJ300,IF(AK300="",0,AK300),N300,O300))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IF(E301="","",ProjIncAtBit(F301,J301,C301,M301,AJ301,IF(AK301="",0,AK301)))</f>
        <v/>
      </c>
      <c r="X301" s="455" t="str">
        <f>IF(E301="","",ProjAzmAtBit(F301,G301,J301,C301,M301,AJ301,IF(AK301="",0,AK301),N301,O301))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IF(E302="","",ProjIncAtBit(F302,J302,C302,M302,AJ302,IF(AK302="",0,AK302)))</f>
        <v/>
      </c>
      <c r="X302" s="455" t="str">
        <f>IF(E302="","",ProjAzmAtBit(F302,G302,J302,C302,M302,AJ302,IF(AK302="",0,AK302),N302,O302))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IF(E303="","",ProjIncAtBit(F303,J303,C303,M303,AJ303,IF(AK303="",0,AK303)))</f>
        <v/>
      </c>
      <c r="X303" s="455" t="str">
        <f>IF(E303="","",ProjAzmAtBit(F303,G303,J303,C303,M303,AJ303,IF(AK303="",0,AK303),N303,O303))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IF(E304="","",ProjIncAtBit(F304,J304,C304,M304,AJ304,IF(AK304="",0,AK304)))</f>
        <v/>
      </c>
      <c r="X304" s="455" t="str">
        <f>IF(E304="","",ProjAzmAtBit(F304,G304,J304,C304,M304,AJ304,IF(AK304="",0,AK304),N304,O304))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IF(E305="","",ProjIncAtBit(F305,J305,C305,M305,AJ305,IF(AK305="",0,AK305)))</f>
        <v/>
      </c>
      <c r="X305" s="455" t="str">
        <f>IF(E305="","",ProjAzmAtBit(F305,G305,J305,C305,M305,AJ305,IF(AK305="",0,AK305),N305,O305))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187418.24903480275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2026-08-31T01:48:16Z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